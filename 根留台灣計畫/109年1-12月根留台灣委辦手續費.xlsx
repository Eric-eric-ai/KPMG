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ic\Downloads\KPMG\根留台灣計畫\"/>
    </mc:Choice>
  </mc:AlternateContent>
  <xr:revisionPtr revIDLastSave="0" documentId="13_ncr:1_{B9AF2C9F-A72F-4B11-81C6-2913E5E81B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_FilterDatabase" localSheetId="9" hidden="1">'10月'!$A$3:$M$337</definedName>
    <definedName name="_xlnm._FilterDatabase" localSheetId="10" hidden="1">'11月'!$A$3:$M$416</definedName>
    <definedName name="_xlnm._FilterDatabase" localSheetId="11" hidden="1">'12月'!$A$3:$M$490</definedName>
    <definedName name="_xlnm._FilterDatabase" localSheetId="0" hidden="1">'1月'!$A$3:$M$36</definedName>
    <definedName name="_xlnm._FilterDatabase" localSheetId="1" hidden="1">'2月'!$A$3:$M$42</definedName>
    <definedName name="_xlnm._FilterDatabase" localSheetId="2" hidden="1">'3月'!$A$3:$M$63</definedName>
    <definedName name="_xlnm._FilterDatabase" localSheetId="3" hidden="1">'4月'!$A$3:$M$90</definedName>
    <definedName name="_xlnm._FilterDatabase" localSheetId="4" hidden="1">'5月'!$A$3:$M$123</definedName>
    <definedName name="_xlnm._FilterDatabase" localSheetId="5" hidden="1">'6月'!$A$3:$M$160</definedName>
    <definedName name="_xlnm._FilterDatabase" localSheetId="6" hidden="1">'7月'!$A$3:$M$214</definedName>
    <definedName name="_xlnm._FilterDatabase" localSheetId="7" hidden="1">'8月'!$A$3:$M$255</definedName>
    <definedName name="_xlnm._FilterDatabase" localSheetId="8" hidden="1">'9月'!$A$3:$M$292</definedName>
    <definedName name="_xlnm.Print_Area" localSheetId="9">'10月'!$A$1:$M$342</definedName>
    <definedName name="_xlnm.Print_Area" localSheetId="10">'11月'!$A$1:$M$421</definedName>
    <definedName name="_xlnm.Print_Area" localSheetId="11">'12月'!$A$1:$M$495</definedName>
    <definedName name="_xlnm.Print_Area" localSheetId="7">'8月'!$A$1:$M$260</definedName>
    <definedName name="_xlnm.Print_Area" localSheetId="8">'9月'!$A$1:$M$297</definedName>
    <definedName name="_xlnm.Print_Titles" localSheetId="9">'10月'!$1:$3</definedName>
    <definedName name="_xlnm.Print_Titles" localSheetId="10">'11月'!$1:$3</definedName>
    <definedName name="_xlnm.Print_Titles" localSheetId="11">'12月'!$1:$3</definedName>
    <definedName name="_xlnm.Print_Titles" localSheetId="0">'1月'!$1:$3</definedName>
    <definedName name="_xlnm.Print_Titles" localSheetId="1">'2月'!$1:$3</definedName>
    <definedName name="_xlnm.Print_Titles" localSheetId="2">'3月'!$1:$3</definedName>
    <definedName name="_xlnm.Print_Titles" localSheetId="3">'4月'!$1:$3</definedName>
    <definedName name="_xlnm.Print_Titles" localSheetId="4">'5月'!$1:$3</definedName>
    <definedName name="_xlnm.Print_Titles" localSheetId="5">'6月'!$1:$3</definedName>
    <definedName name="_xlnm.Print_Titles" localSheetId="6">'7月'!$1:$3</definedName>
    <definedName name="_xlnm.Print_Titles" localSheetId="7">'8月'!$1:$3</definedName>
    <definedName name="_xlnm.Print_Titles" localSheetId="8">'9月'!$1:$3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2" l="1"/>
  <c r="L4" i="12" s="1"/>
  <c r="K5" i="12"/>
  <c r="L5" i="12" s="1"/>
  <c r="K6" i="12"/>
  <c r="L6" i="12" s="1"/>
  <c r="K7" i="12"/>
  <c r="L7" i="12" s="1"/>
  <c r="K8" i="12"/>
  <c r="L8" i="12" s="1"/>
  <c r="K9" i="12"/>
  <c r="L9" i="12"/>
  <c r="K10" i="12"/>
  <c r="L10" i="12" s="1"/>
  <c r="K11" i="12"/>
  <c r="L11" i="12" s="1"/>
  <c r="K12" i="12"/>
  <c r="L12" i="12" s="1"/>
  <c r="K13" i="12"/>
  <c r="L13" i="12" s="1"/>
  <c r="K14" i="12"/>
  <c r="L14" i="12" s="1"/>
  <c r="K15" i="12"/>
  <c r="L15" i="12" s="1"/>
  <c r="K16" i="12"/>
  <c r="L16" i="12"/>
  <c r="K17" i="12"/>
  <c r="L17" i="12" s="1"/>
  <c r="K18" i="12"/>
  <c r="L18" i="12"/>
  <c r="K19" i="12"/>
  <c r="L19" i="12" s="1"/>
  <c r="K20" i="12"/>
  <c r="L20" i="12" s="1"/>
  <c r="K21" i="12"/>
  <c r="L21" i="12" s="1"/>
  <c r="K22" i="12"/>
  <c r="L22" i="12" s="1"/>
  <c r="K23" i="12"/>
  <c r="L23" i="12" s="1"/>
  <c r="K24" i="12"/>
  <c r="L24" i="12"/>
  <c r="K25" i="12"/>
  <c r="L25" i="12"/>
  <c r="K26" i="12"/>
  <c r="L26" i="12" s="1"/>
  <c r="K27" i="12"/>
  <c r="L27" i="12" s="1"/>
  <c r="K28" i="12"/>
  <c r="L28" i="12" s="1"/>
  <c r="K29" i="12"/>
  <c r="L29" i="12" s="1"/>
  <c r="K30" i="12"/>
  <c r="L30" i="12" s="1"/>
  <c r="K31" i="12"/>
  <c r="L31" i="12" s="1"/>
  <c r="K32" i="12"/>
  <c r="L32" i="12"/>
  <c r="E33" i="12"/>
  <c r="M33" i="12"/>
  <c r="K34" i="12"/>
  <c r="L34" i="12"/>
  <c r="L39" i="12" s="1"/>
  <c r="K35" i="12"/>
  <c r="L35" i="12" s="1"/>
  <c r="K36" i="12"/>
  <c r="L36" i="12" s="1"/>
  <c r="K37" i="12"/>
  <c r="L37" i="12" s="1"/>
  <c r="K38" i="12"/>
  <c r="L38" i="12"/>
  <c r="E39" i="12"/>
  <c r="M39" i="12"/>
  <c r="K40" i="12"/>
  <c r="L40" i="12" s="1"/>
  <c r="K41" i="12"/>
  <c r="L41" i="12"/>
  <c r="K42" i="12"/>
  <c r="L42" i="12" s="1"/>
  <c r="K43" i="12"/>
  <c r="L43" i="12" s="1"/>
  <c r="K44" i="12"/>
  <c r="L44" i="12" s="1"/>
  <c r="K45" i="12"/>
  <c r="L45" i="12"/>
  <c r="K46" i="12"/>
  <c r="L46" i="12" s="1"/>
  <c r="K47" i="12"/>
  <c r="L47" i="12"/>
  <c r="K48" i="12"/>
  <c r="L48" i="12"/>
  <c r="K49" i="12"/>
  <c r="L49" i="12" s="1"/>
  <c r="K50" i="12"/>
  <c r="L50" i="12" s="1"/>
  <c r="K51" i="12"/>
  <c r="L51" i="12"/>
  <c r="K52" i="12"/>
  <c r="L52" i="12" s="1"/>
  <c r="K53" i="12"/>
  <c r="L53" i="12" s="1"/>
  <c r="K54" i="12"/>
  <c r="L54" i="12" s="1"/>
  <c r="K55" i="12"/>
  <c r="L55" i="12"/>
  <c r="K56" i="12"/>
  <c r="L56" i="12"/>
  <c r="K57" i="12"/>
  <c r="L57" i="12"/>
  <c r="K58" i="12"/>
  <c r="L58" i="12" s="1"/>
  <c r="K59" i="12"/>
  <c r="L59" i="12"/>
  <c r="K60" i="12"/>
  <c r="L60" i="12"/>
  <c r="K61" i="12"/>
  <c r="L61" i="12" s="1"/>
  <c r="K62" i="12"/>
  <c r="L62" i="12" s="1"/>
  <c r="K63" i="12"/>
  <c r="L63" i="12" s="1"/>
  <c r="K64" i="12"/>
  <c r="L64" i="12"/>
  <c r="K65" i="12"/>
  <c r="L65" i="12"/>
  <c r="K66" i="12"/>
  <c r="L66" i="12" s="1"/>
  <c r="K67" i="12"/>
  <c r="L67" i="12" s="1"/>
  <c r="K68" i="12"/>
  <c r="L68" i="12"/>
  <c r="K69" i="12"/>
  <c r="L69" i="12"/>
  <c r="K70" i="12"/>
  <c r="L70" i="12" s="1"/>
  <c r="K71" i="12"/>
  <c r="L71" i="12"/>
  <c r="K72" i="12"/>
  <c r="L72" i="12" s="1"/>
  <c r="K73" i="12"/>
  <c r="L73" i="12"/>
  <c r="K74" i="12"/>
  <c r="L74" i="12" s="1"/>
  <c r="K75" i="12"/>
  <c r="L75" i="12" s="1"/>
  <c r="K76" i="12"/>
  <c r="L76" i="12" s="1"/>
  <c r="K77" i="12"/>
  <c r="L77" i="12"/>
  <c r="K78" i="12"/>
  <c r="L78" i="12" s="1"/>
  <c r="K79" i="12"/>
  <c r="L79" i="12"/>
  <c r="K80" i="12"/>
  <c r="L80" i="12"/>
  <c r="K81" i="12"/>
  <c r="L81" i="12" s="1"/>
  <c r="K82" i="12"/>
  <c r="L82" i="12" s="1"/>
  <c r="K83" i="12"/>
  <c r="L83" i="12"/>
  <c r="K84" i="12"/>
  <c r="L84" i="12" s="1"/>
  <c r="E85" i="12"/>
  <c r="M85" i="12"/>
  <c r="K86" i="12"/>
  <c r="L86" i="12"/>
  <c r="K87" i="12"/>
  <c r="L87" i="12" s="1"/>
  <c r="K88" i="12"/>
  <c r="L88" i="12" s="1"/>
  <c r="K89" i="12"/>
  <c r="L89" i="12" s="1"/>
  <c r="K90" i="12"/>
  <c r="L90" i="12" s="1"/>
  <c r="K91" i="12"/>
  <c r="L91" i="12" s="1"/>
  <c r="K92" i="12"/>
  <c r="L92" i="12" s="1"/>
  <c r="K93" i="12"/>
  <c r="L93" i="12"/>
  <c r="K94" i="12"/>
  <c r="L94" i="12" s="1"/>
  <c r="K95" i="12"/>
  <c r="L95" i="12" s="1"/>
  <c r="K96" i="12"/>
  <c r="L96" i="12" s="1"/>
  <c r="K97" i="12"/>
  <c r="L97" i="12"/>
  <c r="K98" i="12"/>
  <c r="L98" i="12"/>
  <c r="K99" i="12"/>
  <c r="L99" i="12" s="1"/>
  <c r="K100" i="12"/>
  <c r="L100" i="12" s="1"/>
  <c r="K101" i="12"/>
  <c r="L101" i="12" s="1"/>
  <c r="K102" i="12"/>
  <c r="L102" i="12"/>
  <c r="K103" i="12"/>
  <c r="L103" i="12" s="1"/>
  <c r="K104" i="12"/>
  <c r="L104" i="12" s="1"/>
  <c r="K105" i="12"/>
  <c r="L105" i="12" s="1"/>
  <c r="K106" i="12"/>
  <c r="L106" i="12" s="1"/>
  <c r="K107" i="12"/>
  <c r="L107" i="12" s="1"/>
  <c r="K108" i="12"/>
  <c r="L108" i="12" s="1"/>
  <c r="K109" i="12"/>
  <c r="L109" i="12"/>
  <c r="K110" i="12"/>
  <c r="L110" i="12" s="1"/>
  <c r="K111" i="12"/>
  <c r="L111" i="12" s="1"/>
  <c r="K112" i="12"/>
  <c r="L112" i="12" s="1"/>
  <c r="K113" i="12"/>
  <c r="L113" i="12"/>
  <c r="K114" i="12"/>
  <c r="L114" i="12"/>
  <c r="K115" i="12"/>
  <c r="L115" i="12" s="1"/>
  <c r="K116" i="12"/>
  <c r="L116" i="12" s="1"/>
  <c r="K117" i="12"/>
  <c r="L117" i="12" s="1"/>
  <c r="K118" i="12"/>
  <c r="L118" i="12"/>
  <c r="K119" i="12"/>
  <c r="L119" i="12" s="1"/>
  <c r="K120" i="12"/>
  <c r="L120" i="12" s="1"/>
  <c r="K121" i="12"/>
  <c r="L121" i="12" s="1"/>
  <c r="K122" i="12"/>
  <c r="L122" i="12" s="1"/>
  <c r="K123" i="12"/>
  <c r="L123" i="12" s="1"/>
  <c r="K124" i="12"/>
  <c r="L124" i="12" s="1"/>
  <c r="K125" i="12"/>
  <c r="L125" i="12"/>
  <c r="K126" i="12"/>
  <c r="L126" i="12" s="1"/>
  <c r="K127" i="12"/>
  <c r="L127" i="12" s="1"/>
  <c r="K128" i="12"/>
  <c r="L128" i="12" s="1"/>
  <c r="K129" i="12"/>
  <c r="L129" i="12"/>
  <c r="K130" i="12"/>
  <c r="L130" i="12"/>
  <c r="K131" i="12"/>
  <c r="L131" i="12" s="1"/>
  <c r="K132" i="12"/>
  <c r="L132" i="12" s="1"/>
  <c r="K133" i="12"/>
  <c r="L133" i="12" s="1"/>
  <c r="K134" i="12"/>
  <c r="L134" i="12"/>
  <c r="E135" i="12"/>
  <c r="E493" i="12" s="1"/>
  <c r="M135" i="12"/>
  <c r="K136" i="12"/>
  <c r="L136" i="12" s="1"/>
  <c r="K137" i="12"/>
  <c r="L137" i="12" s="1"/>
  <c r="K138" i="12"/>
  <c r="L138" i="12" s="1"/>
  <c r="K139" i="12"/>
  <c r="L139" i="12"/>
  <c r="K140" i="12"/>
  <c r="L140" i="12" s="1"/>
  <c r="K141" i="12"/>
  <c r="L141" i="12" s="1"/>
  <c r="K142" i="12"/>
  <c r="L142" i="12" s="1"/>
  <c r="K143" i="12"/>
  <c r="L143" i="12"/>
  <c r="K144" i="12"/>
  <c r="L144" i="12" s="1"/>
  <c r="K145" i="12"/>
  <c r="L145" i="12" s="1"/>
  <c r="K146" i="12"/>
  <c r="L146" i="12"/>
  <c r="K147" i="12"/>
  <c r="L147" i="12" s="1"/>
  <c r="K148" i="12"/>
  <c r="L148" i="12"/>
  <c r="K149" i="12"/>
  <c r="L149" i="12" s="1"/>
  <c r="K150" i="12"/>
  <c r="L150" i="12" s="1"/>
  <c r="K151" i="12"/>
  <c r="L151" i="12" s="1"/>
  <c r="K152" i="12"/>
  <c r="L152" i="12"/>
  <c r="K153" i="12"/>
  <c r="L153" i="12" s="1"/>
  <c r="K154" i="12"/>
  <c r="L154" i="12" s="1"/>
  <c r="K155" i="12"/>
  <c r="L155" i="12"/>
  <c r="K156" i="12"/>
  <c r="L156" i="12" s="1"/>
  <c r="K157" i="12"/>
  <c r="L157" i="12" s="1"/>
  <c r="K158" i="12"/>
  <c r="L158" i="12" s="1"/>
  <c r="K159" i="12"/>
  <c r="L159" i="12" s="1"/>
  <c r="K160" i="12"/>
  <c r="L160" i="12" s="1"/>
  <c r="K161" i="12"/>
  <c r="L161" i="12" s="1"/>
  <c r="K162" i="12"/>
  <c r="L162" i="12"/>
  <c r="K163" i="12"/>
  <c r="L163" i="12" s="1"/>
  <c r="K164" i="12"/>
  <c r="L164" i="12"/>
  <c r="K165" i="12"/>
  <c r="L165" i="12" s="1"/>
  <c r="K166" i="12"/>
  <c r="L166" i="12"/>
  <c r="K167" i="12"/>
  <c r="L167" i="12" s="1"/>
  <c r="K168" i="12"/>
  <c r="L168" i="12" s="1"/>
  <c r="K169" i="12"/>
  <c r="L169" i="12" s="1"/>
  <c r="K170" i="12"/>
  <c r="L170" i="12" s="1"/>
  <c r="K171" i="12"/>
  <c r="L171" i="12"/>
  <c r="K172" i="12"/>
  <c r="L172" i="12" s="1"/>
  <c r="K173" i="12"/>
  <c r="L173" i="12" s="1"/>
  <c r="K174" i="12"/>
  <c r="L174" i="12" s="1"/>
  <c r="K175" i="12"/>
  <c r="L175" i="12"/>
  <c r="K176" i="12"/>
  <c r="L176" i="12" s="1"/>
  <c r="K177" i="12"/>
  <c r="L177" i="12" s="1"/>
  <c r="K178" i="12"/>
  <c r="L178" i="12"/>
  <c r="E179" i="12"/>
  <c r="M179" i="12"/>
  <c r="K180" i="12"/>
  <c r="L180" i="12"/>
  <c r="K181" i="12"/>
  <c r="L181" i="12" s="1"/>
  <c r="K182" i="12"/>
  <c r="L182" i="12" s="1"/>
  <c r="K183" i="12"/>
  <c r="L183" i="12" s="1"/>
  <c r="K184" i="12"/>
  <c r="L184" i="12"/>
  <c r="K185" i="12"/>
  <c r="L185" i="12"/>
  <c r="K186" i="12"/>
  <c r="L186" i="12" s="1"/>
  <c r="K187" i="12"/>
  <c r="L187" i="12" s="1"/>
  <c r="K188" i="12"/>
  <c r="L188" i="12"/>
  <c r="K189" i="12"/>
  <c r="L189" i="12"/>
  <c r="K190" i="12"/>
  <c r="L190" i="12" s="1"/>
  <c r="K191" i="12"/>
  <c r="L191" i="12" s="1"/>
  <c r="K192" i="12"/>
  <c r="L192" i="12" s="1"/>
  <c r="K193" i="12"/>
  <c r="L193" i="12"/>
  <c r="K194" i="12"/>
  <c r="L194" i="12" s="1"/>
  <c r="K195" i="12"/>
  <c r="L195" i="12" s="1"/>
  <c r="K196" i="12"/>
  <c r="L196" i="12"/>
  <c r="K197" i="12"/>
  <c r="L197" i="12" s="1"/>
  <c r="K198" i="12"/>
  <c r="L198" i="12" s="1"/>
  <c r="K199" i="12"/>
  <c r="L199" i="12" s="1"/>
  <c r="K200" i="12"/>
  <c r="L200" i="12"/>
  <c r="K201" i="12"/>
  <c r="L201" i="12"/>
  <c r="K202" i="12"/>
  <c r="L202" i="12" s="1"/>
  <c r="K203" i="12"/>
  <c r="L203" i="12" s="1"/>
  <c r="K204" i="12"/>
  <c r="L204" i="12"/>
  <c r="K205" i="12"/>
  <c r="L205" i="12"/>
  <c r="K206" i="12"/>
  <c r="L206" i="12" s="1"/>
  <c r="K207" i="12"/>
  <c r="L207" i="12" s="1"/>
  <c r="K208" i="12"/>
  <c r="L208" i="12" s="1"/>
  <c r="K209" i="12"/>
  <c r="L209" i="12"/>
  <c r="K210" i="12"/>
  <c r="L210" i="12" s="1"/>
  <c r="K211" i="12"/>
  <c r="L211" i="12" s="1"/>
  <c r="K212" i="12"/>
  <c r="L212" i="12"/>
  <c r="K213" i="12"/>
  <c r="L213" i="12" s="1"/>
  <c r="K214" i="12"/>
  <c r="L214" i="12" s="1"/>
  <c r="K215" i="12"/>
  <c r="L215" i="12" s="1"/>
  <c r="K216" i="12"/>
  <c r="L216" i="12"/>
  <c r="K217" i="12"/>
  <c r="L217" i="12"/>
  <c r="K218" i="12"/>
  <c r="L218" i="12" s="1"/>
  <c r="K219" i="12"/>
  <c r="L219" i="12" s="1"/>
  <c r="K220" i="12"/>
  <c r="L220" i="12"/>
  <c r="K221" i="12"/>
  <c r="L221" i="12"/>
  <c r="K222" i="12"/>
  <c r="L222" i="12" s="1"/>
  <c r="K223" i="12"/>
  <c r="L223" i="12" s="1"/>
  <c r="K224" i="12"/>
  <c r="L224" i="12" s="1"/>
  <c r="K225" i="12"/>
  <c r="L225" i="12"/>
  <c r="K226" i="12"/>
  <c r="L226" i="12" s="1"/>
  <c r="K227" i="12"/>
  <c r="L227" i="12" s="1"/>
  <c r="K228" i="12"/>
  <c r="L228" i="12"/>
  <c r="K229" i="12"/>
  <c r="L229" i="12" s="1"/>
  <c r="K230" i="12"/>
  <c r="L230" i="12" s="1"/>
  <c r="K231" i="12"/>
  <c r="L231" i="12" s="1"/>
  <c r="K232" i="12"/>
  <c r="L232" i="12"/>
  <c r="K233" i="12"/>
  <c r="L233" i="12"/>
  <c r="K234" i="12"/>
  <c r="L234" i="12" s="1"/>
  <c r="K235" i="12"/>
  <c r="L235" i="12" s="1"/>
  <c r="K236" i="12"/>
  <c r="L236" i="12"/>
  <c r="K237" i="12"/>
  <c r="L237" i="12"/>
  <c r="K238" i="12"/>
  <c r="L238" i="12" s="1"/>
  <c r="K239" i="12"/>
  <c r="L239" i="12" s="1"/>
  <c r="K240" i="12"/>
  <c r="L240" i="12" s="1"/>
  <c r="K241" i="12"/>
  <c r="L241" i="12"/>
  <c r="K242" i="12"/>
  <c r="L242" i="12" s="1"/>
  <c r="K243" i="12"/>
  <c r="L243" i="12" s="1"/>
  <c r="K244" i="12"/>
  <c r="L244" i="12"/>
  <c r="K245" i="12"/>
  <c r="L245" i="12" s="1"/>
  <c r="K246" i="12"/>
  <c r="L246" i="12" s="1"/>
  <c r="K247" i="12"/>
  <c r="L247" i="12" s="1"/>
  <c r="K248" i="12"/>
  <c r="L248" i="12"/>
  <c r="K249" i="12"/>
  <c r="L249" i="12"/>
  <c r="K250" i="12"/>
  <c r="L250" i="12" s="1"/>
  <c r="K251" i="12"/>
  <c r="L251" i="12" s="1"/>
  <c r="K252" i="12"/>
  <c r="L252" i="12"/>
  <c r="K253" i="12"/>
  <c r="L253" i="12"/>
  <c r="K254" i="12"/>
  <c r="L254" i="12" s="1"/>
  <c r="K255" i="12"/>
  <c r="L255" i="12" s="1"/>
  <c r="K256" i="12"/>
  <c r="L256" i="12" s="1"/>
  <c r="K257" i="12"/>
  <c r="L257" i="12"/>
  <c r="K258" i="12"/>
  <c r="L258" i="12" s="1"/>
  <c r="K259" i="12"/>
  <c r="L259" i="12" s="1"/>
  <c r="K260" i="12"/>
  <c r="L260" i="12"/>
  <c r="K261" i="12"/>
  <c r="L261" i="12" s="1"/>
  <c r="K262" i="12"/>
  <c r="L262" i="12" s="1"/>
  <c r="K263" i="12"/>
  <c r="L263" i="12" s="1"/>
  <c r="K264" i="12"/>
  <c r="L264" i="12"/>
  <c r="K265" i="12"/>
  <c r="L265" i="12"/>
  <c r="K266" i="12"/>
  <c r="L266" i="12" s="1"/>
  <c r="K267" i="12"/>
  <c r="L267" i="12" s="1"/>
  <c r="K268" i="12"/>
  <c r="L268" i="12"/>
  <c r="K269" i="12"/>
  <c r="L269" i="12"/>
  <c r="K270" i="12"/>
  <c r="L270" i="12" s="1"/>
  <c r="K271" i="12"/>
  <c r="L271" i="12" s="1"/>
  <c r="K272" i="12"/>
  <c r="L272" i="12" s="1"/>
  <c r="K273" i="12"/>
  <c r="L273" i="12"/>
  <c r="K274" i="12"/>
  <c r="L274" i="12" s="1"/>
  <c r="K275" i="12"/>
  <c r="L275" i="12" s="1"/>
  <c r="K276" i="12"/>
  <c r="L276" i="12"/>
  <c r="K277" i="12"/>
  <c r="L277" i="12" s="1"/>
  <c r="K278" i="12"/>
  <c r="L278" i="12" s="1"/>
  <c r="E279" i="12"/>
  <c r="M279" i="12"/>
  <c r="K280" i="12"/>
  <c r="L280" i="12" s="1"/>
  <c r="L281" i="12" s="1"/>
  <c r="E281" i="12"/>
  <c r="M281" i="12"/>
  <c r="K282" i="12"/>
  <c r="L282" i="12" s="1"/>
  <c r="K283" i="12"/>
  <c r="L283" i="12" s="1"/>
  <c r="K284" i="12"/>
  <c r="L284" i="12" s="1"/>
  <c r="K285" i="12"/>
  <c r="L285" i="12" s="1"/>
  <c r="K286" i="12"/>
  <c r="L286" i="12" s="1"/>
  <c r="K287" i="12"/>
  <c r="L287" i="12" s="1"/>
  <c r="K288" i="12"/>
  <c r="L288" i="12" s="1"/>
  <c r="K289" i="12"/>
  <c r="L289" i="12" s="1"/>
  <c r="K290" i="12"/>
  <c r="L290" i="12" s="1"/>
  <c r="K291" i="12"/>
  <c r="L291" i="12" s="1"/>
  <c r="K292" i="12"/>
  <c r="L292" i="12" s="1"/>
  <c r="K293" i="12"/>
  <c r="L293" i="12" s="1"/>
  <c r="K294" i="12"/>
  <c r="L294" i="12" s="1"/>
  <c r="K295" i="12"/>
  <c r="L295" i="12" s="1"/>
  <c r="K296" i="12"/>
  <c r="L296" i="12" s="1"/>
  <c r="K297" i="12"/>
  <c r="L297" i="12" s="1"/>
  <c r="K298" i="12"/>
  <c r="L298" i="12" s="1"/>
  <c r="K299" i="12"/>
  <c r="L299" i="12" s="1"/>
  <c r="K300" i="12"/>
  <c r="L300" i="12" s="1"/>
  <c r="K301" i="12"/>
  <c r="L301" i="12" s="1"/>
  <c r="K302" i="12"/>
  <c r="L302" i="12" s="1"/>
  <c r="K303" i="12"/>
  <c r="L303" i="12" s="1"/>
  <c r="K304" i="12"/>
  <c r="L304" i="12" s="1"/>
  <c r="E305" i="12"/>
  <c r="M305" i="12"/>
  <c r="K306" i="12"/>
  <c r="L306" i="12" s="1"/>
  <c r="K307" i="12"/>
  <c r="L307" i="12" s="1"/>
  <c r="K308" i="12"/>
  <c r="L308" i="12" s="1"/>
  <c r="K309" i="12"/>
  <c r="L309" i="12"/>
  <c r="K310" i="12"/>
  <c r="L310" i="12"/>
  <c r="K311" i="12"/>
  <c r="L311" i="12" s="1"/>
  <c r="K312" i="12"/>
  <c r="L312" i="12" s="1"/>
  <c r="K313" i="12"/>
  <c r="L313" i="12" s="1"/>
  <c r="K314" i="12"/>
  <c r="L314" i="12" s="1"/>
  <c r="K315" i="12"/>
  <c r="L315" i="12" s="1"/>
  <c r="K316" i="12"/>
  <c r="L316" i="12"/>
  <c r="K317" i="12"/>
  <c r="L317" i="12" s="1"/>
  <c r="E318" i="12"/>
  <c r="M318" i="12"/>
  <c r="K319" i="12"/>
  <c r="L319" i="12"/>
  <c r="K320" i="12"/>
  <c r="L320" i="12" s="1"/>
  <c r="E321" i="12"/>
  <c r="M321" i="12"/>
  <c r="K322" i="12"/>
  <c r="L322" i="12" s="1"/>
  <c r="K323" i="12"/>
  <c r="L323" i="12"/>
  <c r="K324" i="12"/>
  <c r="L324" i="12"/>
  <c r="K325" i="12"/>
  <c r="L325" i="12"/>
  <c r="K326" i="12"/>
  <c r="L326" i="12" s="1"/>
  <c r="K327" i="12"/>
  <c r="L327" i="12" s="1"/>
  <c r="K328" i="12"/>
  <c r="L328" i="12" s="1"/>
  <c r="K329" i="12"/>
  <c r="L329" i="12" s="1"/>
  <c r="K330" i="12"/>
  <c r="L330" i="12" s="1"/>
  <c r="K331" i="12"/>
  <c r="L331" i="12" s="1"/>
  <c r="K332" i="12"/>
  <c r="L332" i="12"/>
  <c r="K333" i="12"/>
  <c r="L333" i="12"/>
  <c r="K334" i="12"/>
  <c r="L334" i="12" s="1"/>
  <c r="K335" i="12"/>
  <c r="L335" i="12" s="1"/>
  <c r="K336" i="12"/>
  <c r="L336" i="12" s="1"/>
  <c r="K337" i="12"/>
  <c r="L337" i="12" s="1"/>
  <c r="K338" i="12"/>
  <c r="L338" i="12" s="1"/>
  <c r="K339" i="12"/>
  <c r="L339" i="12"/>
  <c r="K340" i="12"/>
  <c r="L340" i="12" s="1"/>
  <c r="E341" i="12"/>
  <c r="M341" i="12"/>
  <c r="K342" i="12"/>
  <c r="L342" i="12"/>
  <c r="K343" i="12"/>
  <c r="L343" i="12" s="1"/>
  <c r="K344" i="12"/>
  <c r="L344" i="12" s="1"/>
  <c r="E345" i="12"/>
  <c r="M345" i="12"/>
  <c r="K346" i="12"/>
  <c r="L346" i="12"/>
  <c r="K347" i="12"/>
  <c r="L347" i="12"/>
  <c r="K348" i="12"/>
  <c r="L348" i="12"/>
  <c r="K349" i="12"/>
  <c r="L349" i="12" s="1"/>
  <c r="K350" i="12"/>
  <c r="L350" i="12" s="1"/>
  <c r="K351" i="12"/>
  <c r="L351" i="12" s="1"/>
  <c r="K352" i="12"/>
  <c r="L352" i="12" s="1"/>
  <c r="K353" i="12"/>
  <c r="L353" i="12" s="1"/>
  <c r="K354" i="12"/>
  <c r="L354" i="12" s="1"/>
  <c r="K355" i="12"/>
  <c r="L355" i="12"/>
  <c r="K356" i="12"/>
  <c r="L356" i="12"/>
  <c r="K357" i="12"/>
  <c r="L357" i="12" s="1"/>
  <c r="K358" i="12"/>
  <c r="L358" i="12" s="1"/>
  <c r="K359" i="12"/>
  <c r="L359" i="12" s="1"/>
  <c r="K360" i="12"/>
  <c r="L360" i="12" s="1"/>
  <c r="K361" i="12"/>
  <c r="L361" i="12" s="1"/>
  <c r="K362" i="12"/>
  <c r="L362" i="12"/>
  <c r="K363" i="12"/>
  <c r="L363" i="12" s="1"/>
  <c r="K364" i="12"/>
  <c r="L364" i="12"/>
  <c r="K365" i="12"/>
  <c r="L365" i="12" s="1"/>
  <c r="K366" i="12"/>
  <c r="L366" i="12" s="1"/>
  <c r="K367" i="12"/>
  <c r="L367" i="12" s="1"/>
  <c r="K368" i="12"/>
  <c r="L368" i="12" s="1"/>
  <c r="K369" i="12"/>
  <c r="L369" i="12" s="1"/>
  <c r="E370" i="12"/>
  <c r="M370" i="12"/>
  <c r="K371" i="12"/>
  <c r="L371" i="12" s="1"/>
  <c r="L374" i="12" s="1"/>
  <c r="K372" i="12"/>
  <c r="L372" i="12" s="1"/>
  <c r="K373" i="12"/>
  <c r="L373" i="12" s="1"/>
  <c r="E374" i="12"/>
  <c r="M374" i="12"/>
  <c r="K375" i="12"/>
  <c r="L375" i="12" s="1"/>
  <c r="L376" i="12" s="1"/>
  <c r="E376" i="12"/>
  <c r="M376" i="12"/>
  <c r="K377" i="12"/>
  <c r="L377" i="12" s="1"/>
  <c r="L381" i="12" s="1"/>
  <c r="K378" i="12"/>
  <c r="L378" i="12" s="1"/>
  <c r="K379" i="12"/>
  <c r="L379" i="12" s="1"/>
  <c r="K380" i="12"/>
  <c r="L380" i="12" s="1"/>
  <c r="E381" i="12"/>
  <c r="M381" i="12"/>
  <c r="K382" i="12"/>
  <c r="L382" i="12" s="1"/>
  <c r="K383" i="12"/>
  <c r="L383" i="12" s="1"/>
  <c r="K384" i="12"/>
  <c r="L384" i="12"/>
  <c r="K385" i="12"/>
  <c r="L385" i="12"/>
  <c r="K386" i="12"/>
  <c r="L386" i="12" s="1"/>
  <c r="K387" i="12"/>
  <c r="L387" i="12" s="1"/>
  <c r="K388" i="12"/>
  <c r="L388" i="12" s="1"/>
  <c r="K389" i="12"/>
  <c r="L389" i="12" s="1"/>
  <c r="K390" i="12"/>
  <c r="L390" i="12" s="1"/>
  <c r="K391" i="12"/>
  <c r="L391" i="12" s="1"/>
  <c r="K392" i="12"/>
  <c r="L392" i="12"/>
  <c r="K393" i="12"/>
  <c r="L393" i="12"/>
  <c r="K394" i="12"/>
  <c r="L394" i="12"/>
  <c r="K395" i="12"/>
  <c r="L395" i="12" s="1"/>
  <c r="K396" i="12"/>
  <c r="L396" i="12" s="1"/>
  <c r="K397" i="12"/>
  <c r="L397" i="12" s="1"/>
  <c r="K398" i="12"/>
  <c r="L398" i="12" s="1"/>
  <c r="K399" i="12"/>
  <c r="L399" i="12" s="1"/>
  <c r="K400" i="12"/>
  <c r="L400" i="12" s="1"/>
  <c r="K401" i="12"/>
  <c r="L401" i="12"/>
  <c r="K402" i="12"/>
  <c r="L402" i="12"/>
  <c r="K403" i="12"/>
  <c r="L403" i="12" s="1"/>
  <c r="K404" i="12"/>
  <c r="L404" i="12" s="1"/>
  <c r="K405" i="12"/>
  <c r="L405" i="12" s="1"/>
  <c r="K406" i="12"/>
  <c r="L406" i="12" s="1"/>
  <c r="K407" i="12"/>
  <c r="L407" i="12" s="1"/>
  <c r="K408" i="12"/>
  <c r="L408" i="12"/>
  <c r="K409" i="12"/>
  <c r="L409" i="12" s="1"/>
  <c r="K410" i="12"/>
  <c r="L410" i="12"/>
  <c r="K411" i="12"/>
  <c r="L411" i="12" s="1"/>
  <c r="K412" i="12"/>
  <c r="L412" i="12" s="1"/>
  <c r="K413" i="12"/>
  <c r="L413" i="12" s="1"/>
  <c r="K414" i="12"/>
  <c r="L414" i="12" s="1"/>
  <c r="K415" i="12"/>
  <c r="L415" i="12" s="1"/>
  <c r="K416" i="12"/>
  <c r="L416" i="12"/>
  <c r="K417" i="12"/>
  <c r="L417" i="12"/>
  <c r="K418" i="12"/>
  <c r="L418" i="12" s="1"/>
  <c r="K419" i="12"/>
  <c r="L419" i="12" s="1"/>
  <c r="K420" i="12"/>
  <c r="L420" i="12" s="1"/>
  <c r="K421" i="12"/>
  <c r="L421" i="12" s="1"/>
  <c r="K422" i="12"/>
  <c r="L422" i="12" s="1"/>
  <c r="K423" i="12"/>
  <c r="L423" i="12" s="1"/>
  <c r="K424" i="12"/>
  <c r="L424" i="12"/>
  <c r="K425" i="12"/>
  <c r="L425" i="12"/>
  <c r="K426" i="12"/>
  <c r="L426" i="12"/>
  <c r="K427" i="12"/>
  <c r="L427" i="12" s="1"/>
  <c r="K428" i="12"/>
  <c r="L428" i="12" s="1"/>
  <c r="K429" i="12"/>
  <c r="L429" i="12" s="1"/>
  <c r="K430" i="12"/>
  <c r="L430" i="12" s="1"/>
  <c r="K431" i="12"/>
  <c r="L431" i="12" s="1"/>
  <c r="K432" i="12"/>
  <c r="L432" i="12" s="1"/>
  <c r="K433" i="12"/>
  <c r="L433" i="12"/>
  <c r="K434" i="12"/>
  <c r="L434" i="12"/>
  <c r="K435" i="12"/>
  <c r="L435" i="12" s="1"/>
  <c r="K436" i="12"/>
  <c r="L436" i="12" s="1"/>
  <c r="K437" i="12"/>
  <c r="L437" i="12" s="1"/>
  <c r="K438" i="12"/>
  <c r="L438" i="12" s="1"/>
  <c r="K439" i="12"/>
  <c r="L439" i="12" s="1"/>
  <c r="K440" i="12"/>
  <c r="L440" i="12"/>
  <c r="K441" i="12"/>
  <c r="L441" i="12" s="1"/>
  <c r="K442" i="12"/>
  <c r="L442" i="12"/>
  <c r="K443" i="12"/>
  <c r="L443" i="12" s="1"/>
  <c r="K444" i="12"/>
  <c r="L444" i="12" s="1"/>
  <c r="K445" i="12"/>
  <c r="L445" i="12" s="1"/>
  <c r="K446" i="12"/>
  <c r="L446" i="12" s="1"/>
  <c r="K447" i="12"/>
  <c r="L447" i="12" s="1"/>
  <c r="K448" i="12"/>
  <c r="L448" i="12"/>
  <c r="E449" i="12"/>
  <c r="M449" i="12"/>
  <c r="K450" i="12"/>
  <c r="L450" i="12" s="1"/>
  <c r="L454" i="12" s="1"/>
  <c r="K451" i="12"/>
  <c r="L451" i="12"/>
  <c r="K452" i="12"/>
  <c r="L452" i="12" s="1"/>
  <c r="K453" i="12"/>
  <c r="L453" i="12" s="1"/>
  <c r="E454" i="12"/>
  <c r="M454" i="12"/>
  <c r="K455" i="12"/>
  <c r="L455" i="12" s="1"/>
  <c r="K456" i="12"/>
  <c r="L456" i="12"/>
  <c r="K457" i="12"/>
  <c r="L457" i="12"/>
  <c r="K458" i="12"/>
  <c r="L458" i="12" s="1"/>
  <c r="K459" i="12"/>
  <c r="L459" i="12" s="1"/>
  <c r="K460" i="12"/>
  <c r="L460" i="12" s="1"/>
  <c r="K461" i="12"/>
  <c r="L461" i="12" s="1"/>
  <c r="K462" i="12"/>
  <c r="L462" i="12" s="1"/>
  <c r="K463" i="12"/>
  <c r="L463" i="12"/>
  <c r="K464" i="12"/>
  <c r="L464" i="12" s="1"/>
  <c r="K465" i="12"/>
  <c r="L465" i="12"/>
  <c r="E466" i="12"/>
  <c r="M466" i="12"/>
  <c r="K467" i="12"/>
  <c r="L467" i="12" s="1"/>
  <c r="K468" i="12"/>
  <c r="L468" i="12" s="1"/>
  <c r="K469" i="12"/>
  <c r="L469" i="12" s="1"/>
  <c r="K470" i="12"/>
  <c r="L470" i="12"/>
  <c r="K471" i="12"/>
  <c r="L471" i="12" s="1"/>
  <c r="K472" i="12"/>
  <c r="L472" i="12" s="1"/>
  <c r="K473" i="12"/>
  <c r="L473" i="12"/>
  <c r="K474" i="12"/>
  <c r="L474" i="12" s="1"/>
  <c r="K475" i="12"/>
  <c r="L475" i="12" s="1"/>
  <c r="K476" i="12"/>
  <c r="L476" i="12" s="1"/>
  <c r="K477" i="12"/>
  <c r="L477" i="12"/>
  <c r="K478" i="12"/>
  <c r="L478" i="12"/>
  <c r="K479" i="12"/>
  <c r="L479" i="12" s="1"/>
  <c r="K480" i="12"/>
  <c r="L480" i="12" s="1"/>
  <c r="K481" i="12"/>
  <c r="L481" i="12"/>
  <c r="K482" i="12"/>
  <c r="L482" i="12"/>
  <c r="K483" i="12"/>
  <c r="L483" i="12" s="1"/>
  <c r="K484" i="12"/>
  <c r="L484" i="12" s="1"/>
  <c r="K485" i="12"/>
  <c r="L485" i="12" s="1"/>
  <c r="K486" i="12"/>
  <c r="L486" i="12"/>
  <c r="K487" i="12"/>
  <c r="L487" i="12" s="1"/>
  <c r="K488" i="12"/>
  <c r="L488" i="12" s="1"/>
  <c r="K489" i="12"/>
  <c r="L489" i="12"/>
  <c r="K490" i="12"/>
  <c r="L490" i="12" s="1"/>
  <c r="E491" i="12"/>
  <c r="M491" i="12"/>
  <c r="M493" i="12"/>
  <c r="L318" i="12" l="1"/>
  <c r="L491" i="12"/>
  <c r="L449" i="12"/>
  <c r="L179" i="12"/>
  <c r="L341" i="12"/>
  <c r="L466" i="12"/>
  <c r="L370" i="12"/>
  <c r="L305" i="12"/>
  <c r="L85" i="12"/>
  <c r="L279" i="12"/>
  <c r="L345" i="12"/>
  <c r="L135" i="12"/>
  <c r="L33" i="12"/>
  <c r="L493" i="12" s="1"/>
  <c r="L321" i="12"/>
  <c r="K4" i="11"/>
  <c r="L4" i="11"/>
  <c r="K5" i="11"/>
  <c r="L5" i="11"/>
  <c r="K6" i="11"/>
  <c r="L6" i="11"/>
  <c r="K7" i="11"/>
  <c r="L7" i="11" s="1"/>
  <c r="K8" i="11"/>
  <c r="L8" i="11"/>
  <c r="K9" i="11"/>
  <c r="L9" i="11"/>
  <c r="K10" i="11"/>
  <c r="L10" i="11"/>
  <c r="K11" i="11"/>
  <c r="L11" i="11" s="1"/>
  <c r="K12" i="11"/>
  <c r="L12" i="11"/>
  <c r="K13" i="11"/>
  <c r="L13" i="11"/>
  <c r="K14" i="11"/>
  <c r="L14" i="11"/>
  <c r="K15" i="11"/>
  <c r="L15" i="11" s="1"/>
  <c r="K16" i="11"/>
  <c r="L16" i="11"/>
  <c r="K17" i="11"/>
  <c r="L17" i="11"/>
  <c r="K18" i="11"/>
  <c r="L18" i="11"/>
  <c r="K19" i="11"/>
  <c r="L19" i="11" s="1"/>
  <c r="K20" i="11"/>
  <c r="L20" i="11"/>
  <c r="K21" i="11"/>
  <c r="L21" i="11"/>
  <c r="K22" i="11"/>
  <c r="L22" i="11"/>
  <c r="K23" i="11"/>
  <c r="L23" i="11" s="1"/>
  <c r="K24" i="11"/>
  <c r="L24" i="11"/>
  <c r="K25" i="11"/>
  <c r="L25" i="11"/>
  <c r="K26" i="11"/>
  <c r="L26" i="11"/>
  <c r="K27" i="11"/>
  <c r="L27" i="11" s="1"/>
  <c r="K28" i="11"/>
  <c r="L28" i="11"/>
  <c r="K29" i="11"/>
  <c r="L29" i="11"/>
  <c r="K30" i="11"/>
  <c r="L30" i="11"/>
  <c r="K31" i="11"/>
  <c r="L31" i="11" s="1"/>
  <c r="E32" i="11"/>
  <c r="M32" i="11"/>
  <c r="K33" i="11"/>
  <c r="L33" i="11" s="1"/>
  <c r="L36" i="11" s="1"/>
  <c r="K34" i="11"/>
  <c r="L34" i="11"/>
  <c r="K35" i="11"/>
  <c r="L35" i="11"/>
  <c r="E36" i="11"/>
  <c r="E419" i="11" s="1"/>
  <c r="M36" i="11"/>
  <c r="M419" i="11" s="1"/>
  <c r="K37" i="11"/>
  <c r="L37" i="11"/>
  <c r="K38" i="11"/>
  <c r="L38" i="11" s="1"/>
  <c r="K39" i="11"/>
  <c r="L39" i="11"/>
  <c r="K40" i="11"/>
  <c r="L40" i="11"/>
  <c r="K41" i="11"/>
  <c r="L41" i="11"/>
  <c r="K42" i="11"/>
  <c r="L42" i="11" s="1"/>
  <c r="K43" i="11"/>
  <c r="L43" i="11"/>
  <c r="K44" i="11"/>
  <c r="L44" i="11"/>
  <c r="K45" i="11"/>
  <c r="L45" i="11"/>
  <c r="K46" i="11"/>
  <c r="L46" i="11" s="1"/>
  <c r="K47" i="11"/>
  <c r="L47" i="11"/>
  <c r="K48" i="11"/>
  <c r="L48" i="11"/>
  <c r="K49" i="11"/>
  <c r="L49" i="11"/>
  <c r="K50" i="11"/>
  <c r="L50" i="11" s="1"/>
  <c r="K51" i="11"/>
  <c r="L51" i="11"/>
  <c r="K52" i="11"/>
  <c r="L52" i="11"/>
  <c r="K53" i="11"/>
  <c r="L53" i="11"/>
  <c r="K54" i="11"/>
  <c r="L54" i="11" s="1"/>
  <c r="K55" i="11"/>
  <c r="L55" i="11"/>
  <c r="K56" i="11"/>
  <c r="L56" i="11"/>
  <c r="K57" i="11"/>
  <c r="L57" i="11"/>
  <c r="K58" i="11"/>
  <c r="L58" i="11" s="1"/>
  <c r="K59" i="11"/>
  <c r="L59" i="11"/>
  <c r="K60" i="11"/>
  <c r="L60" i="11"/>
  <c r="K61" i="11"/>
  <c r="L61" i="11"/>
  <c r="K62" i="11"/>
  <c r="L62" i="11" s="1"/>
  <c r="K63" i="11"/>
  <c r="L63" i="11"/>
  <c r="K64" i="11"/>
  <c r="L64" i="11"/>
  <c r="K65" i="11"/>
  <c r="L65" i="11"/>
  <c r="K66" i="11"/>
  <c r="L66" i="11" s="1"/>
  <c r="K67" i="11"/>
  <c r="L67" i="11"/>
  <c r="K68" i="11"/>
  <c r="L68" i="11"/>
  <c r="E69" i="11"/>
  <c r="M69" i="11"/>
  <c r="K70" i="11"/>
  <c r="L70" i="11"/>
  <c r="K71" i="11"/>
  <c r="L71" i="11" s="1"/>
  <c r="K72" i="11"/>
  <c r="L72" i="11" s="1"/>
  <c r="K73" i="11"/>
  <c r="L73" i="11"/>
  <c r="K74" i="11"/>
  <c r="L74" i="11"/>
  <c r="K75" i="11"/>
  <c r="L75" i="11" s="1"/>
  <c r="K76" i="11"/>
  <c r="L76" i="11" s="1"/>
  <c r="K77" i="11"/>
  <c r="L77" i="11"/>
  <c r="K78" i="11"/>
  <c r="L78" i="11"/>
  <c r="K79" i="11"/>
  <c r="L79" i="11" s="1"/>
  <c r="K80" i="11"/>
  <c r="L80" i="11" s="1"/>
  <c r="K81" i="11"/>
  <c r="L81" i="11"/>
  <c r="K82" i="11"/>
  <c r="L82" i="11"/>
  <c r="K83" i="11"/>
  <c r="L83" i="11" s="1"/>
  <c r="K84" i="11"/>
  <c r="L84" i="11" s="1"/>
  <c r="K85" i="11"/>
  <c r="L85" i="11"/>
  <c r="K86" i="11"/>
  <c r="L86" i="11"/>
  <c r="K87" i="11"/>
  <c r="L87" i="11" s="1"/>
  <c r="K88" i="11"/>
  <c r="L88" i="11" s="1"/>
  <c r="K89" i="11"/>
  <c r="L89" i="11"/>
  <c r="K90" i="11"/>
  <c r="L90" i="11"/>
  <c r="K91" i="11"/>
  <c r="L91" i="11" s="1"/>
  <c r="K92" i="11"/>
  <c r="L92" i="11" s="1"/>
  <c r="K93" i="11"/>
  <c r="L93" i="11"/>
  <c r="K94" i="11"/>
  <c r="L94" i="11"/>
  <c r="K95" i="11"/>
  <c r="L95" i="11" s="1"/>
  <c r="K96" i="11"/>
  <c r="L96" i="11" s="1"/>
  <c r="K97" i="11"/>
  <c r="L97" i="11"/>
  <c r="K98" i="11"/>
  <c r="L98" i="11"/>
  <c r="K99" i="11"/>
  <c r="L99" i="11" s="1"/>
  <c r="K100" i="11"/>
  <c r="L100" i="11" s="1"/>
  <c r="K101" i="11"/>
  <c r="L101" i="11"/>
  <c r="K102" i="11"/>
  <c r="L102" i="11"/>
  <c r="K103" i="11"/>
  <c r="L103" i="11" s="1"/>
  <c r="K104" i="11"/>
  <c r="L104" i="11" s="1"/>
  <c r="K105" i="11"/>
  <c r="L105" i="11"/>
  <c r="K106" i="11"/>
  <c r="L106" i="11"/>
  <c r="K107" i="11"/>
  <c r="L107" i="11" s="1"/>
  <c r="K108" i="11"/>
  <c r="L108" i="11" s="1"/>
  <c r="E109" i="11"/>
  <c r="M109" i="11"/>
  <c r="K110" i="11"/>
  <c r="L110" i="11"/>
  <c r="K111" i="11"/>
  <c r="L111" i="11"/>
  <c r="K112" i="11"/>
  <c r="L112" i="11"/>
  <c r="K113" i="11"/>
  <c r="L113" i="11" s="1"/>
  <c r="K114" i="11"/>
  <c r="L114" i="11"/>
  <c r="K115" i="11"/>
  <c r="L115" i="11"/>
  <c r="K116" i="11"/>
  <c r="L116" i="11"/>
  <c r="K117" i="11"/>
  <c r="L117" i="11" s="1"/>
  <c r="K118" i="11"/>
  <c r="L118" i="11"/>
  <c r="K119" i="11"/>
  <c r="L119" i="11"/>
  <c r="K120" i="11"/>
  <c r="L120" i="11"/>
  <c r="K121" i="11"/>
  <c r="L121" i="11" s="1"/>
  <c r="K122" i="11"/>
  <c r="L122" i="11"/>
  <c r="K123" i="11"/>
  <c r="L123" i="11"/>
  <c r="K124" i="11"/>
  <c r="L124" i="11"/>
  <c r="K125" i="11"/>
  <c r="L125" i="11" s="1"/>
  <c r="K126" i="11"/>
  <c r="L126" i="11"/>
  <c r="K127" i="11"/>
  <c r="L127" i="11"/>
  <c r="K128" i="11"/>
  <c r="L128" i="11"/>
  <c r="K129" i="11"/>
  <c r="L129" i="11" s="1"/>
  <c r="K130" i="11"/>
  <c r="L130" i="11"/>
  <c r="K131" i="11"/>
  <c r="L131" i="11"/>
  <c r="K132" i="11"/>
  <c r="L132" i="11"/>
  <c r="K133" i="11"/>
  <c r="L133" i="11" s="1"/>
  <c r="K134" i="11"/>
  <c r="L134" i="11"/>
  <c r="K135" i="11"/>
  <c r="L135" i="11"/>
  <c r="K136" i="11"/>
  <c r="L136" i="11"/>
  <c r="K137" i="11"/>
  <c r="L137" i="11" s="1"/>
  <c r="K138" i="11"/>
  <c r="L138" i="11"/>
  <c r="K139" i="11"/>
  <c r="L139" i="11"/>
  <c r="K140" i="11"/>
  <c r="L140" i="11"/>
  <c r="K141" i="11"/>
  <c r="L141" i="11" s="1"/>
  <c r="K142" i="11"/>
  <c r="L142" i="11"/>
  <c r="K143" i="11"/>
  <c r="L143" i="11"/>
  <c r="K144" i="11"/>
  <c r="L144" i="11"/>
  <c r="K145" i="11"/>
  <c r="L145" i="11" s="1"/>
  <c r="K146" i="11"/>
  <c r="L146" i="11"/>
  <c r="K147" i="11"/>
  <c r="L147" i="11"/>
  <c r="E148" i="11"/>
  <c r="M148" i="11"/>
  <c r="K149" i="11"/>
  <c r="L149" i="11"/>
  <c r="K150" i="11"/>
  <c r="L150" i="11" s="1"/>
  <c r="K151" i="11"/>
  <c r="L151" i="11" s="1"/>
  <c r="K152" i="11"/>
  <c r="L152" i="11"/>
  <c r="K153" i="11"/>
  <c r="L153" i="11"/>
  <c r="K154" i="11"/>
  <c r="L154" i="11" s="1"/>
  <c r="K155" i="11"/>
  <c r="L155" i="11" s="1"/>
  <c r="K156" i="11"/>
  <c r="L156" i="11"/>
  <c r="K157" i="11"/>
  <c r="L157" i="11"/>
  <c r="K158" i="11"/>
  <c r="L158" i="11" s="1"/>
  <c r="K159" i="11"/>
  <c r="L159" i="11" s="1"/>
  <c r="K160" i="11"/>
  <c r="L160" i="11"/>
  <c r="K161" i="11"/>
  <c r="L161" i="11"/>
  <c r="K162" i="11"/>
  <c r="L162" i="11" s="1"/>
  <c r="K163" i="11"/>
  <c r="L163" i="11" s="1"/>
  <c r="K164" i="11"/>
  <c r="L164" i="11"/>
  <c r="K165" i="11"/>
  <c r="L165" i="11"/>
  <c r="K166" i="11"/>
  <c r="L166" i="11" s="1"/>
  <c r="K167" i="11"/>
  <c r="L167" i="11" s="1"/>
  <c r="K168" i="11"/>
  <c r="L168" i="11"/>
  <c r="K169" i="11"/>
  <c r="L169" i="11"/>
  <c r="K170" i="11"/>
  <c r="L170" i="11" s="1"/>
  <c r="K171" i="11"/>
  <c r="L171" i="11" s="1"/>
  <c r="K172" i="11"/>
  <c r="L172" i="11"/>
  <c r="K173" i="11"/>
  <c r="L173" i="11"/>
  <c r="K174" i="11"/>
  <c r="L174" i="11" s="1"/>
  <c r="K175" i="11"/>
  <c r="L175" i="11" s="1"/>
  <c r="K176" i="11"/>
  <c r="L176" i="11"/>
  <c r="K177" i="11"/>
  <c r="L177" i="11"/>
  <c r="K178" i="11"/>
  <c r="L178" i="11" s="1"/>
  <c r="K179" i="11"/>
  <c r="L179" i="11" s="1"/>
  <c r="K180" i="11"/>
  <c r="L180" i="11"/>
  <c r="K181" i="11"/>
  <c r="L181" i="11"/>
  <c r="K182" i="11"/>
  <c r="L182" i="11" s="1"/>
  <c r="K183" i="11"/>
  <c r="L183" i="11" s="1"/>
  <c r="K184" i="11"/>
  <c r="L184" i="11"/>
  <c r="K185" i="11"/>
  <c r="L185" i="11"/>
  <c r="K186" i="11"/>
  <c r="L186" i="11" s="1"/>
  <c r="K187" i="11"/>
  <c r="L187" i="11" s="1"/>
  <c r="K188" i="11"/>
  <c r="L188" i="11"/>
  <c r="K189" i="11"/>
  <c r="L189" i="11"/>
  <c r="K190" i="11"/>
  <c r="L190" i="11" s="1"/>
  <c r="K191" i="11"/>
  <c r="L191" i="11" s="1"/>
  <c r="K192" i="11"/>
  <c r="L192" i="11"/>
  <c r="K193" i="11"/>
  <c r="L193" i="11"/>
  <c r="K194" i="11"/>
  <c r="L194" i="11" s="1"/>
  <c r="K195" i="11"/>
  <c r="L195" i="11" s="1"/>
  <c r="K196" i="11"/>
  <c r="L196" i="11"/>
  <c r="K197" i="11"/>
  <c r="L197" i="11"/>
  <c r="K198" i="11"/>
  <c r="L198" i="11" s="1"/>
  <c r="K199" i="11"/>
  <c r="L199" i="11" s="1"/>
  <c r="K200" i="11"/>
  <c r="L200" i="11"/>
  <c r="K201" i="11"/>
  <c r="L201" i="11"/>
  <c r="K202" i="11"/>
  <c r="L202" i="11" s="1"/>
  <c r="K203" i="11"/>
  <c r="L203" i="11" s="1"/>
  <c r="K204" i="11"/>
  <c r="L204" i="11"/>
  <c r="K205" i="11"/>
  <c r="L205" i="11"/>
  <c r="K206" i="11"/>
  <c r="L206" i="11" s="1"/>
  <c r="K207" i="11"/>
  <c r="L207" i="11" s="1"/>
  <c r="K208" i="11"/>
  <c r="L208" i="11"/>
  <c r="K209" i="11"/>
  <c r="L209" i="11"/>
  <c r="K210" i="11"/>
  <c r="L210" i="11" s="1"/>
  <c r="K211" i="11"/>
  <c r="L211" i="11" s="1"/>
  <c r="K212" i="11"/>
  <c r="L212" i="11"/>
  <c r="K213" i="11"/>
  <c r="L213" i="11"/>
  <c r="K214" i="11"/>
  <c r="L214" i="11" s="1"/>
  <c r="K215" i="11"/>
  <c r="L215" i="11" s="1"/>
  <c r="K216" i="11"/>
  <c r="L216" i="11"/>
  <c r="K217" i="11"/>
  <c r="L217" i="11"/>
  <c r="K218" i="11"/>
  <c r="L218" i="11" s="1"/>
  <c r="K219" i="11"/>
  <c r="L219" i="11" s="1"/>
  <c r="K220" i="11"/>
  <c r="L220" i="11"/>
  <c r="K221" i="11"/>
  <c r="L221" i="11"/>
  <c r="K222" i="11"/>
  <c r="L222" i="11" s="1"/>
  <c r="K223" i="11"/>
  <c r="L223" i="11" s="1"/>
  <c r="K224" i="11"/>
  <c r="L224" i="11"/>
  <c r="K225" i="11"/>
  <c r="L225" i="11"/>
  <c r="K226" i="11"/>
  <c r="L226" i="11" s="1"/>
  <c r="K227" i="11"/>
  <c r="L227" i="11" s="1"/>
  <c r="K228" i="11"/>
  <c r="L228" i="11"/>
  <c r="K229" i="11"/>
  <c r="L229" i="11"/>
  <c r="K230" i="11"/>
  <c r="L230" i="11" s="1"/>
  <c r="K231" i="11"/>
  <c r="L231" i="11" s="1"/>
  <c r="K232" i="11"/>
  <c r="L232" i="11"/>
  <c r="E233" i="11"/>
  <c r="M233" i="11"/>
  <c r="K234" i="11"/>
  <c r="L234" i="11"/>
  <c r="L235" i="11" s="1"/>
  <c r="E235" i="11"/>
  <c r="M235" i="11"/>
  <c r="K236" i="11"/>
  <c r="L236" i="11"/>
  <c r="K237" i="11"/>
  <c r="L237" i="11" s="1"/>
  <c r="K238" i="11"/>
  <c r="L238" i="11" s="1"/>
  <c r="K239" i="11"/>
  <c r="L239" i="11"/>
  <c r="K240" i="11"/>
  <c r="L240" i="11"/>
  <c r="K241" i="11"/>
  <c r="L241" i="11" s="1"/>
  <c r="K242" i="11"/>
  <c r="L242" i="11" s="1"/>
  <c r="K243" i="11"/>
  <c r="L243" i="11"/>
  <c r="K244" i="11"/>
  <c r="L244" i="11"/>
  <c r="K245" i="11"/>
  <c r="L245" i="11" s="1"/>
  <c r="K246" i="11"/>
  <c r="L246" i="11" s="1"/>
  <c r="K247" i="11"/>
  <c r="L247" i="11"/>
  <c r="K248" i="11"/>
  <c r="L248" i="11"/>
  <c r="K249" i="11"/>
  <c r="L249" i="11" s="1"/>
  <c r="K250" i="11"/>
  <c r="L250" i="11" s="1"/>
  <c r="K251" i="11"/>
  <c r="L251" i="11"/>
  <c r="K252" i="11"/>
  <c r="L252" i="11"/>
  <c r="K253" i="11"/>
  <c r="L253" i="11" s="1"/>
  <c r="K254" i="11"/>
  <c r="L254" i="11" s="1"/>
  <c r="K255" i="11"/>
  <c r="L255" i="11"/>
  <c r="K256" i="11"/>
  <c r="L256" i="11"/>
  <c r="E257" i="11"/>
  <c r="M257" i="11"/>
  <c r="K258" i="11"/>
  <c r="L258" i="11"/>
  <c r="K259" i="11"/>
  <c r="L259" i="11" s="1"/>
  <c r="K260" i="11"/>
  <c r="L260" i="11"/>
  <c r="K261" i="11"/>
  <c r="L261" i="11"/>
  <c r="K262" i="11"/>
  <c r="L262" i="11"/>
  <c r="K263" i="11"/>
  <c r="L263" i="11" s="1"/>
  <c r="K264" i="11"/>
  <c r="L264" i="11"/>
  <c r="K265" i="11"/>
  <c r="L265" i="11"/>
  <c r="K266" i="11"/>
  <c r="L266" i="11"/>
  <c r="K267" i="11"/>
  <c r="L267" i="11" s="1"/>
  <c r="K268" i="11"/>
  <c r="L268" i="11"/>
  <c r="E269" i="11"/>
  <c r="M269" i="11"/>
  <c r="K270" i="11"/>
  <c r="L270" i="11"/>
  <c r="L272" i="11" s="1"/>
  <c r="K271" i="11"/>
  <c r="L271" i="11"/>
  <c r="E272" i="11"/>
  <c r="M272" i="11"/>
  <c r="K273" i="11"/>
  <c r="L273" i="11"/>
  <c r="K274" i="11"/>
  <c r="L274" i="11" s="1"/>
  <c r="L285" i="11" s="1"/>
  <c r="K275" i="11"/>
  <c r="L275" i="11"/>
  <c r="K276" i="11"/>
  <c r="L276" i="11"/>
  <c r="K277" i="11"/>
  <c r="L277" i="11"/>
  <c r="K278" i="11"/>
  <c r="L278" i="11" s="1"/>
  <c r="K279" i="11"/>
  <c r="L279" i="11"/>
  <c r="K280" i="11"/>
  <c r="L280" i="11"/>
  <c r="K281" i="11"/>
  <c r="L281" i="11"/>
  <c r="K282" i="11"/>
  <c r="L282" i="11" s="1"/>
  <c r="K283" i="11"/>
  <c r="L283" i="11"/>
  <c r="K284" i="11"/>
  <c r="L284" i="11"/>
  <c r="E285" i="11"/>
  <c r="M285" i="11"/>
  <c r="K286" i="11"/>
  <c r="L286" i="11"/>
  <c r="K287" i="11"/>
  <c r="L287" i="11" s="1"/>
  <c r="K288" i="11"/>
  <c r="L288" i="11" s="1"/>
  <c r="E289" i="11"/>
  <c r="M289" i="11"/>
  <c r="K290" i="11"/>
  <c r="L290" i="11"/>
  <c r="K291" i="11"/>
  <c r="L291" i="11"/>
  <c r="K292" i="11"/>
  <c r="L292" i="11"/>
  <c r="K293" i="11"/>
  <c r="L293" i="11" s="1"/>
  <c r="K294" i="11"/>
  <c r="L294" i="11"/>
  <c r="K295" i="11"/>
  <c r="L295" i="11"/>
  <c r="K296" i="11"/>
  <c r="L296" i="11"/>
  <c r="K297" i="11"/>
  <c r="L297" i="11" s="1"/>
  <c r="K298" i="11"/>
  <c r="L298" i="11"/>
  <c r="K299" i="11"/>
  <c r="L299" i="11"/>
  <c r="K300" i="11"/>
  <c r="L300" i="11"/>
  <c r="K301" i="11"/>
  <c r="L301" i="11" s="1"/>
  <c r="K302" i="11"/>
  <c r="L302" i="11"/>
  <c r="K303" i="11"/>
  <c r="L303" i="11"/>
  <c r="K304" i="11"/>
  <c r="L304" i="11"/>
  <c r="K305" i="11"/>
  <c r="L305" i="11" s="1"/>
  <c r="K306" i="11"/>
  <c r="L306" i="11"/>
  <c r="K307" i="11"/>
  <c r="L307" i="11"/>
  <c r="K308" i="11"/>
  <c r="L308" i="11"/>
  <c r="E309" i="11"/>
  <c r="M309" i="11"/>
  <c r="K310" i="11"/>
  <c r="L310" i="11" s="1"/>
  <c r="K311" i="11"/>
  <c r="L311" i="11" s="1"/>
  <c r="K312" i="11"/>
  <c r="L312" i="11"/>
  <c r="E313" i="11"/>
  <c r="M313" i="11"/>
  <c r="K314" i="11"/>
  <c r="L314" i="11"/>
  <c r="L315" i="11" s="1"/>
  <c r="E315" i="11"/>
  <c r="M315" i="11"/>
  <c r="K316" i="11"/>
  <c r="L316" i="11"/>
  <c r="K317" i="11"/>
  <c r="L317" i="11" s="1"/>
  <c r="K318" i="11"/>
  <c r="L318" i="11" s="1"/>
  <c r="K319" i="11"/>
  <c r="L319" i="11"/>
  <c r="E320" i="11"/>
  <c r="M320" i="11"/>
  <c r="K321" i="11"/>
  <c r="L321" i="11"/>
  <c r="K322" i="11"/>
  <c r="L322" i="11"/>
  <c r="K323" i="11"/>
  <c r="L323" i="11" s="1"/>
  <c r="K324" i="11"/>
  <c r="L324" i="11"/>
  <c r="K325" i="11"/>
  <c r="L325" i="11"/>
  <c r="K326" i="11"/>
  <c r="L326" i="11"/>
  <c r="K327" i="11"/>
  <c r="L327" i="11" s="1"/>
  <c r="K328" i="11"/>
  <c r="L328" i="11"/>
  <c r="K329" i="11"/>
  <c r="L329" i="11"/>
  <c r="K330" i="11"/>
  <c r="L330" i="11"/>
  <c r="K331" i="11"/>
  <c r="L331" i="11" s="1"/>
  <c r="K332" i="11"/>
  <c r="L332" i="11"/>
  <c r="K333" i="11"/>
  <c r="L333" i="11"/>
  <c r="K334" i="11"/>
  <c r="L334" i="11"/>
  <c r="K335" i="11"/>
  <c r="L335" i="11" s="1"/>
  <c r="K336" i="11"/>
  <c r="L336" i="11"/>
  <c r="K337" i="11"/>
  <c r="L337" i="11"/>
  <c r="K338" i="11"/>
  <c r="L338" i="11"/>
  <c r="K339" i="11"/>
  <c r="L339" i="11" s="1"/>
  <c r="K340" i="11"/>
  <c r="L340" i="11"/>
  <c r="K341" i="11"/>
  <c r="L341" i="11"/>
  <c r="K342" i="11"/>
  <c r="L342" i="11"/>
  <c r="K343" i="11"/>
  <c r="L343" i="11" s="1"/>
  <c r="K344" i="11"/>
  <c r="L344" i="11"/>
  <c r="K345" i="11"/>
  <c r="L345" i="11"/>
  <c r="K346" i="11"/>
  <c r="L346" i="11"/>
  <c r="K347" i="11"/>
  <c r="L347" i="11" s="1"/>
  <c r="K348" i="11"/>
  <c r="L348" i="11"/>
  <c r="K349" i="11"/>
  <c r="L349" i="11"/>
  <c r="K350" i="11"/>
  <c r="L350" i="11"/>
  <c r="K351" i="11"/>
  <c r="L351" i="11" s="1"/>
  <c r="K352" i="11"/>
  <c r="L352" i="11"/>
  <c r="K353" i="11"/>
  <c r="L353" i="11"/>
  <c r="K354" i="11"/>
  <c r="L354" i="11"/>
  <c r="K355" i="11"/>
  <c r="L355" i="11" s="1"/>
  <c r="K356" i="11"/>
  <c r="L356" i="11"/>
  <c r="K357" i="11"/>
  <c r="L357" i="11"/>
  <c r="K358" i="11"/>
  <c r="L358" i="11"/>
  <c r="K359" i="11"/>
  <c r="L359" i="11" s="1"/>
  <c r="K360" i="11"/>
  <c r="L360" i="11"/>
  <c r="K361" i="11"/>
  <c r="L361" i="11"/>
  <c r="K362" i="11"/>
  <c r="L362" i="11"/>
  <c r="K363" i="11"/>
  <c r="L363" i="11" s="1"/>
  <c r="K364" i="11"/>
  <c r="L364" i="11"/>
  <c r="K365" i="11"/>
  <c r="L365" i="11"/>
  <c r="K366" i="11"/>
  <c r="L366" i="11"/>
  <c r="K367" i="11"/>
  <c r="L367" i="11" s="1"/>
  <c r="K368" i="11"/>
  <c r="L368" i="11"/>
  <c r="K369" i="11"/>
  <c r="L369" i="11"/>
  <c r="K370" i="11"/>
  <c r="L370" i="11"/>
  <c r="K371" i="11"/>
  <c r="L371" i="11" s="1"/>
  <c r="K372" i="11"/>
  <c r="L372" i="11"/>
  <c r="K373" i="11"/>
  <c r="L373" i="11"/>
  <c r="K374" i="11"/>
  <c r="L374" i="11"/>
  <c r="K375" i="11"/>
  <c r="L375" i="11" s="1"/>
  <c r="K376" i="11"/>
  <c r="L376" i="11"/>
  <c r="K377" i="11"/>
  <c r="L377" i="11"/>
  <c r="K378" i="11"/>
  <c r="L378" i="11"/>
  <c r="K379" i="11"/>
  <c r="L379" i="11" s="1"/>
  <c r="K380" i="11"/>
  <c r="L380" i="11"/>
  <c r="E381" i="11"/>
  <c r="M381" i="11"/>
  <c r="K382" i="11"/>
  <c r="L382" i="11"/>
  <c r="K383" i="11"/>
  <c r="L383" i="11"/>
  <c r="K384" i="11"/>
  <c r="L384" i="11" s="1"/>
  <c r="K385" i="11"/>
  <c r="L385" i="11" s="1"/>
  <c r="E386" i="11"/>
  <c r="M386" i="11"/>
  <c r="K387" i="11"/>
  <c r="L387" i="11"/>
  <c r="K388" i="11"/>
  <c r="L388" i="11"/>
  <c r="K389" i="11"/>
  <c r="L389" i="11"/>
  <c r="K390" i="11"/>
  <c r="L390" i="11" s="1"/>
  <c r="K391" i="11"/>
  <c r="L391" i="11"/>
  <c r="K392" i="11"/>
  <c r="L392" i="11"/>
  <c r="K393" i="11"/>
  <c r="L393" i="11"/>
  <c r="K394" i="11"/>
  <c r="L394" i="11" s="1"/>
  <c r="E395" i="11"/>
  <c r="M395" i="11"/>
  <c r="K396" i="11"/>
  <c r="L396" i="11" s="1"/>
  <c r="K397" i="11"/>
  <c r="L397" i="11"/>
  <c r="K398" i="11"/>
  <c r="L398" i="11"/>
  <c r="K399" i="11"/>
  <c r="L399" i="11" s="1"/>
  <c r="K400" i="11"/>
  <c r="L400" i="11" s="1"/>
  <c r="K401" i="11"/>
  <c r="L401" i="11"/>
  <c r="K402" i="11"/>
  <c r="L402" i="11"/>
  <c r="K403" i="11"/>
  <c r="L403" i="11" s="1"/>
  <c r="K404" i="11"/>
  <c r="L404" i="11" s="1"/>
  <c r="K405" i="11"/>
  <c r="L405" i="11"/>
  <c r="K406" i="11"/>
  <c r="L406" i="11"/>
  <c r="K407" i="11"/>
  <c r="L407" i="11" s="1"/>
  <c r="K408" i="11"/>
  <c r="L408" i="11" s="1"/>
  <c r="K409" i="11"/>
  <c r="L409" i="11"/>
  <c r="K410" i="11"/>
  <c r="L410" i="11"/>
  <c r="K411" i="11"/>
  <c r="L411" i="11" s="1"/>
  <c r="K412" i="11"/>
  <c r="L412" i="11" s="1"/>
  <c r="K413" i="11"/>
  <c r="L413" i="11"/>
  <c r="K414" i="11"/>
  <c r="L414" i="11"/>
  <c r="K415" i="11"/>
  <c r="L415" i="11" s="1"/>
  <c r="K416" i="11"/>
  <c r="L416" i="11" s="1"/>
  <c r="E417" i="11"/>
  <c r="M417" i="11"/>
  <c r="L313" i="11" l="1"/>
  <c r="L109" i="11"/>
  <c r="L32" i="11"/>
  <c r="L395" i="11"/>
  <c r="L386" i="11"/>
  <c r="L381" i="11"/>
  <c r="L269" i="11"/>
  <c r="L417" i="11"/>
  <c r="L309" i="11"/>
  <c r="L69" i="11"/>
  <c r="L289" i="11"/>
  <c r="L233" i="11"/>
  <c r="L320" i="11"/>
  <c r="L257" i="11"/>
  <c r="L148" i="11"/>
  <c r="L419" i="11" s="1"/>
  <c r="K4" i="10"/>
  <c r="L4" i="10" s="1"/>
  <c r="K5" i="10"/>
  <c r="L5" i="10" s="1"/>
  <c r="K6" i="10"/>
  <c r="L6" i="10"/>
  <c r="K7" i="10"/>
  <c r="L7" i="10" s="1"/>
  <c r="K8" i="10"/>
  <c r="L8" i="10" s="1"/>
  <c r="K9" i="10"/>
  <c r="L9" i="10" s="1"/>
  <c r="K10" i="10"/>
  <c r="L10" i="10"/>
  <c r="K11" i="10"/>
  <c r="L11" i="10" s="1"/>
  <c r="K12" i="10"/>
  <c r="L12" i="10" s="1"/>
  <c r="K13" i="10"/>
  <c r="L13" i="10" s="1"/>
  <c r="K14" i="10"/>
  <c r="L14" i="10"/>
  <c r="K15" i="10"/>
  <c r="L15" i="10" s="1"/>
  <c r="K16" i="10"/>
  <c r="L16" i="10" s="1"/>
  <c r="K17" i="10"/>
  <c r="L17" i="10" s="1"/>
  <c r="K18" i="10"/>
  <c r="L18" i="10"/>
  <c r="K19" i="10"/>
  <c r="L19" i="10" s="1"/>
  <c r="K20" i="10"/>
  <c r="L20" i="10" s="1"/>
  <c r="K21" i="10"/>
  <c r="L21" i="10" s="1"/>
  <c r="K22" i="10"/>
  <c r="L22" i="10"/>
  <c r="K23" i="10"/>
  <c r="L23" i="10" s="1"/>
  <c r="K24" i="10"/>
  <c r="L24" i="10" s="1"/>
  <c r="K25" i="10"/>
  <c r="L25" i="10" s="1"/>
  <c r="K26" i="10"/>
  <c r="L26" i="10"/>
  <c r="K27" i="10"/>
  <c r="L27" i="10" s="1"/>
  <c r="E28" i="10"/>
  <c r="M28" i="10"/>
  <c r="K29" i="10"/>
  <c r="L29" i="10" s="1"/>
  <c r="L32" i="10" s="1"/>
  <c r="K30" i="10"/>
  <c r="L30" i="10"/>
  <c r="K31" i="10"/>
  <c r="L31" i="10"/>
  <c r="E32" i="10"/>
  <c r="M32" i="10"/>
  <c r="K33" i="10"/>
  <c r="L33" i="10"/>
  <c r="K34" i="10"/>
  <c r="L34" i="10" s="1"/>
  <c r="K35" i="10"/>
  <c r="L35" i="10" s="1"/>
  <c r="K36" i="10"/>
  <c r="L36" i="10" s="1"/>
  <c r="K37" i="10"/>
  <c r="L37" i="10"/>
  <c r="K38" i="10"/>
  <c r="L38" i="10" s="1"/>
  <c r="K39" i="10"/>
  <c r="L39" i="10" s="1"/>
  <c r="K40" i="10"/>
  <c r="L40" i="10" s="1"/>
  <c r="K41" i="10"/>
  <c r="L41" i="10"/>
  <c r="K42" i="10"/>
  <c r="L42" i="10" s="1"/>
  <c r="K43" i="10"/>
  <c r="L43" i="10" s="1"/>
  <c r="K44" i="10"/>
  <c r="L44" i="10" s="1"/>
  <c r="K45" i="10"/>
  <c r="L45" i="10"/>
  <c r="K46" i="10"/>
  <c r="L46" i="10" s="1"/>
  <c r="K47" i="10"/>
  <c r="L47" i="10" s="1"/>
  <c r="K48" i="10"/>
  <c r="L48" i="10" s="1"/>
  <c r="K49" i="10"/>
  <c r="L49" i="10"/>
  <c r="K50" i="10"/>
  <c r="L50" i="10" s="1"/>
  <c r="K51" i="10"/>
  <c r="L51" i="10" s="1"/>
  <c r="K52" i="10"/>
  <c r="L52" i="10" s="1"/>
  <c r="K53" i="10"/>
  <c r="L53" i="10"/>
  <c r="K54" i="10"/>
  <c r="L54" i="10" s="1"/>
  <c r="K55" i="10"/>
  <c r="L55" i="10" s="1"/>
  <c r="K56" i="10"/>
  <c r="L56" i="10" s="1"/>
  <c r="K57" i="10"/>
  <c r="L57" i="10"/>
  <c r="E58" i="10"/>
  <c r="E340" i="10" s="1"/>
  <c r="M58" i="10"/>
  <c r="K59" i="10"/>
  <c r="L59" i="10"/>
  <c r="K60" i="10"/>
  <c r="L60" i="10" s="1"/>
  <c r="L90" i="10" s="1"/>
  <c r="K61" i="10"/>
  <c r="L61" i="10"/>
  <c r="K62" i="10"/>
  <c r="L62" i="10"/>
  <c r="K63" i="10"/>
  <c r="L63" i="10"/>
  <c r="K64" i="10"/>
  <c r="L64" i="10" s="1"/>
  <c r="K65" i="10"/>
  <c r="L65" i="10"/>
  <c r="K66" i="10"/>
  <c r="L66" i="10"/>
  <c r="K67" i="10"/>
  <c r="L67" i="10"/>
  <c r="K68" i="10"/>
  <c r="L68" i="10" s="1"/>
  <c r="K69" i="10"/>
  <c r="L69" i="10"/>
  <c r="K70" i="10"/>
  <c r="L70" i="10"/>
  <c r="K71" i="10"/>
  <c r="L71" i="10"/>
  <c r="K72" i="10"/>
  <c r="L72" i="10" s="1"/>
  <c r="K73" i="10"/>
  <c r="L73" i="10"/>
  <c r="K74" i="10"/>
  <c r="L74" i="10"/>
  <c r="K75" i="10"/>
  <c r="L75" i="10"/>
  <c r="K76" i="10"/>
  <c r="L76" i="10" s="1"/>
  <c r="K77" i="10"/>
  <c r="L77" i="10"/>
  <c r="K78" i="10"/>
  <c r="L78" i="10"/>
  <c r="K79" i="10"/>
  <c r="L79" i="10"/>
  <c r="K80" i="10"/>
  <c r="L80" i="10" s="1"/>
  <c r="K81" i="10"/>
  <c r="L81" i="10"/>
  <c r="K82" i="10"/>
  <c r="L82" i="10"/>
  <c r="K83" i="10"/>
  <c r="L83" i="10"/>
  <c r="K84" i="10"/>
  <c r="L84" i="10" s="1"/>
  <c r="K85" i="10"/>
  <c r="L85" i="10"/>
  <c r="K86" i="10"/>
  <c r="L86" i="10"/>
  <c r="K87" i="10"/>
  <c r="L87" i="10"/>
  <c r="K88" i="10"/>
  <c r="L88" i="10" s="1"/>
  <c r="K89" i="10"/>
  <c r="L89" i="10"/>
  <c r="E90" i="10"/>
  <c r="M90" i="10"/>
  <c r="K91" i="10"/>
  <c r="L91" i="10" s="1"/>
  <c r="K92" i="10"/>
  <c r="L92" i="10"/>
  <c r="K93" i="10"/>
  <c r="L93" i="10" s="1"/>
  <c r="K94" i="10"/>
  <c r="L94" i="10" s="1"/>
  <c r="K95" i="10"/>
  <c r="L95" i="10" s="1"/>
  <c r="K96" i="10"/>
  <c r="L96" i="10"/>
  <c r="K97" i="10"/>
  <c r="L97" i="10" s="1"/>
  <c r="K98" i="10"/>
  <c r="L98" i="10" s="1"/>
  <c r="K99" i="10"/>
  <c r="L99" i="10" s="1"/>
  <c r="K100" i="10"/>
  <c r="L100" i="10"/>
  <c r="K101" i="10"/>
  <c r="L101" i="10" s="1"/>
  <c r="K102" i="10"/>
  <c r="L102" i="10" s="1"/>
  <c r="K103" i="10"/>
  <c r="L103" i="10" s="1"/>
  <c r="K104" i="10"/>
  <c r="L104" i="10"/>
  <c r="K105" i="10"/>
  <c r="L105" i="10" s="1"/>
  <c r="K106" i="10"/>
  <c r="L106" i="10" s="1"/>
  <c r="K107" i="10"/>
  <c r="L107" i="10" s="1"/>
  <c r="K108" i="10"/>
  <c r="L108" i="10"/>
  <c r="K109" i="10"/>
  <c r="L109" i="10" s="1"/>
  <c r="K110" i="10"/>
  <c r="L110" i="10" s="1"/>
  <c r="K111" i="10"/>
  <c r="L111" i="10" s="1"/>
  <c r="K112" i="10"/>
  <c r="L112" i="10"/>
  <c r="K113" i="10"/>
  <c r="L113" i="10" s="1"/>
  <c r="K114" i="10"/>
  <c r="L114" i="10" s="1"/>
  <c r="K115" i="10"/>
  <c r="L115" i="10" s="1"/>
  <c r="K116" i="10"/>
  <c r="L116" i="10"/>
  <c r="K117" i="10"/>
  <c r="L117" i="10" s="1"/>
  <c r="K118" i="10"/>
  <c r="L118" i="10" s="1"/>
  <c r="K119" i="10"/>
  <c r="L119" i="10" s="1"/>
  <c r="K120" i="10"/>
  <c r="L120" i="10"/>
  <c r="E121" i="10"/>
  <c r="M121" i="10"/>
  <c r="K122" i="10"/>
  <c r="L122" i="10"/>
  <c r="K123" i="10"/>
  <c r="L123" i="10" s="1"/>
  <c r="L192" i="10" s="1"/>
  <c r="K124" i="10"/>
  <c r="L124" i="10"/>
  <c r="K125" i="10"/>
  <c r="L125" i="10"/>
  <c r="K126" i="10"/>
  <c r="L126" i="10"/>
  <c r="K127" i="10"/>
  <c r="L127" i="10" s="1"/>
  <c r="K128" i="10"/>
  <c r="L128" i="10"/>
  <c r="K129" i="10"/>
  <c r="L129" i="10"/>
  <c r="K130" i="10"/>
  <c r="L130" i="10"/>
  <c r="K131" i="10"/>
  <c r="L131" i="10" s="1"/>
  <c r="K132" i="10"/>
  <c r="L132" i="10"/>
  <c r="K133" i="10"/>
  <c r="L133" i="10"/>
  <c r="K134" i="10"/>
  <c r="L134" i="10"/>
  <c r="K135" i="10"/>
  <c r="L135" i="10" s="1"/>
  <c r="K136" i="10"/>
  <c r="L136" i="10"/>
  <c r="K137" i="10"/>
  <c r="L137" i="10"/>
  <c r="K138" i="10"/>
  <c r="L138" i="10"/>
  <c r="K139" i="10"/>
  <c r="L139" i="10" s="1"/>
  <c r="K140" i="10"/>
  <c r="L140" i="10"/>
  <c r="K141" i="10"/>
  <c r="L141" i="10"/>
  <c r="K142" i="10"/>
  <c r="L142" i="10"/>
  <c r="K143" i="10"/>
  <c r="L143" i="10" s="1"/>
  <c r="K144" i="10"/>
  <c r="L144" i="10"/>
  <c r="K145" i="10"/>
  <c r="L145" i="10"/>
  <c r="K146" i="10"/>
  <c r="L146" i="10"/>
  <c r="K147" i="10"/>
  <c r="L147" i="10" s="1"/>
  <c r="K148" i="10"/>
  <c r="L148" i="10"/>
  <c r="K149" i="10"/>
  <c r="L149" i="10"/>
  <c r="K150" i="10"/>
  <c r="L150" i="10"/>
  <c r="K151" i="10"/>
  <c r="L151" i="10" s="1"/>
  <c r="K152" i="10"/>
  <c r="L152" i="10"/>
  <c r="K153" i="10"/>
  <c r="L153" i="10"/>
  <c r="K154" i="10"/>
  <c r="L154" i="10"/>
  <c r="K155" i="10"/>
  <c r="L155" i="10" s="1"/>
  <c r="K156" i="10"/>
  <c r="L156" i="10"/>
  <c r="K157" i="10"/>
  <c r="L157" i="10"/>
  <c r="K158" i="10"/>
  <c r="L158" i="10"/>
  <c r="K159" i="10"/>
  <c r="L159" i="10" s="1"/>
  <c r="K160" i="10"/>
  <c r="L160" i="10"/>
  <c r="K161" i="10"/>
  <c r="L161" i="10"/>
  <c r="K162" i="10"/>
  <c r="L162" i="10"/>
  <c r="K163" i="10"/>
  <c r="L163" i="10" s="1"/>
  <c r="K164" i="10"/>
  <c r="L164" i="10"/>
  <c r="K165" i="10"/>
  <c r="L165" i="10"/>
  <c r="K166" i="10"/>
  <c r="L166" i="10"/>
  <c r="K167" i="10"/>
  <c r="L167" i="10" s="1"/>
  <c r="K168" i="10"/>
  <c r="L168" i="10"/>
  <c r="K169" i="10"/>
  <c r="L169" i="10"/>
  <c r="K170" i="10"/>
  <c r="L170" i="10"/>
  <c r="K171" i="10"/>
  <c r="L171" i="10" s="1"/>
  <c r="K172" i="10"/>
  <c r="L172" i="10"/>
  <c r="K173" i="10"/>
  <c r="L173" i="10"/>
  <c r="K174" i="10"/>
  <c r="L174" i="10"/>
  <c r="K175" i="10"/>
  <c r="L175" i="10" s="1"/>
  <c r="K176" i="10"/>
  <c r="L176" i="10"/>
  <c r="K177" i="10"/>
  <c r="L177" i="10"/>
  <c r="K178" i="10"/>
  <c r="L178" i="10"/>
  <c r="K179" i="10"/>
  <c r="L179" i="10" s="1"/>
  <c r="K180" i="10"/>
  <c r="L180" i="10"/>
  <c r="K181" i="10"/>
  <c r="L181" i="10"/>
  <c r="K182" i="10"/>
  <c r="L182" i="10"/>
  <c r="K183" i="10"/>
  <c r="L183" i="10" s="1"/>
  <c r="K184" i="10"/>
  <c r="L184" i="10"/>
  <c r="K185" i="10"/>
  <c r="L185" i="10"/>
  <c r="K186" i="10"/>
  <c r="L186" i="10"/>
  <c r="K187" i="10"/>
  <c r="L187" i="10" s="1"/>
  <c r="K188" i="10"/>
  <c r="L188" i="10"/>
  <c r="K189" i="10"/>
  <c r="L189" i="10"/>
  <c r="K190" i="10"/>
  <c r="L190" i="10"/>
  <c r="K191" i="10"/>
  <c r="L191" i="10" s="1"/>
  <c r="E192" i="10"/>
  <c r="M192" i="10"/>
  <c r="K193" i="10"/>
  <c r="L193" i="10" s="1"/>
  <c r="L194" i="10" s="1"/>
  <c r="E194" i="10"/>
  <c r="M194" i="10"/>
  <c r="K195" i="10"/>
  <c r="L195" i="10"/>
  <c r="K196" i="10"/>
  <c r="L196" i="10"/>
  <c r="K197" i="10"/>
  <c r="L197" i="10"/>
  <c r="K198" i="10"/>
  <c r="L198" i="10" s="1"/>
  <c r="K199" i="10"/>
  <c r="L199" i="10"/>
  <c r="K200" i="10"/>
  <c r="L200" i="10"/>
  <c r="K201" i="10"/>
  <c r="L201" i="10"/>
  <c r="K202" i="10"/>
  <c r="L202" i="10" s="1"/>
  <c r="K203" i="10"/>
  <c r="L203" i="10"/>
  <c r="K204" i="10"/>
  <c r="L204" i="10"/>
  <c r="K205" i="10"/>
  <c r="L205" i="10"/>
  <c r="K206" i="10"/>
  <c r="L206" i="10" s="1"/>
  <c r="K207" i="10"/>
  <c r="L207" i="10"/>
  <c r="K208" i="10"/>
  <c r="L208" i="10"/>
  <c r="K209" i="10"/>
  <c r="L209" i="10"/>
  <c r="K210" i="10"/>
  <c r="L210" i="10" s="1"/>
  <c r="K211" i="10"/>
  <c r="L211" i="10"/>
  <c r="K212" i="10"/>
  <c r="L212" i="10"/>
  <c r="K213" i="10"/>
  <c r="L213" i="10"/>
  <c r="K214" i="10"/>
  <c r="L214" i="10" s="1"/>
  <c r="E215" i="10"/>
  <c r="M215" i="10"/>
  <c r="K216" i="10"/>
  <c r="L216" i="10" s="1"/>
  <c r="K217" i="10"/>
  <c r="L217" i="10" s="1"/>
  <c r="K218" i="10"/>
  <c r="L218" i="10"/>
  <c r="K219" i="10"/>
  <c r="L219" i="10" s="1"/>
  <c r="K220" i="10"/>
  <c r="L220" i="10" s="1"/>
  <c r="K221" i="10"/>
  <c r="L221" i="10" s="1"/>
  <c r="K222" i="10"/>
  <c r="L222" i="10"/>
  <c r="K223" i="10"/>
  <c r="L223" i="10" s="1"/>
  <c r="K224" i="10"/>
  <c r="L224" i="10" s="1"/>
  <c r="K225" i="10"/>
  <c r="L225" i="10" s="1"/>
  <c r="E226" i="10"/>
  <c r="M226" i="10"/>
  <c r="M340" i="10" s="1"/>
  <c r="K227" i="10"/>
  <c r="L227" i="10"/>
  <c r="L229" i="10" s="1"/>
  <c r="K228" i="10"/>
  <c r="L228" i="10"/>
  <c r="E229" i="10"/>
  <c r="M229" i="10"/>
  <c r="K230" i="10"/>
  <c r="L230" i="10" s="1"/>
  <c r="K231" i="10"/>
  <c r="L231" i="10" s="1"/>
  <c r="K232" i="10"/>
  <c r="L232" i="10" s="1"/>
  <c r="K233" i="10"/>
  <c r="L233" i="10"/>
  <c r="K234" i="10"/>
  <c r="L234" i="10" s="1"/>
  <c r="K235" i="10"/>
  <c r="L235" i="10" s="1"/>
  <c r="K236" i="10"/>
  <c r="L236" i="10" s="1"/>
  <c r="E237" i="10"/>
  <c r="M237" i="10"/>
  <c r="K238" i="10"/>
  <c r="L238" i="10"/>
  <c r="K239" i="10"/>
  <c r="L239" i="10"/>
  <c r="K240" i="10"/>
  <c r="L240" i="10"/>
  <c r="E241" i="10"/>
  <c r="L241" i="10"/>
  <c r="M241" i="10"/>
  <c r="K242" i="10"/>
  <c r="L242" i="10" s="1"/>
  <c r="K243" i="10"/>
  <c r="L243" i="10" s="1"/>
  <c r="K244" i="10"/>
  <c r="L244" i="10"/>
  <c r="K245" i="10"/>
  <c r="L245" i="10" s="1"/>
  <c r="K246" i="10"/>
  <c r="L246" i="10" s="1"/>
  <c r="K247" i="10"/>
  <c r="L247" i="10" s="1"/>
  <c r="K248" i="10"/>
  <c r="L248" i="10"/>
  <c r="K249" i="10"/>
  <c r="L249" i="10" s="1"/>
  <c r="K250" i="10"/>
  <c r="L250" i="10" s="1"/>
  <c r="E251" i="10"/>
  <c r="M251" i="10"/>
  <c r="K252" i="10"/>
  <c r="L252" i="10"/>
  <c r="L253" i="10" s="1"/>
  <c r="E253" i="10"/>
  <c r="M253" i="10"/>
  <c r="K254" i="10"/>
  <c r="L254" i="10" s="1"/>
  <c r="K255" i="10"/>
  <c r="L255" i="10"/>
  <c r="K256" i="10"/>
  <c r="L256" i="10" s="1"/>
  <c r="K257" i="10"/>
  <c r="L257" i="10" s="1"/>
  <c r="E258" i="10"/>
  <c r="M258" i="10"/>
  <c r="K259" i="10"/>
  <c r="L259" i="10"/>
  <c r="K260" i="10"/>
  <c r="L260" i="10"/>
  <c r="K261" i="10"/>
  <c r="L261" i="10"/>
  <c r="K262" i="10"/>
  <c r="L262" i="10"/>
  <c r="K263" i="10"/>
  <c r="L263" i="10"/>
  <c r="K264" i="10"/>
  <c r="L264" i="10"/>
  <c r="K265" i="10"/>
  <c r="L265" i="10"/>
  <c r="K266" i="10"/>
  <c r="L266" i="10"/>
  <c r="K267" i="10"/>
  <c r="L267" i="10"/>
  <c r="K268" i="10"/>
  <c r="L268" i="10"/>
  <c r="K269" i="10"/>
  <c r="L269" i="10"/>
  <c r="K270" i="10"/>
  <c r="L270" i="10"/>
  <c r="K271" i="10"/>
  <c r="L271" i="10"/>
  <c r="K272" i="10"/>
  <c r="L272" i="10"/>
  <c r="K273" i="10"/>
  <c r="L273" i="10"/>
  <c r="K274" i="10"/>
  <c r="L274" i="10"/>
  <c r="K275" i="10"/>
  <c r="L275" i="10"/>
  <c r="K276" i="10"/>
  <c r="L276" i="10"/>
  <c r="K277" i="10"/>
  <c r="L277" i="10"/>
  <c r="K278" i="10"/>
  <c r="L278" i="10"/>
  <c r="K279" i="10"/>
  <c r="L279" i="10"/>
  <c r="K280" i="10"/>
  <c r="L280" i="10"/>
  <c r="K281" i="10"/>
  <c r="L281" i="10"/>
  <c r="K282" i="10"/>
  <c r="L282" i="10"/>
  <c r="K283" i="10"/>
  <c r="L283" i="10"/>
  <c r="K284" i="10"/>
  <c r="L284" i="10"/>
  <c r="K285" i="10"/>
  <c r="L285" i="10"/>
  <c r="K286" i="10"/>
  <c r="L286" i="10"/>
  <c r="K287" i="10"/>
  <c r="L287" i="10"/>
  <c r="K288" i="10"/>
  <c r="L288" i="10"/>
  <c r="K289" i="10"/>
  <c r="L289" i="10"/>
  <c r="K290" i="10"/>
  <c r="L290" i="10"/>
  <c r="K291" i="10"/>
  <c r="L291" i="10"/>
  <c r="K292" i="10"/>
  <c r="L292" i="10"/>
  <c r="K293" i="10"/>
  <c r="L293" i="10"/>
  <c r="K294" i="10"/>
  <c r="L294" i="10"/>
  <c r="K295" i="10"/>
  <c r="L295" i="10"/>
  <c r="K296" i="10"/>
  <c r="L296" i="10"/>
  <c r="K297" i="10"/>
  <c r="L297" i="10"/>
  <c r="K298" i="10"/>
  <c r="L298" i="10"/>
  <c r="K299" i="10"/>
  <c r="L299" i="10"/>
  <c r="K300" i="10"/>
  <c r="L300" i="10"/>
  <c r="K301" i="10"/>
  <c r="L301" i="10"/>
  <c r="K302" i="10"/>
  <c r="L302" i="10"/>
  <c r="K303" i="10"/>
  <c r="L303" i="10"/>
  <c r="K304" i="10"/>
  <c r="L304" i="10"/>
  <c r="K305" i="10"/>
  <c r="L305" i="10"/>
  <c r="K306" i="10"/>
  <c r="L306" i="10"/>
  <c r="E307" i="10"/>
  <c r="L307" i="10"/>
  <c r="M307" i="10"/>
  <c r="K308" i="10"/>
  <c r="L308" i="10" s="1"/>
  <c r="K309" i="10"/>
  <c r="L309" i="10" s="1"/>
  <c r="K310" i="10"/>
  <c r="L310" i="10"/>
  <c r="K311" i="10"/>
  <c r="L311" i="10" s="1"/>
  <c r="E312" i="10"/>
  <c r="M312" i="10"/>
  <c r="K313" i="10"/>
  <c r="L313" i="10"/>
  <c r="K314" i="10"/>
  <c r="L314" i="10"/>
  <c r="L319" i="10" s="1"/>
  <c r="K315" i="10"/>
  <c r="L315" i="10"/>
  <c r="K316" i="10"/>
  <c r="L316" i="10"/>
  <c r="K317" i="10"/>
  <c r="L317" i="10"/>
  <c r="K318" i="10"/>
  <c r="L318" i="10"/>
  <c r="E319" i="10"/>
  <c r="M319" i="10"/>
  <c r="K320" i="10"/>
  <c r="L320" i="10" s="1"/>
  <c r="K321" i="10"/>
  <c r="L321" i="10"/>
  <c r="K322" i="10"/>
  <c r="L322" i="10" s="1"/>
  <c r="K323" i="10"/>
  <c r="L323" i="10" s="1"/>
  <c r="K324" i="10"/>
  <c r="L324" i="10" s="1"/>
  <c r="K325" i="10"/>
  <c r="L325" i="10"/>
  <c r="K326" i="10"/>
  <c r="L326" i="10" s="1"/>
  <c r="K327" i="10"/>
  <c r="L327" i="10" s="1"/>
  <c r="K328" i="10"/>
  <c r="L328" i="10" s="1"/>
  <c r="K329" i="10"/>
  <c r="L329" i="10"/>
  <c r="K330" i="10"/>
  <c r="L330" i="10" s="1"/>
  <c r="K331" i="10"/>
  <c r="L331" i="10" s="1"/>
  <c r="K332" i="10"/>
  <c r="L332" i="10" s="1"/>
  <c r="K333" i="10"/>
  <c r="L333" i="10"/>
  <c r="K334" i="10"/>
  <c r="L334" i="10" s="1"/>
  <c r="K335" i="10"/>
  <c r="L335" i="10" s="1"/>
  <c r="K336" i="10"/>
  <c r="L336" i="10" s="1"/>
  <c r="K337" i="10"/>
  <c r="L337" i="10"/>
  <c r="E338" i="10"/>
  <c r="M338" i="10"/>
  <c r="L312" i="10" l="1"/>
  <c r="L215" i="10"/>
  <c r="L58" i="10"/>
  <c r="L258" i="10"/>
  <c r="L226" i="10"/>
  <c r="L28" i="10"/>
  <c r="L340" i="10"/>
  <c r="L338" i="10"/>
  <c r="L251" i="10"/>
  <c r="L237" i="10"/>
  <c r="L121" i="10"/>
  <c r="K4" i="9"/>
  <c r="L4" i="9"/>
  <c r="K5" i="9"/>
  <c r="L5" i="9"/>
  <c r="K6" i="9"/>
  <c r="L6" i="9"/>
  <c r="K7" i="9"/>
  <c r="L7" i="9" s="1"/>
  <c r="K8" i="9"/>
  <c r="L8" i="9"/>
  <c r="K9" i="9"/>
  <c r="L9" i="9" s="1"/>
  <c r="K10" i="9"/>
  <c r="L10" i="9" s="1"/>
  <c r="K11" i="9"/>
  <c r="L11" i="9" s="1"/>
  <c r="K12" i="9"/>
  <c r="L12" i="9" s="1"/>
  <c r="K13" i="9"/>
  <c r="L13" i="9"/>
  <c r="K14" i="9"/>
  <c r="L14" i="9"/>
  <c r="K15" i="9"/>
  <c r="L15" i="9" s="1"/>
  <c r="K16" i="9"/>
  <c r="L16" i="9"/>
  <c r="K17" i="9"/>
  <c r="L17" i="9"/>
  <c r="K18" i="9"/>
  <c r="L18" i="9" s="1"/>
  <c r="K19" i="9"/>
  <c r="L19" i="9" s="1"/>
  <c r="K20" i="9"/>
  <c r="L20" i="9"/>
  <c r="K21" i="9"/>
  <c r="L21" i="9" s="1"/>
  <c r="K22" i="9"/>
  <c r="L22" i="9"/>
  <c r="K23" i="9"/>
  <c r="L23" i="9" s="1"/>
  <c r="E24" i="9"/>
  <c r="M24" i="9"/>
  <c r="K25" i="9"/>
  <c r="L25" i="9" s="1"/>
  <c r="K26" i="9"/>
  <c r="L26" i="9" s="1"/>
  <c r="K27" i="9"/>
  <c r="L27" i="9"/>
  <c r="E28" i="9"/>
  <c r="M28" i="9"/>
  <c r="K29" i="9"/>
  <c r="L29" i="9"/>
  <c r="K30" i="9"/>
  <c r="L30" i="9" s="1"/>
  <c r="K31" i="9"/>
  <c r="L31" i="9"/>
  <c r="K32" i="9"/>
  <c r="L32" i="9" s="1"/>
  <c r="K33" i="9"/>
  <c r="L33" i="9" s="1"/>
  <c r="K34" i="9"/>
  <c r="L34" i="9" s="1"/>
  <c r="K35" i="9"/>
  <c r="L35" i="9" s="1"/>
  <c r="K36" i="9"/>
  <c r="L36" i="9"/>
  <c r="K37" i="9"/>
  <c r="L37" i="9"/>
  <c r="K38" i="9"/>
  <c r="L38" i="9" s="1"/>
  <c r="K39" i="9"/>
  <c r="L39" i="9"/>
  <c r="K40" i="9"/>
  <c r="L40" i="9"/>
  <c r="K41" i="9"/>
  <c r="L41" i="9" s="1"/>
  <c r="K42" i="9"/>
  <c r="L42" i="9" s="1"/>
  <c r="K43" i="9"/>
  <c r="L43" i="9"/>
  <c r="K44" i="9"/>
  <c r="L44" i="9" s="1"/>
  <c r="K45" i="9"/>
  <c r="L45" i="9"/>
  <c r="K46" i="9"/>
  <c r="L46" i="9" s="1"/>
  <c r="K47" i="9"/>
  <c r="L47" i="9" s="1"/>
  <c r="K48" i="9"/>
  <c r="L48" i="9"/>
  <c r="E49" i="9"/>
  <c r="M49" i="9"/>
  <c r="K50" i="9"/>
  <c r="L50" i="9" s="1"/>
  <c r="K51" i="9"/>
  <c r="L51" i="9" s="1"/>
  <c r="K52" i="9"/>
  <c r="L52" i="9" s="1"/>
  <c r="K53" i="9"/>
  <c r="L53" i="9"/>
  <c r="K54" i="9"/>
  <c r="L54" i="9"/>
  <c r="K55" i="9"/>
  <c r="L55" i="9" s="1"/>
  <c r="K56" i="9"/>
  <c r="L56" i="9" s="1"/>
  <c r="K57" i="9"/>
  <c r="L57" i="9" s="1"/>
  <c r="K58" i="9"/>
  <c r="L58" i="9"/>
  <c r="K59" i="9"/>
  <c r="L59" i="9" s="1"/>
  <c r="K60" i="9"/>
  <c r="L60" i="9" s="1"/>
  <c r="K61" i="9"/>
  <c r="L61" i="9" s="1"/>
  <c r="K62" i="9"/>
  <c r="L62" i="9" s="1"/>
  <c r="K63" i="9"/>
  <c r="L63" i="9" s="1"/>
  <c r="K64" i="9"/>
  <c r="L64" i="9" s="1"/>
  <c r="K65" i="9"/>
  <c r="L65" i="9"/>
  <c r="K66" i="9"/>
  <c r="L66" i="9" s="1"/>
  <c r="K67" i="9"/>
  <c r="L67" i="9" s="1"/>
  <c r="K68" i="9"/>
  <c r="L68" i="9" s="1"/>
  <c r="K69" i="9"/>
  <c r="L69" i="9"/>
  <c r="K70" i="9"/>
  <c r="L70" i="9"/>
  <c r="K71" i="9"/>
  <c r="L71" i="9" s="1"/>
  <c r="K72" i="9"/>
  <c r="L72" i="9" s="1"/>
  <c r="K73" i="9"/>
  <c r="L73" i="9" s="1"/>
  <c r="K74" i="9"/>
  <c r="L74" i="9"/>
  <c r="K75" i="9"/>
  <c r="L75" i="9" s="1"/>
  <c r="K76" i="9"/>
  <c r="L76" i="9" s="1"/>
  <c r="E77" i="9"/>
  <c r="M77" i="9"/>
  <c r="K78" i="9"/>
  <c r="L78" i="9" s="1"/>
  <c r="K79" i="9"/>
  <c r="L79" i="9"/>
  <c r="K80" i="9"/>
  <c r="L80" i="9"/>
  <c r="K81" i="9"/>
  <c r="L81" i="9" s="1"/>
  <c r="K82" i="9"/>
  <c r="L82" i="9"/>
  <c r="K83" i="9"/>
  <c r="L83" i="9"/>
  <c r="K84" i="9"/>
  <c r="L84" i="9" s="1"/>
  <c r="K85" i="9"/>
  <c r="L85" i="9" s="1"/>
  <c r="K86" i="9"/>
  <c r="L86" i="9" s="1"/>
  <c r="K87" i="9"/>
  <c r="L87" i="9" s="1"/>
  <c r="K88" i="9"/>
  <c r="L88" i="9"/>
  <c r="K89" i="9"/>
  <c r="L89" i="9" s="1"/>
  <c r="K90" i="9"/>
  <c r="L90" i="9"/>
  <c r="K91" i="9"/>
  <c r="L91" i="9"/>
  <c r="K92" i="9"/>
  <c r="L92" i="9"/>
  <c r="K93" i="9"/>
  <c r="L93" i="9" s="1"/>
  <c r="K94" i="9"/>
  <c r="L94" i="9"/>
  <c r="K95" i="9"/>
  <c r="L95" i="9" s="1"/>
  <c r="K96" i="9"/>
  <c r="L96" i="9" s="1"/>
  <c r="K97" i="9"/>
  <c r="L97" i="9" s="1"/>
  <c r="K98" i="9"/>
  <c r="L98" i="9" s="1"/>
  <c r="K99" i="9"/>
  <c r="L99" i="9"/>
  <c r="K100" i="9"/>
  <c r="L100" i="9"/>
  <c r="K101" i="9"/>
  <c r="L101" i="9" s="1"/>
  <c r="K102" i="9"/>
  <c r="L102" i="9"/>
  <c r="K103" i="9"/>
  <c r="L103" i="9"/>
  <c r="K104" i="9"/>
  <c r="L104" i="9" s="1"/>
  <c r="K105" i="9"/>
  <c r="L105" i="9" s="1"/>
  <c r="E106" i="9"/>
  <c r="M106" i="9"/>
  <c r="K107" i="9"/>
  <c r="L107" i="9" s="1"/>
  <c r="K108" i="9"/>
  <c r="L108" i="9"/>
  <c r="K109" i="9"/>
  <c r="L109" i="9" s="1"/>
  <c r="K110" i="9"/>
  <c r="L110" i="9" s="1"/>
  <c r="K111" i="9"/>
  <c r="L111" i="9" s="1"/>
  <c r="K112" i="9"/>
  <c r="L112" i="9"/>
  <c r="K113" i="9"/>
  <c r="L113" i="9"/>
  <c r="K114" i="9"/>
  <c r="L114" i="9" s="1"/>
  <c r="K115" i="9"/>
  <c r="L115" i="9" s="1"/>
  <c r="K116" i="9"/>
  <c r="L116" i="9" s="1"/>
  <c r="K117" i="9"/>
  <c r="L117" i="9"/>
  <c r="K118" i="9"/>
  <c r="L118" i="9" s="1"/>
  <c r="K119" i="9"/>
  <c r="L119" i="9" s="1"/>
  <c r="K120" i="9"/>
  <c r="L120" i="9" s="1"/>
  <c r="K121" i="9"/>
  <c r="L121" i="9" s="1"/>
  <c r="K122" i="9"/>
  <c r="L122" i="9" s="1"/>
  <c r="K123" i="9"/>
  <c r="L123" i="9" s="1"/>
  <c r="K124" i="9"/>
  <c r="L124" i="9"/>
  <c r="K125" i="9"/>
  <c r="L125" i="9" s="1"/>
  <c r="K126" i="9"/>
  <c r="L126" i="9" s="1"/>
  <c r="K127" i="9"/>
  <c r="L127" i="9" s="1"/>
  <c r="K128" i="9"/>
  <c r="L128" i="9"/>
  <c r="K129" i="9"/>
  <c r="L129" i="9"/>
  <c r="K130" i="9"/>
  <c r="L130" i="9" s="1"/>
  <c r="K131" i="9"/>
  <c r="L131" i="9" s="1"/>
  <c r="K132" i="9"/>
  <c r="L132" i="9" s="1"/>
  <c r="K133" i="9"/>
  <c r="L133" i="9"/>
  <c r="K134" i="9"/>
  <c r="L134" i="9" s="1"/>
  <c r="K135" i="9"/>
  <c r="L135" i="9" s="1"/>
  <c r="K136" i="9"/>
  <c r="L136" i="9" s="1"/>
  <c r="K137" i="9"/>
  <c r="L137" i="9" s="1"/>
  <c r="K138" i="9"/>
  <c r="L138" i="9" s="1"/>
  <c r="K139" i="9"/>
  <c r="L139" i="9" s="1"/>
  <c r="K140" i="9"/>
  <c r="L140" i="9"/>
  <c r="K141" i="9"/>
  <c r="L141" i="9" s="1"/>
  <c r="K142" i="9"/>
  <c r="L142" i="9" s="1"/>
  <c r="K143" i="9"/>
  <c r="L143" i="9" s="1"/>
  <c r="K144" i="9"/>
  <c r="L144" i="9"/>
  <c r="K145" i="9"/>
  <c r="L145" i="9"/>
  <c r="K146" i="9"/>
  <c r="L146" i="9" s="1"/>
  <c r="K147" i="9"/>
  <c r="L147" i="9" s="1"/>
  <c r="K148" i="9"/>
  <c r="L148" i="9" s="1"/>
  <c r="K149" i="9"/>
  <c r="L149" i="9"/>
  <c r="K150" i="9"/>
  <c r="L150" i="9" s="1"/>
  <c r="K151" i="9"/>
  <c r="L151" i="9" s="1"/>
  <c r="K152" i="9"/>
  <c r="L152" i="9" s="1"/>
  <c r="K153" i="9"/>
  <c r="L153" i="9" s="1"/>
  <c r="K154" i="9"/>
  <c r="L154" i="9" s="1"/>
  <c r="K155" i="9"/>
  <c r="L155" i="9" s="1"/>
  <c r="K156" i="9"/>
  <c r="L156" i="9"/>
  <c r="K157" i="9"/>
  <c r="L157" i="9" s="1"/>
  <c r="K158" i="9"/>
  <c r="L158" i="9" s="1"/>
  <c r="K159" i="9"/>
  <c r="L159" i="9" s="1"/>
  <c r="K160" i="9"/>
  <c r="L160" i="9"/>
  <c r="K161" i="9"/>
  <c r="L161" i="9"/>
  <c r="K162" i="9"/>
  <c r="L162" i="9" s="1"/>
  <c r="E163" i="9"/>
  <c r="M163" i="9"/>
  <c r="K164" i="9"/>
  <c r="L164" i="9" s="1"/>
  <c r="L165" i="9" s="1"/>
  <c r="E165" i="9"/>
  <c r="M165" i="9"/>
  <c r="K166" i="9"/>
  <c r="L166" i="9" s="1"/>
  <c r="K167" i="9"/>
  <c r="L167" i="9"/>
  <c r="K168" i="9"/>
  <c r="L168" i="9"/>
  <c r="K169" i="9"/>
  <c r="L169" i="9" s="1"/>
  <c r="K170" i="9"/>
  <c r="L170" i="9" s="1"/>
  <c r="K171" i="9"/>
  <c r="L171" i="9" s="1"/>
  <c r="K172" i="9"/>
  <c r="L172" i="9"/>
  <c r="K173" i="9"/>
  <c r="L173" i="9" s="1"/>
  <c r="K174" i="9"/>
  <c r="L174" i="9" s="1"/>
  <c r="K175" i="9"/>
  <c r="L175" i="9"/>
  <c r="K176" i="9"/>
  <c r="L176" i="9" s="1"/>
  <c r="K177" i="9"/>
  <c r="L177" i="9" s="1"/>
  <c r="K178" i="9"/>
  <c r="L178" i="9" s="1"/>
  <c r="K179" i="9"/>
  <c r="L179" i="9"/>
  <c r="K180" i="9"/>
  <c r="L180" i="9"/>
  <c r="K181" i="9"/>
  <c r="L181" i="9" s="1"/>
  <c r="K182" i="9"/>
  <c r="L182" i="9" s="1"/>
  <c r="K183" i="9"/>
  <c r="L183" i="9"/>
  <c r="K184" i="9"/>
  <c r="L184" i="9"/>
  <c r="K185" i="9"/>
  <c r="L185" i="9" s="1"/>
  <c r="E186" i="9"/>
  <c r="M186" i="9"/>
  <c r="K187" i="9"/>
  <c r="L187" i="9" s="1"/>
  <c r="K188" i="9"/>
  <c r="L188" i="9"/>
  <c r="K189" i="9"/>
  <c r="L189" i="9"/>
  <c r="K190" i="9"/>
  <c r="L190" i="9"/>
  <c r="K191" i="9"/>
  <c r="L191" i="9" s="1"/>
  <c r="K192" i="9"/>
  <c r="L192" i="9"/>
  <c r="K193" i="9"/>
  <c r="L193" i="9" s="1"/>
  <c r="K194" i="9"/>
  <c r="L194" i="9" s="1"/>
  <c r="K195" i="9"/>
  <c r="L195" i="9" s="1"/>
  <c r="K196" i="9"/>
  <c r="L196" i="9" s="1"/>
  <c r="E197" i="9"/>
  <c r="M197" i="9"/>
  <c r="K198" i="9"/>
  <c r="L198" i="9"/>
  <c r="L200" i="9" s="1"/>
  <c r="K199" i="9"/>
  <c r="L199" i="9"/>
  <c r="E200" i="9"/>
  <c r="M200" i="9"/>
  <c r="K201" i="9"/>
  <c r="L201" i="9"/>
  <c r="K202" i="9"/>
  <c r="L202" i="9" s="1"/>
  <c r="K203" i="9"/>
  <c r="L203" i="9" s="1"/>
  <c r="K204" i="9"/>
  <c r="L204" i="9"/>
  <c r="K205" i="9"/>
  <c r="L205" i="9"/>
  <c r="K206" i="9"/>
  <c r="L206" i="9" s="1"/>
  <c r="K207" i="9"/>
  <c r="L207" i="9"/>
  <c r="E208" i="9"/>
  <c r="M208" i="9"/>
  <c r="K209" i="9"/>
  <c r="L209" i="9" s="1"/>
  <c r="L212" i="9" s="1"/>
  <c r="K210" i="9"/>
  <c r="L210" i="9"/>
  <c r="K211" i="9"/>
  <c r="L211" i="9" s="1"/>
  <c r="E212" i="9"/>
  <c r="M212" i="9"/>
  <c r="K213" i="9"/>
  <c r="L213" i="9" s="1"/>
  <c r="K214" i="9"/>
  <c r="L214" i="9" s="1"/>
  <c r="K215" i="9"/>
  <c r="L215" i="9"/>
  <c r="K216" i="9"/>
  <c r="L216" i="9"/>
  <c r="K217" i="9"/>
  <c r="L217" i="9" s="1"/>
  <c r="K218" i="9"/>
  <c r="L218" i="9"/>
  <c r="E219" i="9"/>
  <c r="M219" i="9"/>
  <c r="K220" i="9"/>
  <c r="L220" i="9" s="1"/>
  <c r="K221" i="9"/>
  <c r="L221" i="9" s="1"/>
  <c r="K222" i="9"/>
  <c r="L222" i="9" s="1"/>
  <c r="E223" i="9"/>
  <c r="M223" i="9"/>
  <c r="K224" i="9"/>
  <c r="L224" i="9" s="1"/>
  <c r="K225" i="9"/>
  <c r="L225" i="9" s="1"/>
  <c r="K226" i="9"/>
  <c r="L226" i="9" s="1"/>
  <c r="K227" i="9"/>
  <c r="L227" i="9"/>
  <c r="K228" i="9"/>
  <c r="L228" i="9" s="1"/>
  <c r="K229" i="9"/>
  <c r="L229" i="9"/>
  <c r="K230" i="9"/>
  <c r="L230" i="9"/>
  <c r="K231" i="9"/>
  <c r="L231" i="9"/>
  <c r="K232" i="9"/>
  <c r="L232" i="9" s="1"/>
  <c r="K233" i="9"/>
  <c r="L233" i="9"/>
  <c r="K234" i="9"/>
  <c r="L234" i="9" s="1"/>
  <c r="K235" i="9"/>
  <c r="L235" i="9" s="1"/>
  <c r="K236" i="9"/>
  <c r="L236" i="9" s="1"/>
  <c r="K237" i="9"/>
  <c r="L237" i="9" s="1"/>
  <c r="K238" i="9"/>
  <c r="L238" i="9"/>
  <c r="K239" i="9"/>
  <c r="L239" i="9"/>
  <c r="K240" i="9"/>
  <c r="L240" i="9" s="1"/>
  <c r="K241" i="9"/>
  <c r="L241" i="9"/>
  <c r="K242" i="9"/>
  <c r="L242" i="9"/>
  <c r="K243" i="9"/>
  <c r="L243" i="9" s="1"/>
  <c r="K244" i="9"/>
  <c r="L244" i="9" s="1"/>
  <c r="K245" i="9"/>
  <c r="L245" i="9"/>
  <c r="K246" i="9"/>
  <c r="L246" i="9" s="1"/>
  <c r="K247" i="9"/>
  <c r="L247" i="9"/>
  <c r="K248" i="9"/>
  <c r="L248" i="9" s="1"/>
  <c r="K249" i="9"/>
  <c r="L249" i="9" s="1"/>
  <c r="K250" i="9"/>
  <c r="L250" i="9"/>
  <c r="K251" i="9"/>
  <c r="L251" i="9"/>
  <c r="K252" i="9"/>
  <c r="L252" i="9" s="1"/>
  <c r="K253" i="9"/>
  <c r="L253" i="9"/>
  <c r="K254" i="9"/>
  <c r="L254" i="9"/>
  <c r="K255" i="9"/>
  <c r="L255" i="9" s="1"/>
  <c r="K256" i="9"/>
  <c r="L256" i="9" s="1"/>
  <c r="K257" i="9"/>
  <c r="L257" i="9" s="1"/>
  <c r="K258" i="9"/>
  <c r="L258" i="9" s="1"/>
  <c r="K259" i="9"/>
  <c r="L259" i="9"/>
  <c r="K260" i="9"/>
  <c r="L260" i="9" s="1"/>
  <c r="K261" i="9"/>
  <c r="L261" i="9"/>
  <c r="K262" i="9"/>
  <c r="L262" i="9"/>
  <c r="K263" i="9"/>
  <c r="L263" i="9"/>
  <c r="K264" i="9"/>
  <c r="L264" i="9" s="1"/>
  <c r="K265" i="9"/>
  <c r="L265" i="9"/>
  <c r="E266" i="9"/>
  <c r="M266" i="9"/>
  <c r="K267" i="9"/>
  <c r="L267" i="9" s="1"/>
  <c r="K268" i="9"/>
  <c r="L268" i="9"/>
  <c r="K269" i="9"/>
  <c r="L269" i="9" s="1"/>
  <c r="K270" i="9"/>
  <c r="L270" i="9" s="1"/>
  <c r="E271" i="9"/>
  <c r="M271" i="9"/>
  <c r="K272" i="9"/>
  <c r="L272" i="9" s="1"/>
  <c r="K273" i="9"/>
  <c r="L273" i="9"/>
  <c r="K274" i="9"/>
  <c r="L274" i="9"/>
  <c r="K275" i="9"/>
  <c r="L275" i="9" s="1"/>
  <c r="E276" i="9"/>
  <c r="M276" i="9"/>
  <c r="K277" i="9"/>
  <c r="L277" i="9" s="1"/>
  <c r="K278" i="9"/>
  <c r="L278" i="9"/>
  <c r="K279" i="9"/>
  <c r="L279" i="9"/>
  <c r="K280" i="9"/>
  <c r="L280" i="9" s="1"/>
  <c r="K281" i="9"/>
  <c r="L281" i="9" s="1"/>
  <c r="K282" i="9"/>
  <c r="L282" i="9" s="1"/>
  <c r="K283" i="9"/>
  <c r="L283" i="9"/>
  <c r="K284" i="9"/>
  <c r="L284" i="9" s="1"/>
  <c r="K285" i="9"/>
  <c r="L285" i="9" s="1"/>
  <c r="K286" i="9"/>
  <c r="L286" i="9" s="1"/>
  <c r="K287" i="9"/>
  <c r="L287" i="9" s="1"/>
  <c r="K288" i="9"/>
  <c r="L288" i="9" s="1"/>
  <c r="K289" i="9"/>
  <c r="L289" i="9" s="1"/>
  <c r="K290" i="9"/>
  <c r="L290" i="9"/>
  <c r="K291" i="9"/>
  <c r="L291" i="9" s="1"/>
  <c r="K292" i="9"/>
  <c r="L292" i="9" s="1"/>
  <c r="E293" i="9"/>
  <c r="M293" i="9"/>
  <c r="E295" i="9"/>
  <c r="L276" i="9" l="1"/>
  <c r="M295" i="9"/>
  <c r="L49" i="9"/>
  <c r="L163" i="9"/>
  <c r="L24" i="9"/>
  <c r="L219" i="9"/>
  <c r="L28" i="9"/>
  <c r="L295" i="9" s="1"/>
  <c r="L197" i="9"/>
  <c r="L186" i="9"/>
  <c r="L293" i="9"/>
  <c r="L271" i="9"/>
  <c r="L77" i="9"/>
  <c r="L223" i="9"/>
  <c r="L208" i="9"/>
  <c r="L106" i="9"/>
  <c r="L266" i="9"/>
  <c r="K4" i="8"/>
  <c r="L4" i="8" s="1"/>
  <c r="K5" i="8"/>
  <c r="L5" i="8" s="1"/>
  <c r="K6" i="8"/>
  <c r="L6" i="8" s="1"/>
  <c r="K7" i="8"/>
  <c r="L7" i="8"/>
  <c r="K8" i="8"/>
  <c r="L8" i="8" s="1"/>
  <c r="K9" i="8"/>
  <c r="L9" i="8" s="1"/>
  <c r="K10" i="8"/>
  <c r="L10" i="8" s="1"/>
  <c r="K11" i="8"/>
  <c r="L11" i="8"/>
  <c r="K12" i="8"/>
  <c r="L12" i="8" s="1"/>
  <c r="K13" i="8"/>
  <c r="L13" i="8" s="1"/>
  <c r="K14" i="8"/>
  <c r="L14" i="8" s="1"/>
  <c r="K15" i="8"/>
  <c r="L15" i="8"/>
  <c r="K16" i="8"/>
  <c r="L16" i="8" s="1"/>
  <c r="K17" i="8"/>
  <c r="L17" i="8" s="1"/>
  <c r="K18" i="8"/>
  <c r="L18" i="8" s="1"/>
  <c r="K19" i="8"/>
  <c r="L19" i="8"/>
  <c r="K20" i="8"/>
  <c r="L20" i="8" s="1"/>
  <c r="E21" i="8"/>
  <c r="M21" i="8"/>
  <c r="K22" i="8"/>
  <c r="L22" i="8"/>
  <c r="L24" i="8" s="1"/>
  <c r="K23" i="8"/>
  <c r="L23" i="8"/>
  <c r="E24" i="8"/>
  <c r="M24" i="8"/>
  <c r="K25" i="8"/>
  <c r="L25" i="8" s="1"/>
  <c r="L42" i="8" s="1"/>
  <c r="K26" i="8"/>
  <c r="L26" i="8"/>
  <c r="K27" i="8"/>
  <c r="L27" i="8" s="1"/>
  <c r="K28" i="8"/>
  <c r="L28" i="8" s="1"/>
  <c r="K29" i="8"/>
  <c r="L29" i="8" s="1"/>
  <c r="K30" i="8"/>
  <c r="L30" i="8"/>
  <c r="K31" i="8"/>
  <c r="L31" i="8" s="1"/>
  <c r="K32" i="8"/>
  <c r="L32" i="8" s="1"/>
  <c r="K33" i="8"/>
  <c r="L33" i="8" s="1"/>
  <c r="K34" i="8"/>
  <c r="L34" i="8"/>
  <c r="K35" i="8"/>
  <c r="L35" i="8" s="1"/>
  <c r="K36" i="8"/>
  <c r="L36" i="8" s="1"/>
  <c r="K37" i="8"/>
  <c r="L37" i="8" s="1"/>
  <c r="K38" i="8"/>
  <c r="L38" i="8"/>
  <c r="K39" i="8"/>
  <c r="L39" i="8" s="1"/>
  <c r="K40" i="8"/>
  <c r="L40" i="8" s="1"/>
  <c r="K41" i="8"/>
  <c r="L41" i="8" s="1"/>
  <c r="E42" i="8"/>
  <c r="M42" i="8"/>
  <c r="M258" i="8" s="1"/>
  <c r="K43" i="8"/>
  <c r="L43" i="8"/>
  <c r="K44" i="8"/>
  <c r="L44" i="8"/>
  <c r="K45" i="8"/>
  <c r="L45" i="8"/>
  <c r="K46" i="8"/>
  <c r="L46" i="8"/>
  <c r="L69" i="8" s="1"/>
  <c r="K47" i="8"/>
  <c r="L47" i="8"/>
  <c r="K48" i="8"/>
  <c r="L48" i="8"/>
  <c r="K49" i="8"/>
  <c r="L49" i="8"/>
  <c r="K50" i="8"/>
  <c r="L50" i="8"/>
  <c r="K51" i="8"/>
  <c r="L51" i="8"/>
  <c r="K52" i="8"/>
  <c r="L52" i="8"/>
  <c r="K53" i="8"/>
  <c r="L53" i="8"/>
  <c r="K54" i="8"/>
  <c r="L54" i="8"/>
  <c r="K55" i="8"/>
  <c r="L55" i="8"/>
  <c r="K56" i="8"/>
  <c r="L56" i="8"/>
  <c r="K57" i="8"/>
  <c r="L57" i="8"/>
  <c r="K58" i="8"/>
  <c r="L58" i="8"/>
  <c r="K59" i="8"/>
  <c r="L59" i="8"/>
  <c r="K60" i="8"/>
  <c r="L60" i="8"/>
  <c r="K61" i="8"/>
  <c r="L61" i="8"/>
  <c r="K62" i="8"/>
  <c r="L62" i="8"/>
  <c r="K63" i="8"/>
  <c r="L63" i="8"/>
  <c r="K64" i="8"/>
  <c r="L64" i="8"/>
  <c r="K65" i="8"/>
  <c r="L65" i="8"/>
  <c r="K66" i="8"/>
  <c r="L66" i="8"/>
  <c r="K67" i="8"/>
  <c r="L67" i="8"/>
  <c r="K68" i="8"/>
  <c r="L68" i="8"/>
  <c r="E69" i="8"/>
  <c r="M69" i="8"/>
  <c r="K70" i="8"/>
  <c r="L70" i="8" s="1"/>
  <c r="K71" i="8"/>
  <c r="L71" i="8" s="1"/>
  <c r="K72" i="8"/>
  <c r="L72" i="8" s="1"/>
  <c r="K73" i="8"/>
  <c r="L73" i="8"/>
  <c r="K74" i="8"/>
  <c r="L74" i="8" s="1"/>
  <c r="K75" i="8"/>
  <c r="L75" i="8" s="1"/>
  <c r="K76" i="8"/>
  <c r="L76" i="8" s="1"/>
  <c r="K77" i="8"/>
  <c r="L77" i="8"/>
  <c r="K78" i="8"/>
  <c r="L78" i="8" s="1"/>
  <c r="K79" i="8"/>
  <c r="L79" i="8" s="1"/>
  <c r="K80" i="8"/>
  <c r="L80" i="8" s="1"/>
  <c r="K81" i="8"/>
  <c r="L81" i="8"/>
  <c r="K82" i="8"/>
  <c r="L82" i="8" s="1"/>
  <c r="K83" i="8"/>
  <c r="L83" i="8" s="1"/>
  <c r="K84" i="8"/>
  <c r="L84" i="8" s="1"/>
  <c r="K85" i="8"/>
  <c r="L85" i="8"/>
  <c r="K86" i="8"/>
  <c r="L86" i="8" s="1"/>
  <c r="K87" i="8"/>
  <c r="L87" i="8" s="1"/>
  <c r="K88" i="8"/>
  <c r="L88" i="8" s="1"/>
  <c r="K89" i="8"/>
  <c r="L89" i="8"/>
  <c r="K90" i="8"/>
  <c r="L90" i="8" s="1"/>
  <c r="K91" i="8"/>
  <c r="L91" i="8" s="1"/>
  <c r="K92" i="8"/>
  <c r="L92" i="8" s="1"/>
  <c r="K93" i="8"/>
  <c r="L93" i="8"/>
  <c r="K94" i="8"/>
  <c r="L94" i="8" s="1"/>
  <c r="K95" i="8"/>
  <c r="L95" i="8" s="1"/>
  <c r="K96" i="8"/>
  <c r="L96" i="8" s="1"/>
  <c r="E97" i="8"/>
  <c r="M97" i="8"/>
  <c r="K98" i="8"/>
  <c r="L98" i="8"/>
  <c r="K99" i="8"/>
  <c r="L99" i="8"/>
  <c r="K100" i="8"/>
  <c r="L100" i="8"/>
  <c r="L143" i="8" s="1"/>
  <c r="K101" i="8"/>
  <c r="L101" i="8"/>
  <c r="K102" i="8"/>
  <c r="L102" i="8"/>
  <c r="K103" i="8"/>
  <c r="L103" i="8"/>
  <c r="K104" i="8"/>
  <c r="L104" i="8"/>
  <c r="K105" i="8"/>
  <c r="L105" i="8"/>
  <c r="K106" i="8"/>
  <c r="L106" i="8"/>
  <c r="K107" i="8"/>
  <c r="L107" i="8"/>
  <c r="K108" i="8"/>
  <c r="L108" i="8"/>
  <c r="K109" i="8"/>
  <c r="L109" i="8"/>
  <c r="K110" i="8"/>
  <c r="L110" i="8"/>
  <c r="K111" i="8"/>
  <c r="L111" i="8"/>
  <c r="K112" i="8"/>
  <c r="L112" i="8"/>
  <c r="K113" i="8"/>
  <c r="L113" i="8"/>
  <c r="K114" i="8"/>
  <c r="L114" i="8"/>
  <c r="K115" i="8"/>
  <c r="L115" i="8"/>
  <c r="K116" i="8"/>
  <c r="L116" i="8"/>
  <c r="K117" i="8"/>
  <c r="L117" i="8"/>
  <c r="K118" i="8"/>
  <c r="L118" i="8"/>
  <c r="K119" i="8"/>
  <c r="L119" i="8"/>
  <c r="K120" i="8"/>
  <c r="L120" i="8"/>
  <c r="K121" i="8"/>
  <c r="L121" i="8"/>
  <c r="K122" i="8"/>
  <c r="L122" i="8"/>
  <c r="K123" i="8"/>
  <c r="L123" i="8"/>
  <c r="K124" i="8"/>
  <c r="L124" i="8"/>
  <c r="K125" i="8"/>
  <c r="L125" i="8"/>
  <c r="K126" i="8"/>
  <c r="L126" i="8"/>
  <c r="K127" i="8"/>
  <c r="L127" i="8"/>
  <c r="K128" i="8"/>
  <c r="L128" i="8"/>
  <c r="K129" i="8"/>
  <c r="L129" i="8"/>
  <c r="K130" i="8"/>
  <c r="L130" i="8"/>
  <c r="K131" i="8"/>
  <c r="L131" i="8"/>
  <c r="K132" i="8"/>
  <c r="L132" i="8"/>
  <c r="K133" i="8"/>
  <c r="L133" i="8"/>
  <c r="K134" i="8"/>
  <c r="L134" i="8"/>
  <c r="K135" i="8"/>
  <c r="L135" i="8"/>
  <c r="K136" i="8"/>
  <c r="L136" i="8"/>
  <c r="K137" i="8"/>
  <c r="L137" i="8"/>
  <c r="K138" i="8"/>
  <c r="L138" i="8"/>
  <c r="K139" i="8"/>
  <c r="L139" i="8"/>
  <c r="K140" i="8"/>
  <c r="L140" i="8"/>
  <c r="K141" i="8"/>
  <c r="L141" i="8"/>
  <c r="K142" i="8"/>
  <c r="L142" i="8"/>
  <c r="E143" i="8"/>
  <c r="M143" i="8"/>
  <c r="K144" i="8"/>
  <c r="L144" i="8"/>
  <c r="L145" i="8" s="1"/>
  <c r="E145" i="8"/>
  <c r="E258" i="8" s="1"/>
  <c r="M145" i="8"/>
  <c r="K146" i="8"/>
  <c r="L146" i="8"/>
  <c r="K147" i="8"/>
  <c r="L147" i="8"/>
  <c r="L166" i="8" s="1"/>
  <c r="K148" i="8"/>
  <c r="L148" i="8"/>
  <c r="K149" i="8"/>
  <c r="L149" i="8"/>
  <c r="K150" i="8"/>
  <c r="L150" i="8"/>
  <c r="K151" i="8"/>
  <c r="L151" i="8"/>
  <c r="K152" i="8"/>
  <c r="L152" i="8"/>
  <c r="K153" i="8"/>
  <c r="L153" i="8"/>
  <c r="K154" i="8"/>
  <c r="L154" i="8"/>
  <c r="K155" i="8"/>
  <c r="L155" i="8"/>
  <c r="K156" i="8"/>
  <c r="L156" i="8"/>
  <c r="K157" i="8"/>
  <c r="L157" i="8"/>
  <c r="K158" i="8"/>
  <c r="L158" i="8"/>
  <c r="K159" i="8"/>
  <c r="L159" i="8"/>
  <c r="K160" i="8"/>
  <c r="L160" i="8"/>
  <c r="K161" i="8"/>
  <c r="L161" i="8"/>
  <c r="K162" i="8"/>
  <c r="L162" i="8"/>
  <c r="K163" i="8"/>
  <c r="L163" i="8"/>
  <c r="K164" i="8"/>
  <c r="L164" i="8"/>
  <c r="K165" i="8"/>
  <c r="L165" i="8"/>
  <c r="E166" i="8"/>
  <c r="M166" i="8"/>
  <c r="K167" i="8"/>
  <c r="L167" i="8"/>
  <c r="K168" i="8"/>
  <c r="L168" i="8" s="1"/>
  <c r="K169" i="8"/>
  <c r="L169" i="8" s="1"/>
  <c r="K170" i="8"/>
  <c r="L170" i="8" s="1"/>
  <c r="K171" i="8"/>
  <c r="L171" i="8"/>
  <c r="K172" i="8"/>
  <c r="L172" i="8" s="1"/>
  <c r="K173" i="8"/>
  <c r="L173" i="8" s="1"/>
  <c r="K174" i="8"/>
  <c r="L174" i="8" s="1"/>
  <c r="K175" i="8"/>
  <c r="L175" i="8"/>
  <c r="E176" i="8"/>
  <c r="M176" i="8"/>
  <c r="K177" i="8"/>
  <c r="L177" i="8"/>
  <c r="K178" i="8"/>
  <c r="L178" i="8"/>
  <c r="E179" i="8"/>
  <c r="L179" i="8"/>
  <c r="M179" i="8"/>
  <c r="K180" i="8"/>
  <c r="L180" i="8" s="1"/>
  <c r="K181" i="8"/>
  <c r="L181" i="8" s="1"/>
  <c r="K182" i="8"/>
  <c r="L182" i="8"/>
  <c r="K183" i="8"/>
  <c r="L183" i="8" s="1"/>
  <c r="K184" i="8"/>
  <c r="L184" i="8" s="1"/>
  <c r="E185" i="8"/>
  <c r="M185" i="8"/>
  <c r="K186" i="8"/>
  <c r="L186" i="8"/>
  <c r="L189" i="8" s="1"/>
  <c r="K187" i="8"/>
  <c r="L187" i="8"/>
  <c r="K188" i="8"/>
  <c r="L188" i="8"/>
  <c r="E189" i="8"/>
  <c r="M189" i="8"/>
  <c r="K190" i="8"/>
  <c r="L190" i="8" s="1"/>
  <c r="K191" i="8"/>
  <c r="L191" i="8" s="1"/>
  <c r="K192" i="8"/>
  <c r="L192" i="8" s="1"/>
  <c r="E193" i="8"/>
  <c r="M193" i="8"/>
  <c r="K194" i="8"/>
  <c r="L194" i="8"/>
  <c r="K195" i="8"/>
  <c r="L195" i="8"/>
  <c r="K196" i="8"/>
  <c r="L196" i="8"/>
  <c r="E197" i="8"/>
  <c r="L197" i="8"/>
  <c r="M197" i="8"/>
  <c r="K198" i="8"/>
  <c r="L198" i="8" s="1"/>
  <c r="K199" i="8"/>
  <c r="L199" i="8" s="1"/>
  <c r="K200" i="8"/>
  <c r="L200" i="8"/>
  <c r="K201" i="8"/>
  <c r="L201" i="8" s="1"/>
  <c r="K202" i="8"/>
  <c r="L202" i="8" s="1"/>
  <c r="K203" i="8"/>
  <c r="L203" i="8" s="1"/>
  <c r="K204" i="8"/>
  <c r="L204" i="8"/>
  <c r="K205" i="8"/>
  <c r="L205" i="8" s="1"/>
  <c r="K206" i="8"/>
  <c r="L206" i="8" s="1"/>
  <c r="K207" i="8"/>
  <c r="L207" i="8" s="1"/>
  <c r="K208" i="8"/>
  <c r="L208" i="8"/>
  <c r="K209" i="8"/>
  <c r="L209" i="8" s="1"/>
  <c r="K210" i="8"/>
  <c r="L210" i="8" s="1"/>
  <c r="K211" i="8"/>
  <c r="L211" i="8" s="1"/>
  <c r="K212" i="8"/>
  <c r="L212" i="8"/>
  <c r="K213" i="8"/>
  <c r="L213" i="8" s="1"/>
  <c r="K214" i="8"/>
  <c r="L214" i="8" s="1"/>
  <c r="K215" i="8"/>
  <c r="L215" i="8" s="1"/>
  <c r="K216" i="8"/>
  <c r="L216" i="8"/>
  <c r="K217" i="8"/>
  <c r="L217" i="8" s="1"/>
  <c r="K218" i="8"/>
  <c r="L218" i="8" s="1"/>
  <c r="K219" i="8"/>
  <c r="L219" i="8" s="1"/>
  <c r="K220" i="8"/>
  <c r="L220" i="8"/>
  <c r="K221" i="8"/>
  <c r="L221" i="8" s="1"/>
  <c r="K222" i="8"/>
  <c r="L222" i="8" s="1"/>
  <c r="K223" i="8"/>
  <c r="L223" i="8" s="1"/>
  <c r="K224" i="8"/>
  <c r="L224" i="8"/>
  <c r="K225" i="8"/>
  <c r="L225" i="8" s="1"/>
  <c r="K226" i="8"/>
  <c r="L226" i="8" s="1"/>
  <c r="K227" i="8"/>
  <c r="L227" i="8" s="1"/>
  <c r="K228" i="8"/>
  <c r="L228" i="8"/>
  <c r="K229" i="8"/>
  <c r="L229" i="8" s="1"/>
  <c r="K230" i="8"/>
  <c r="L230" i="8" s="1"/>
  <c r="K231" i="8"/>
  <c r="L231" i="8" s="1"/>
  <c r="K232" i="8"/>
  <c r="L232" i="8"/>
  <c r="K233" i="8"/>
  <c r="L233" i="8" s="1"/>
  <c r="E234" i="8"/>
  <c r="M234" i="8"/>
  <c r="K235" i="8"/>
  <c r="L235" i="8"/>
  <c r="L237" i="8" s="1"/>
  <c r="K236" i="8"/>
  <c r="L236" i="8"/>
  <c r="E237" i="8"/>
  <c r="M237" i="8"/>
  <c r="K238" i="8"/>
  <c r="L238" i="8" s="1"/>
  <c r="L240" i="8" s="1"/>
  <c r="K239" i="8"/>
  <c r="L239" i="8"/>
  <c r="E240" i="8"/>
  <c r="M240" i="8"/>
  <c r="K241" i="8"/>
  <c r="L241" i="8"/>
  <c r="L256" i="8" s="1"/>
  <c r="K242" i="8"/>
  <c r="L242" i="8"/>
  <c r="K243" i="8"/>
  <c r="L243" i="8"/>
  <c r="K244" i="8"/>
  <c r="L244" i="8"/>
  <c r="K245" i="8"/>
  <c r="L245" i="8"/>
  <c r="K246" i="8"/>
  <c r="L246" i="8"/>
  <c r="K247" i="8"/>
  <c r="L247" i="8"/>
  <c r="K248" i="8"/>
  <c r="L248" i="8"/>
  <c r="K249" i="8"/>
  <c r="L249" i="8"/>
  <c r="K250" i="8"/>
  <c r="L250" i="8"/>
  <c r="K251" i="8"/>
  <c r="L251" i="8"/>
  <c r="K252" i="8"/>
  <c r="L252" i="8"/>
  <c r="K253" i="8"/>
  <c r="L253" i="8"/>
  <c r="K254" i="8"/>
  <c r="L254" i="8"/>
  <c r="K255" i="8"/>
  <c r="L255" i="8"/>
  <c r="E256" i="8"/>
  <c r="M256" i="8"/>
  <c r="L21" i="8" l="1"/>
  <c r="L258" i="8" s="1"/>
  <c r="L176" i="8"/>
  <c r="L193" i="8"/>
  <c r="L185" i="8"/>
  <c r="L234" i="8"/>
  <c r="L97" i="8"/>
  <c r="K4" i="7"/>
  <c r="L4" i="7"/>
  <c r="K5" i="7"/>
  <c r="L5" i="7"/>
  <c r="K6" i="7"/>
  <c r="L6" i="7"/>
  <c r="K7" i="7"/>
  <c r="L7" i="7" s="1"/>
  <c r="K8" i="7"/>
  <c r="L8" i="7"/>
  <c r="K9" i="7"/>
  <c r="L9" i="7"/>
  <c r="K10" i="7"/>
  <c r="L10" i="7"/>
  <c r="K11" i="7"/>
  <c r="L11" i="7" s="1"/>
  <c r="K12" i="7"/>
  <c r="L12" i="7"/>
  <c r="K13" i="7"/>
  <c r="L13" i="7"/>
  <c r="K14" i="7"/>
  <c r="L14" i="7"/>
  <c r="K15" i="7"/>
  <c r="L15" i="7" s="1"/>
  <c r="K16" i="7"/>
  <c r="L16" i="7"/>
  <c r="K17" i="7"/>
  <c r="L17" i="7"/>
  <c r="K18" i="7"/>
  <c r="L18" i="7"/>
  <c r="K19" i="7"/>
  <c r="L19" i="7" s="1"/>
  <c r="E20" i="7"/>
  <c r="M20" i="7"/>
  <c r="K21" i="7"/>
  <c r="L21" i="7" s="1"/>
  <c r="K22" i="7"/>
  <c r="L22" i="7"/>
  <c r="K23" i="7"/>
  <c r="L23" i="7" s="1"/>
  <c r="K24" i="7"/>
  <c r="L24" i="7" s="1"/>
  <c r="K25" i="7"/>
  <c r="L25" i="7" s="1"/>
  <c r="K26" i="7"/>
  <c r="L26" i="7"/>
  <c r="K27" i="7"/>
  <c r="L27" i="7" s="1"/>
  <c r="K28" i="7"/>
  <c r="L28" i="7" s="1"/>
  <c r="K29" i="7"/>
  <c r="L29" i="7" s="1"/>
  <c r="K30" i="7"/>
  <c r="L30" i="7"/>
  <c r="K31" i="7"/>
  <c r="L31" i="7" s="1"/>
  <c r="K32" i="7"/>
  <c r="L32" i="7" s="1"/>
  <c r="K33" i="7"/>
  <c r="L33" i="7" s="1"/>
  <c r="E34" i="7"/>
  <c r="E217" i="7" s="1"/>
  <c r="M34" i="7"/>
  <c r="M217" i="7" s="1"/>
  <c r="K35" i="7"/>
  <c r="L35" i="7"/>
  <c r="K36" i="7"/>
  <c r="L36" i="7"/>
  <c r="K37" i="7"/>
  <c r="L37" i="7"/>
  <c r="K38" i="7"/>
  <c r="L38" i="7"/>
  <c r="K39" i="7"/>
  <c r="L39" i="7"/>
  <c r="K40" i="7"/>
  <c r="L40" i="7"/>
  <c r="K41" i="7"/>
  <c r="L41" i="7"/>
  <c r="K42" i="7"/>
  <c r="L42" i="7"/>
  <c r="K43" i="7"/>
  <c r="L43" i="7"/>
  <c r="K44" i="7"/>
  <c r="L44" i="7"/>
  <c r="K45" i="7"/>
  <c r="L45" i="7"/>
  <c r="K46" i="7"/>
  <c r="L46" i="7"/>
  <c r="K47" i="7"/>
  <c r="L47" i="7"/>
  <c r="K48" i="7"/>
  <c r="L48" i="7"/>
  <c r="K49" i="7"/>
  <c r="L49" i="7"/>
  <c r="K50" i="7"/>
  <c r="L50" i="7"/>
  <c r="K51" i="7"/>
  <c r="L51" i="7"/>
  <c r="K52" i="7"/>
  <c r="L52" i="7"/>
  <c r="K53" i="7"/>
  <c r="L53" i="7"/>
  <c r="K54" i="7"/>
  <c r="L54" i="7"/>
  <c r="K55" i="7"/>
  <c r="L55" i="7"/>
  <c r="K56" i="7"/>
  <c r="L56" i="7"/>
  <c r="K57" i="7"/>
  <c r="L57" i="7"/>
  <c r="E58" i="7"/>
  <c r="L58" i="7"/>
  <c r="M58" i="7"/>
  <c r="K59" i="7"/>
  <c r="L59" i="7" s="1"/>
  <c r="K60" i="7"/>
  <c r="L60" i="7" s="1"/>
  <c r="K61" i="7"/>
  <c r="L61" i="7"/>
  <c r="K62" i="7"/>
  <c r="L62" i="7" s="1"/>
  <c r="K63" i="7"/>
  <c r="L63" i="7" s="1"/>
  <c r="K64" i="7"/>
  <c r="L64" i="7" s="1"/>
  <c r="K65" i="7"/>
  <c r="L65" i="7"/>
  <c r="K66" i="7"/>
  <c r="L66" i="7" s="1"/>
  <c r="K67" i="7"/>
  <c r="L67" i="7" s="1"/>
  <c r="K68" i="7"/>
  <c r="L68" i="7" s="1"/>
  <c r="K69" i="7"/>
  <c r="L69" i="7"/>
  <c r="K70" i="7"/>
  <c r="L70" i="7" s="1"/>
  <c r="K71" i="7"/>
  <c r="L71" i="7" s="1"/>
  <c r="K72" i="7"/>
  <c r="L72" i="7" s="1"/>
  <c r="K73" i="7"/>
  <c r="L73" i="7"/>
  <c r="K74" i="7"/>
  <c r="L74" i="7" s="1"/>
  <c r="K75" i="7"/>
  <c r="L75" i="7" s="1"/>
  <c r="K76" i="7"/>
  <c r="L76" i="7" s="1"/>
  <c r="K77" i="7"/>
  <c r="L77" i="7"/>
  <c r="K78" i="7"/>
  <c r="L78" i="7" s="1"/>
  <c r="K79" i="7"/>
  <c r="L79" i="7" s="1"/>
  <c r="K80" i="7"/>
  <c r="L80" i="7" s="1"/>
  <c r="K81" i="7"/>
  <c r="L81" i="7"/>
  <c r="E82" i="7"/>
  <c r="M82" i="7"/>
  <c r="K83" i="7"/>
  <c r="L83" i="7"/>
  <c r="K84" i="7"/>
  <c r="L84" i="7"/>
  <c r="K85" i="7"/>
  <c r="L85" i="7"/>
  <c r="L115" i="7" s="1"/>
  <c r="K86" i="7"/>
  <c r="L86" i="7"/>
  <c r="K87" i="7"/>
  <c r="L87" i="7"/>
  <c r="K88" i="7"/>
  <c r="L88" i="7"/>
  <c r="K89" i="7"/>
  <c r="L89" i="7"/>
  <c r="K90" i="7"/>
  <c r="L90" i="7"/>
  <c r="K91" i="7"/>
  <c r="L91" i="7"/>
  <c r="K92" i="7"/>
  <c r="L92" i="7"/>
  <c r="K93" i="7"/>
  <c r="L93" i="7"/>
  <c r="K94" i="7"/>
  <c r="L94" i="7"/>
  <c r="K95" i="7"/>
  <c r="L95" i="7"/>
  <c r="K96" i="7"/>
  <c r="L96" i="7"/>
  <c r="K97" i="7"/>
  <c r="L97" i="7"/>
  <c r="K98" i="7"/>
  <c r="L98" i="7"/>
  <c r="K99" i="7"/>
  <c r="L99" i="7"/>
  <c r="K100" i="7"/>
  <c r="L100" i="7"/>
  <c r="K101" i="7"/>
  <c r="L101" i="7"/>
  <c r="K102" i="7"/>
  <c r="L102" i="7"/>
  <c r="K103" i="7"/>
  <c r="L103" i="7"/>
  <c r="K104" i="7"/>
  <c r="L104" i="7"/>
  <c r="K105" i="7"/>
  <c r="L105" i="7"/>
  <c r="K106" i="7"/>
  <c r="L106" i="7"/>
  <c r="K107" i="7"/>
  <c r="L107" i="7"/>
  <c r="K108" i="7"/>
  <c r="L108" i="7"/>
  <c r="K109" i="7"/>
  <c r="L109" i="7"/>
  <c r="K110" i="7"/>
  <c r="L110" i="7"/>
  <c r="K111" i="7"/>
  <c r="L111" i="7"/>
  <c r="K112" i="7"/>
  <c r="L112" i="7"/>
  <c r="K113" i="7"/>
  <c r="L113" i="7"/>
  <c r="K114" i="7"/>
  <c r="L114" i="7"/>
  <c r="E115" i="7"/>
  <c r="M115" i="7"/>
  <c r="K116" i="7"/>
  <c r="L116" i="7"/>
  <c r="K117" i="7"/>
  <c r="L117" i="7" s="1"/>
  <c r="K118" i="7"/>
  <c r="L118" i="7" s="1"/>
  <c r="K119" i="7"/>
  <c r="L119" i="7" s="1"/>
  <c r="K120" i="7"/>
  <c r="L120" i="7"/>
  <c r="K121" i="7"/>
  <c r="L121" i="7" s="1"/>
  <c r="K122" i="7"/>
  <c r="L122" i="7" s="1"/>
  <c r="K123" i="7"/>
  <c r="L123" i="7" s="1"/>
  <c r="K124" i="7"/>
  <c r="L124" i="7"/>
  <c r="K125" i="7"/>
  <c r="L125" i="7" s="1"/>
  <c r="K126" i="7"/>
  <c r="L126" i="7" s="1"/>
  <c r="K127" i="7"/>
  <c r="L127" i="7" s="1"/>
  <c r="K128" i="7"/>
  <c r="L128" i="7"/>
  <c r="K129" i="7"/>
  <c r="L129" i="7" s="1"/>
  <c r="K130" i="7"/>
  <c r="L130" i="7" s="1"/>
  <c r="K131" i="7"/>
  <c r="L131" i="7" s="1"/>
  <c r="K132" i="7"/>
  <c r="L132" i="7"/>
  <c r="K133" i="7"/>
  <c r="L133" i="7" s="1"/>
  <c r="K134" i="7"/>
  <c r="L134" i="7" s="1"/>
  <c r="E135" i="7"/>
  <c r="M135" i="7"/>
  <c r="K136" i="7"/>
  <c r="L136" i="7"/>
  <c r="L144" i="7" s="1"/>
  <c r="K137" i="7"/>
  <c r="L137" i="7"/>
  <c r="K138" i="7"/>
  <c r="L138" i="7"/>
  <c r="K139" i="7"/>
  <c r="L139" i="7"/>
  <c r="K140" i="7"/>
  <c r="L140" i="7"/>
  <c r="K141" i="7"/>
  <c r="L141" i="7"/>
  <c r="K142" i="7"/>
  <c r="L142" i="7"/>
  <c r="K143" i="7"/>
  <c r="L143" i="7"/>
  <c r="E144" i="7"/>
  <c r="M144" i="7"/>
  <c r="K145" i="7"/>
  <c r="L145" i="7" s="1"/>
  <c r="L146" i="7" s="1"/>
  <c r="E146" i="7"/>
  <c r="M146" i="7"/>
  <c r="K147" i="7"/>
  <c r="L147" i="7"/>
  <c r="L152" i="7" s="1"/>
  <c r="K148" i="7"/>
  <c r="L148" i="7"/>
  <c r="K149" i="7"/>
  <c r="L149" i="7"/>
  <c r="K150" i="7"/>
  <c r="L150" i="7"/>
  <c r="K151" i="7"/>
  <c r="L151" i="7"/>
  <c r="E152" i="7"/>
  <c r="M152" i="7"/>
  <c r="K153" i="7"/>
  <c r="L153" i="7" s="1"/>
  <c r="K154" i="7"/>
  <c r="L154" i="7"/>
  <c r="K155" i="7"/>
  <c r="L155" i="7" s="1"/>
  <c r="E156" i="7"/>
  <c r="M156" i="7"/>
  <c r="K157" i="7"/>
  <c r="L157" i="7"/>
  <c r="L160" i="7" s="1"/>
  <c r="K158" i="7"/>
  <c r="L158" i="7"/>
  <c r="K159" i="7"/>
  <c r="L159" i="7"/>
  <c r="E160" i="7"/>
  <c r="M160" i="7"/>
  <c r="K161" i="7"/>
  <c r="L161" i="7"/>
  <c r="K162" i="7"/>
  <c r="L162" i="7" s="1"/>
  <c r="E163" i="7"/>
  <c r="M163" i="7"/>
  <c r="K164" i="7"/>
  <c r="L164" i="7"/>
  <c r="K165" i="7"/>
  <c r="L165" i="7"/>
  <c r="L195" i="7" s="1"/>
  <c r="K166" i="7"/>
  <c r="L166" i="7"/>
  <c r="K167" i="7"/>
  <c r="L167" i="7"/>
  <c r="K168" i="7"/>
  <c r="L168" i="7"/>
  <c r="K169" i="7"/>
  <c r="L169" i="7"/>
  <c r="K170" i="7"/>
  <c r="L170" i="7"/>
  <c r="K171" i="7"/>
  <c r="L171" i="7"/>
  <c r="K172" i="7"/>
  <c r="L172" i="7"/>
  <c r="K173" i="7"/>
  <c r="L173" i="7"/>
  <c r="K174" i="7"/>
  <c r="L174" i="7"/>
  <c r="K175" i="7"/>
  <c r="L175" i="7"/>
  <c r="K176" i="7"/>
  <c r="L176" i="7"/>
  <c r="K177" i="7"/>
  <c r="L177" i="7"/>
  <c r="K178" i="7"/>
  <c r="L178" i="7"/>
  <c r="K179" i="7"/>
  <c r="L179" i="7"/>
  <c r="K180" i="7"/>
  <c r="L180" i="7"/>
  <c r="K181" i="7"/>
  <c r="L181" i="7"/>
  <c r="K182" i="7"/>
  <c r="L182" i="7"/>
  <c r="K183" i="7"/>
  <c r="L183" i="7"/>
  <c r="K184" i="7"/>
  <c r="L184" i="7"/>
  <c r="K185" i="7"/>
  <c r="L185" i="7"/>
  <c r="K186" i="7"/>
  <c r="L186" i="7"/>
  <c r="K187" i="7"/>
  <c r="L187" i="7"/>
  <c r="K188" i="7"/>
  <c r="L188" i="7"/>
  <c r="K189" i="7"/>
  <c r="L189" i="7"/>
  <c r="K190" i="7"/>
  <c r="L190" i="7"/>
  <c r="K191" i="7"/>
  <c r="L191" i="7"/>
  <c r="K192" i="7"/>
  <c r="L192" i="7"/>
  <c r="K193" i="7"/>
  <c r="L193" i="7"/>
  <c r="K194" i="7"/>
  <c r="L194" i="7"/>
  <c r="E195" i="7"/>
  <c r="M195" i="7"/>
  <c r="K196" i="7"/>
  <c r="L196" i="7"/>
  <c r="L198" i="7" s="1"/>
  <c r="K197" i="7"/>
  <c r="L197" i="7" s="1"/>
  <c r="E198" i="7"/>
  <c r="M198" i="7"/>
  <c r="K199" i="7"/>
  <c r="L199" i="7"/>
  <c r="K200" i="7"/>
  <c r="L200" i="7"/>
  <c r="L201" i="7" s="1"/>
  <c r="E201" i="7"/>
  <c r="M201" i="7"/>
  <c r="K202" i="7"/>
  <c r="L202" i="7" s="1"/>
  <c r="K203" i="7"/>
  <c r="L203" i="7"/>
  <c r="K204" i="7"/>
  <c r="L204" i="7" s="1"/>
  <c r="K205" i="7"/>
  <c r="L205" i="7" s="1"/>
  <c r="K206" i="7"/>
  <c r="L206" i="7" s="1"/>
  <c r="K207" i="7"/>
  <c r="L207" i="7"/>
  <c r="K208" i="7"/>
  <c r="L208" i="7" s="1"/>
  <c r="K209" i="7"/>
  <c r="L209" i="7" s="1"/>
  <c r="K210" i="7"/>
  <c r="L210" i="7" s="1"/>
  <c r="K211" i="7"/>
  <c r="L211" i="7"/>
  <c r="K212" i="7"/>
  <c r="L212" i="7" s="1"/>
  <c r="K213" i="7"/>
  <c r="L213" i="7" s="1"/>
  <c r="K214" i="7"/>
  <c r="L214" i="7" s="1"/>
  <c r="E215" i="7"/>
  <c r="M215" i="7"/>
  <c r="L34" i="7" l="1"/>
  <c r="L20" i="7"/>
  <c r="L156" i="7"/>
  <c r="L135" i="7"/>
  <c r="L163" i="7"/>
  <c r="L215" i="7"/>
  <c r="L82" i="7"/>
  <c r="L217" i="7" s="1"/>
  <c r="K4" i="6"/>
  <c r="L4" i="6" s="1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E16" i="6"/>
  <c r="M16" i="6"/>
  <c r="K17" i="6"/>
  <c r="L17" i="6"/>
  <c r="K18" i="6"/>
  <c r="L18" i="6" s="1"/>
  <c r="K19" i="6"/>
  <c r="L19" i="6" s="1"/>
  <c r="K20" i="6"/>
  <c r="L20" i="6" s="1"/>
  <c r="K21" i="6"/>
  <c r="L21" i="6" s="1"/>
  <c r="K22" i="6"/>
  <c r="L22" i="6"/>
  <c r="K23" i="6"/>
  <c r="L23" i="6" s="1"/>
  <c r="K24" i="6"/>
  <c r="L24" i="6" s="1"/>
  <c r="E25" i="6"/>
  <c r="M25" i="6"/>
  <c r="K26" i="6"/>
  <c r="L26" i="6"/>
  <c r="K27" i="6"/>
  <c r="L27" i="6" s="1"/>
  <c r="K28" i="6"/>
  <c r="L28" i="6" s="1"/>
  <c r="K29" i="6"/>
  <c r="L29" i="6" s="1"/>
  <c r="K30" i="6"/>
  <c r="L30" i="6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E43" i="6"/>
  <c r="M43" i="6"/>
  <c r="K44" i="6"/>
  <c r="L44" i="6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/>
  <c r="K51" i="6"/>
  <c r="L51" i="6" s="1"/>
  <c r="K52" i="6"/>
  <c r="L52" i="6" s="1"/>
  <c r="K53" i="6"/>
  <c r="L53" i="6"/>
  <c r="K54" i="6"/>
  <c r="L54" i="6" s="1"/>
  <c r="K55" i="6"/>
  <c r="L55" i="6" s="1"/>
  <c r="E56" i="6"/>
  <c r="M56" i="6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/>
  <c r="K74" i="6"/>
  <c r="L74" i="6" s="1"/>
  <c r="K75" i="6"/>
  <c r="L75" i="6" s="1"/>
  <c r="K76" i="6"/>
  <c r="L76" i="6" s="1"/>
  <c r="K77" i="6"/>
  <c r="L77" i="6"/>
  <c r="E78" i="6"/>
  <c r="M78" i="6"/>
  <c r="K79" i="6"/>
  <c r="L79" i="6"/>
  <c r="K80" i="6"/>
  <c r="L80" i="6" s="1"/>
  <c r="K81" i="6"/>
  <c r="L81" i="6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/>
  <c r="K89" i="6"/>
  <c r="L89" i="6" s="1"/>
  <c r="K90" i="6"/>
  <c r="L90" i="6"/>
  <c r="K91" i="6"/>
  <c r="L91" i="6" s="1"/>
  <c r="K92" i="6"/>
  <c r="L92" i="6"/>
  <c r="K93" i="6"/>
  <c r="L93" i="6" s="1"/>
  <c r="K94" i="6"/>
  <c r="L94" i="6"/>
  <c r="K95" i="6"/>
  <c r="L95" i="6" s="1"/>
  <c r="K96" i="6"/>
  <c r="L96" i="6"/>
  <c r="K97" i="6"/>
  <c r="L97" i="6" s="1"/>
  <c r="E98" i="6"/>
  <c r="M98" i="6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E107" i="6"/>
  <c r="M107" i="6"/>
  <c r="K108" i="6"/>
  <c r="L108" i="6" s="1"/>
  <c r="L109" i="6" s="1"/>
  <c r="E109" i="6"/>
  <c r="M109" i="6"/>
  <c r="K110" i="6"/>
  <c r="L110" i="6" s="1"/>
  <c r="L111" i="6" s="1"/>
  <c r="E111" i="6"/>
  <c r="M111" i="6"/>
  <c r="K112" i="6"/>
  <c r="L112" i="6" s="1"/>
  <c r="L114" i="6" s="1"/>
  <c r="K113" i="6"/>
  <c r="L113" i="6" s="1"/>
  <c r="E114" i="6"/>
  <c r="M114" i="6"/>
  <c r="K115" i="6"/>
  <c r="L115" i="6" s="1"/>
  <c r="K116" i="6"/>
  <c r="L116" i="6" s="1"/>
  <c r="K117" i="6"/>
  <c r="L117" i="6" s="1"/>
  <c r="E118" i="6"/>
  <c r="M118" i="6"/>
  <c r="K119" i="6"/>
  <c r="L119" i="6"/>
  <c r="L120" i="6" s="1"/>
  <c r="E120" i="6"/>
  <c r="M120" i="6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/>
  <c r="K130" i="6"/>
  <c r="L130" i="6" s="1"/>
  <c r="K131" i="6"/>
  <c r="L131" i="6" s="1"/>
  <c r="K132" i="6"/>
  <c r="L132" i="6" s="1"/>
  <c r="K133" i="6"/>
  <c r="L133" i="6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/>
  <c r="E146" i="6"/>
  <c r="M146" i="6"/>
  <c r="K147" i="6"/>
  <c r="L147" i="6"/>
  <c r="L148" i="6" s="1"/>
  <c r="E148" i="6"/>
  <c r="M148" i="6"/>
  <c r="K149" i="6"/>
  <c r="L149" i="6" s="1"/>
  <c r="L150" i="6" s="1"/>
  <c r="E150" i="6"/>
  <c r="M150" i="6"/>
  <c r="K151" i="6"/>
  <c r="L151" i="6"/>
  <c r="K152" i="6"/>
  <c r="L152" i="6" s="1"/>
  <c r="K153" i="6"/>
  <c r="L153" i="6"/>
  <c r="K154" i="6"/>
  <c r="L154" i="6" s="1"/>
  <c r="K155" i="6"/>
  <c r="L155" i="6"/>
  <c r="K156" i="6"/>
  <c r="L156" i="6" s="1"/>
  <c r="K157" i="6"/>
  <c r="L157" i="6" s="1"/>
  <c r="K158" i="6"/>
  <c r="L158" i="6" s="1"/>
  <c r="K159" i="6"/>
  <c r="L159" i="6"/>
  <c r="K160" i="6"/>
  <c r="L160" i="6" s="1"/>
  <c r="E161" i="6"/>
  <c r="M161" i="6"/>
  <c r="M163" i="6" l="1"/>
  <c r="L118" i="6"/>
  <c r="L107" i="6"/>
  <c r="E163" i="6"/>
  <c r="L161" i="6"/>
  <c r="L98" i="6"/>
  <c r="L56" i="6"/>
  <c r="L25" i="6"/>
  <c r="L43" i="6"/>
  <c r="L78" i="6"/>
  <c r="L146" i="6"/>
  <c r="L16" i="6"/>
  <c r="L163" i="6"/>
  <c r="K4" i="5"/>
  <c r="L4" i="5" s="1"/>
  <c r="K5" i="5"/>
  <c r="L5" i="5" s="1"/>
  <c r="K6" i="5"/>
  <c r="L6" i="5"/>
  <c r="K7" i="5"/>
  <c r="L7" i="5" s="1"/>
  <c r="K8" i="5"/>
  <c r="L8" i="5" s="1"/>
  <c r="K9" i="5"/>
  <c r="L9" i="5" s="1"/>
  <c r="K10" i="5"/>
  <c r="L10" i="5"/>
  <c r="K11" i="5"/>
  <c r="L11" i="5" s="1"/>
  <c r="K12" i="5"/>
  <c r="L12" i="5" s="1"/>
  <c r="K13" i="5"/>
  <c r="L13" i="5" s="1"/>
  <c r="E14" i="5"/>
  <c r="M14" i="5"/>
  <c r="M126" i="5" s="1"/>
  <c r="K15" i="5"/>
  <c r="L15" i="5" s="1"/>
  <c r="L20" i="5" s="1"/>
  <c r="K16" i="5"/>
  <c r="L16" i="5" s="1"/>
  <c r="K17" i="5"/>
  <c r="L17" i="5"/>
  <c r="K18" i="5"/>
  <c r="L18" i="5"/>
  <c r="K19" i="5"/>
  <c r="L19" i="5"/>
  <c r="E20" i="5"/>
  <c r="M20" i="5"/>
  <c r="K21" i="5"/>
  <c r="L21" i="5"/>
  <c r="K22" i="5"/>
  <c r="L22" i="5" s="1"/>
  <c r="K23" i="5"/>
  <c r="L23" i="5"/>
  <c r="K24" i="5"/>
  <c r="L24" i="5" s="1"/>
  <c r="K25" i="5"/>
  <c r="L25" i="5"/>
  <c r="K26" i="5"/>
  <c r="L26" i="5" s="1"/>
  <c r="K27" i="5"/>
  <c r="L27" i="5"/>
  <c r="K28" i="5"/>
  <c r="L28" i="5" s="1"/>
  <c r="K29" i="5"/>
  <c r="L29" i="5"/>
  <c r="K30" i="5"/>
  <c r="L30" i="5" s="1"/>
  <c r="K31" i="5"/>
  <c r="L31" i="5"/>
  <c r="K32" i="5"/>
  <c r="L32" i="5" s="1"/>
  <c r="E33" i="5"/>
  <c r="M33" i="5"/>
  <c r="K34" i="5"/>
  <c r="L34" i="5"/>
  <c r="K35" i="5"/>
  <c r="L35" i="5" s="1"/>
  <c r="L42" i="5" s="1"/>
  <c r="K36" i="5"/>
  <c r="L36" i="5"/>
  <c r="K37" i="5"/>
  <c r="L37" i="5"/>
  <c r="K38" i="5"/>
  <c r="L38" i="5"/>
  <c r="K39" i="5"/>
  <c r="L39" i="5" s="1"/>
  <c r="K40" i="5"/>
  <c r="L40" i="5"/>
  <c r="K41" i="5"/>
  <c r="L41" i="5"/>
  <c r="E42" i="5"/>
  <c r="M42" i="5"/>
  <c r="K43" i="5"/>
  <c r="L43" i="5" s="1"/>
  <c r="K44" i="5"/>
  <c r="L44" i="5"/>
  <c r="K45" i="5"/>
  <c r="L45" i="5" s="1"/>
  <c r="K46" i="5"/>
  <c r="L46" i="5"/>
  <c r="K47" i="5"/>
  <c r="L47" i="5" s="1"/>
  <c r="K48" i="5"/>
  <c r="L48" i="5"/>
  <c r="K49" i="5"/>
  <c r="L49" i="5" s="1"/>
  <c r="K50" i="5"/>
  <c r="L50" i="5"/>
  <c r="K51" i="5"/>
  <c r="L51" i="5" s="1"/>
  <c r="K52" i="5"/>
  <c r="L52" i="5"/>
  <c r="K53" i="5"/>
  <c r="L53" i="5" s="1"/>
  <c r="K54" i="5"/>
  <c r="L54" i="5"/>
  <c r="K55" i="5"/>
  <c r="L55" i="5" s="1"/>
  <c r="K56" i="5"/>
  <c r="L56" i="5"/>
  <c r="K57" i="5"/>
  <c r="L57" i="5" s="1"/>
  <c r="E58" i="5"/>
  <c r="M58" i="5"/>
  <c r="K59" i="5"/>
  <c r="L59" i="5"/>
  <c r="K60" i="5"/>
  <c r="L60" i="5"/>
  <c r="K61" i="5"/>
  <c r="L61" i="5"/>
  <c r="K62" i="5"/>
  <c r="L62" i="5" s="1"/>
  <c r="K63" i="5"/>
  <c r="L63" i="5"/>
  <c r="K64" i="5"/>
  <c r="L64" i="5"/>
  <c r="K65" i="5"/>
  <c r="L65" i="5"/>
  <c r="K66" i="5"/>
  <c r="L66" i="5" s="1"/>
  <c r="K67" i="5"/>
  <c r="L67" i="5"/>
  <c r="K68" i="5"/>
  <c r="L68" i="5"/>
  <c r="K69" i="5"/>
  <c r="L69" i="5"/>
  <c r="K70" i="5"/>
  <c r="L70" i="5" s="1"/>
  <c r="K71" i="5"/>
  <c r="L71" i="5"/>
  <c r="E72" i="5"/>
  <c r="E126" i="5" s="1"/>
  <c r="M72" i="5"/>
  <c r="K73" i="5"/>
  <c r="L73" i="5"/>
  <c r="K74" i="5"/>
  <c r="L74" i="5" s="1"/>
  <c r="K75" i="5"/>
  <c r="L75" i="5"/>
  <c r="K76" i="5"/>
  <c r="L76" i="5" s="1"/>
  <c r="K77" i="5"/>
  <c r="L77" i="5"/>
  <c r="K78" i="5"/>
  <c r="L78" i="5" s="1"/>
  <c r="E79" i="5"/>
  <c r="M79" i="5"/>
  <c r="K80" i="5"/>
  <c r="L80" i="5"/>
  <c r="L81" i="5" s="1"/>
  <c r="E81" i="5"/>
  <c r="M81" i="5"/>
  <c r="K82" i="5"/>
  <c r="L82" i="5"/>
  <c r="K83" i="5"/>
  <c r="L83" i="5" s="1"/>
  <c r="E84" i="5"/>
  <c r="M84" i="5"/>
  <c r="K85" i="5"/>
  <c r="L85" i="5"/>
  <c r="L88" i="5" s="1"/>
  <c r="K86" i="5"/>
  <c r="L86" i="5"/>
  <c r="K87" i="5"/>
  <c r="L87" i="5"/>
  <c r="E88" i="5"/>
  <c r="M88" i="5"/>
  <c r="K89" i="5"/>
  <c r="L89" i="5"/>
  <c r="L90" i="5" s="1"/>
  <c r="E90" i="5"/>
  <c r="M90" i="5"/>
  <c r="K91" i="5"/>
  <c r="L91" i="5" s="1"/>
  <c r="K92" i="5"/>
  <c r="L92" i="5"/>
  <c r="K93" i="5"/>
  <c r="L93" i="5"/>
  <c r="K94" i="5"/>
  <c r="L94" i="5"/>
  <c r="K95" i="5"/>
  <c r="L95" i="5" s="1"/>
  <c r="K96" i="5"/>
  <c r="L96" i="5"/>
  <c r="K97" i="5"/>
  <c r="L97" i="5"/>
  <c r="K98" i="5"/>
  <c r="L98" i="5"/>
  <c r="K99" i="5"/>
  <c r="L99" i="5" s="1"/>
  <c r="K100" i="5"/>
  <c r="L100" i="5"/>
  <c r="K101" i="5"/>
  <c r="L101" i="5"/>
  <c r="K102" i="5"/>
  <c r="L102" i="5"/>
  <c r="K103" i="5"/>
  <c r="L103" i="5" s="1"/>
  <c r="K104" i="5"/>
  <c r="L104" i="5"/>
  <c r="K105" i="5"/>
  <c r="L105" i="5"/>
  <c r="K106" i="5"/>
  <c r="L106" i="5"/>
  <c r="K107" i="5"/>
  <c r="L107" i="5" s="1"/>
  <c r="K108" i="5"/>
  <c r="L108" i="5"/>
  <c r="K109" i="5"/>
  <c r="L109" i="5"/>
  <c r="K110" i="5"/>
  <c r="L110" i="5"/>
  <c r="K111" i="5"/>
  <c r="L111" i="5" s="1"/>
  <c r="K112" i="5"/>
  <c r="L112" i="5"/>
  <c r="E113" i="5"/>
  <c r="M113" i="5"/>
  <c r="K114" i="5"/>
  <c r="L114" i="5" s="1"/>
  <c r="L115" i="5" s="1"/>
  <c r="E115" i="5"/>
  <c r="M115" i="5"/>
  <c r="K116" i="5"/>
  <c r="L116" i="5"/>
  <c r="L124" i="5" s="1"/>
  <c r="K117" i="5"/>
  <c r="L117" i="5"/>
  <c r="K118" i="5"/>
  <c r="L118" i="5" s="1"/>
  <c r="K119" i="5"/>
  <c r="L119" i="5"/>
  <c r="K120" i="5"/>
  <c r="L120" i="5"/>
  <c r="K121" i="5"/>
  <c r="L121" i="5"/>
  <c r="K122" i="5"/>
  <c r="L122" i="5" s="1"/>
  <c r="K123" i="5"/>
  <c r="L123" i="5"/>
  <c r="E124" i="5"/>
  <c r="M124" i="5"/>
  <c r="L79" i="5" l="1"/>
  <c r="L72" i="5"/>
  <c r="L84" i="5"/>
  <c r="L58" i="5"/>
  <c r="L113" i="5"/>
  <c r="L33" i="5"/>
  <c r="L14" i="5"/>
  <c r="L126" i="5" s="1"/>
  <c r="K4" i="4"/>
  <c r="L4" i="4" s="1"/>
  <c r="K5" i="4"/>
  <c r="L5" i="4"/>
  <c r="K6" i="4"/>
  <c r="L6" i="4"/>
  <c r="K7" i="4"/>
  <c r="L7" i="4" s="1"/>
  <c r="K8" i="4"/>
  <c r="L8" i="4" s="1"/>
  <c r="K9" i="4"/>
  <c r="L9" i="4"/>
  <c r="K10" i="4"/>
  <c r="L10" i="4"/>
  <c r="E11" i="4"/>
  <c r="E93" i="4" s="1"/>
  <c r="M11" i="4"/>
  <c r="M93" i="4" s="1"/>
  <c r="K12" i="4"/>
  <c r="L12" i="4" s="1"/>
  <c r="L17" i="4" s="1"/>
  <c r="K13" i="4"/>
  <c r="L13" i="4" s="1"/>
  <c r="K14" i="4"/>
  <c r="L14" i="4"/>
  <c r="K15" i="4"/>
  <c r="L15" i="4"/>
  <c r="K16" i="4"/>
  <c r="L16" i="4" s="1"/>
  <c r="E17" i="4"/>
  <c r="M17" i="4"/>
  <c r="K18" i="4"/>
  <c r="L18" i="4" s="1"/>
  <c r="K19" i="4"/>
  <c r="L19" i="4" s="1"/>
  <c r="K20" i="4"/>
  <c r="L20" i="4"/>
  <c r="K21" i="4"/>
  <c r="L21" i="4"/>
  <c r="K22" i="4"/>
  <c r="L22" i="4" s="1"/>
  <c r="E23" i="4"/>
  <c r="M23" i="4"/>
  <c r="K24" i="4"/>
  <c r="L24" i="4" s="1"/>
  <c r="K25" i="4"/>
  <c r="L25" i="4"/>
  <c r="K26" i="4"/>
  <c r="L26" i="4"/>
  <c r="K27" i="4"/>
  <c r="L27" i="4" s="1"/>
  <c r="K28" i="4"/>
  <c r="L28" i="4" s="1"/>
  <c r="E29" i="4"/>
  <c r="M29" i="4"/>
  <c r="K30" i="4"/>
  <c r="L30" i="4" s="1"/>
  <c r="L41" i="4" s="1"/>
  <c r="K31" i="4"/>
  <c r="L31" i="4"/>
  <c r="K32" i="4"/>
  <c r="L32" i="4"/>
  <c r="K33" i="4"/>
  <c r="L33" i="4" s="1"/>
  <c r="K34" i="4"/>
  <c r="L34" i="4" s="1"/>
  <c r="K35" i="4"/>
  <c r="L35" i="4"/>
  <c r="K36" i="4"/>
  <c r="L36" i="4"/>
  <c r="K37" i="4"/>
  <c r="L37" i="4" s="1"/>
  <c r="K38" i="4"/>
  <c r="L38" i="4" s="1"/>
  <c r="K39" i="4"/>
  <c r="L39" i="4"/>
  <c r="K40" i="4"/>
  <c r="L40" i="4"/>
  <c r="E41" i="4"/>
  <c r="M41" i="4"/>
  <c r="K42" i="4"/>
  <c r="L42" i="4" s="1"/>
  <c r="K43" i="4"/>
  <c r="L43" i="4" s="1"/>
  <c r="K44" i="4"/>
  <c r="L44" i="4"/>
  <c r="K45" i="4"/>
  <c r="L45" i="4"/>
  <c r="K46" i="4"/>
  <c r="L46" i="4" s="1"/>
  <c r="K47" i="4"/>
  <c r="L47" i="4" s="1"/>
  <c r="K48" i="4"/>
  <c r="L48" i="4"/>
  <c r="E49" i="4"/>
  <c r="M49" i="4"/>
  <c r="K50" i="4"/>
  <c r="L50" i="4"/>
  <c r="L56" i="4" s="1"/>
  <c r="K51" i="4"/>
  <c r="L51" i="4"/>
  <c r="K52" i="4"/>
  <c r="L52" i="4" s="1"/>
  <c r="K53" i="4"/>
  <c r="L53" i="4" s="1"/>
  <c r="K54" i="4"/>
  <c r="L54" i="4"/>
  <c r="K55" i="4"/>
  <c r="L55" i="4"/>
  <c r="E56" i="4"/>
  <c r="M56" i="4"/>
  <c r="K57" i="4"/>
  <c r="L57" i="4" s="1"/>
  <c r="L58" i="4" s="1"/>
  <c r="E58" i="4"/>
  <c r="M58" i="4"/>
  <c r="K59" i="4"/>
  <c r="L59" i="4" s="1"/>
  <c r="K60" i="4"/>
  <c r="L60" i="4" s="1"/>
  <c r="E61" i="4"/>
  <c r="M61" i="4"/>
  <c r="K62" i="4"/>
  <c r="L62" i="4"/>
  <c r="L63" i="4" s="1"/>
  <c r="E63" i="4"/>
  <c r="M63" i="4"/>
  <c r="K64" i="4"/>
  <c r="L64" i="4"/>
  <c r="K65" i="4"/>
  <c r="L65" i="4"/>
  <c r="K66" i="4"/>
  <c r="L66" i="4" s="1"/>
  <c r="K67" i="4"/>
  <c r="L67" i="4" s="1"/>
  <c r="K68" i="4"/>
  <c r="L68" i="4"/>
  <c r="K69" i="4"/>
  <c r="L69" i="4"/>
  <c r="K70" i="4"/>
  <c r="L70" i="4" s="1"/>
  <c r="K71" i="4"/>
  <c r="L71" i="4" s="1"/>
  <c r="K72" i="4"/>
  <c r="L72" i="4"/>
  <c r="K73" i="4"/>
  <c r="L73" i="4"/>
  <c r="K74" i="4"/>
  <c r="L74" i="4" s="1"/>
  <c r="K75" i="4"/>
  <c r="L75" i="4" s="1"/>
  <c r="K76" i="4"/>
  <c r="L76" i="4"/>
  <c r="K77" i="4"/>
  <c r="L77" i="4"/>
  <c r="K78" i="4"/>
  <c r="L78" i="4" s="1"/>
  <c r="K79" i="4"/>
  <c r="L79" i="4" s="1"/>
  <c r="K80" i="4"/>
  <c r="L80" i="4"/>
  <c r="E81" i="4"/>
  <c r="M81" i="4"/>
  <c r="K82" i="4"/>
  <c r="L82" i="4"/>
  <c r="L83" i="4" s="1"/>
  <c r="E83" i="4"/>
  <c r="M83" i="4"/>
  <c r="K84" i="4"/>
  <c r="L84" i="4"/>
  <c r="K85" i="4"/>
  <c r="L85" i="4" s="1"/>
  <c r="K86" i="4"/>
  <c r="L86" i="4" s="1"/>
  <c r="K87" i="4"/>
  <c r="L87" i="4"/>
  <c r="K88" i="4"/>
  <c r="L88" i="4"/>
  <c r="K89" i="4"/>
  <c r="L89" i="4" s="1"/>
  <c r="K90" i="4"/>
  <c r="L90" i="4" s="1"/>
  <c r="E91" i="4"/>
  <c r="M91" i="4"/>
  <c r="L91" i="4" l="1"/>
  <c r="L29" i="4"/>
  <c r="L61" i="4"/>
  <c r="L23" i="4"/>
  <c r="L81" i="4"/>
  <c r="L49" i="4"/>
  <c r="L11" i="4"/>
  <c r="L93" i="4"/>
  <c r="K4" i="3"/>
  <c r="L4" i="3" s="1"/>
  <c r="K5" i="3"/>
  <c r="L5" i="3"/>
  <c r="K6" i="3"/>
  <c r="L6" i="3"/>
  <c r="E7" i="3"/>
  <c r="E66" i="3" s="1"/>
  <c r="M7" i="3"/>
  <c r="K8" i="3"/>
  <c r="L8" i="3"/>
  <c r="K9" i="3"/>
  <c r="L9" i="3" s="1"/>
  <c r="L10" i="3" s="1"/>
  <c r="E10" i="3"/>
  <c r="M10" i="3"/>
  <c r="K11" i="3"/>
  <c r="L11" i="3" s="1"/>
  <c r="L12" i="3" s="1"/>
  <c r="E12" i="3"/>
  <c r="M12" i="3"/>
  <c r="K13" i="3"/>
  <c r="L13" i="3"/>
  <c r="L16" i="3" s="1"/>
  <c r="K14" i="3"/>
  <c r="L14" i="3" s="1"/>
  <c r="K15" i="3"/>
  <c r="L15" i="3"/>
  <c r="E16" i="3"/>
  <c r="M16" i="3"/>
  <c r="K17" i="3"/>
  <c r="L17" i="3"/>
  <c r="K18" i="3"/>
  <c r="L18" i="3" s="1"/>
  <c r="K19" i="3"/>
  <c r="L19" i="3"/>
  <c r="K20" i="3"/>
  <c r="L20" i="3"/>
  <c r="K21" i="3"/>
  <c r="L21" i="3"/>
  <c r="K22" i="3"/>
  <c r="L22" i="3" s="1"/>
  <c r="K23" i="3"/>
  <c r="L23" i="3"/>
  <c r="K24" i="3"/>
  <c r="L24" i="3"/>
  <c r="K25" i="3"/>
  <c r="L25" i="3"/>
  <c r="K26" i="3"/>
  <c r="L26" i="3" s="1"/>
  <c r="E27" i="3"/>
  <c r="M27" i="3"/>
  <c r="K28" i="3"/>
  <c r="L28" i="3"/>
  <c r="K29" i="3"/>
  <c r="L29" i="3" s="1"/>
  <c r="K30" i="3"/>
  <c r="L30" i="3"/>
  <c r="K31" i="3"/>
  <c r="L31" i="3" s="1"/>
  <c r="K32" i="3"/>
  <c r="L32" i="3"/>
  <c r="E33" i="3"/>
  <c r="M33" i="3"/>
  <c r="K34" i="3"/>
  <c r="L34" i="3"/>
  <c r="K35" i="3"/>
  <c r="L35" i="3"/>
  <c r="K36" i="3"/>
  <c r="L36" i="3"/>
  <c r="L39" i="3" s="1"/>
  <c r="K37" i="3"/>
  <c r="L37" i="3" s="1"/>
  <c r="K38" i="3"/>
  <c r="L38" i="3"/>
  <c r="E39" i="3"/>
  <c r="M39" i="3"/>
  <c r="K40" i="3"/>
  <c r="L40" i="3" s="1"/>
  <c r="L41" i="3" s="1"/>
  <c r="E41" i="3"/>
  <c r="M41" i="3"/>
  <c r="K42" i="3"/>
  <c r="L42" i="3"/>
  <c r="K43" i="3"/>
  <c r="L43" i="3"/>
  <c r="K44" i="3"/>
  <c r="L44" i="3" s="1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E56" i="3"/>
  <c r="M56" i="3"/>
  <c r="K57" i="3"/>
  <c r="L57" i="3" s="1"/>
  <c r="L58" i="3" s="1"/>
  <c r="E58" i="3"/>
  <c r="M58" i="3"/>
  <c r="K59" i="3"/>
  <c r="L59" i="3"/>
  <c r="K60" i="3"/>
  <c r="L60" i="3"/>
  <c r="K61" i="3"/>
  <c r="L61" i="3"/>
  <c r="L64" i="3" s="1"/>
  <c r="K62" i="3"/>
  <c r="L62" i="3"/>
  <c r="K63" i="3"/>
  <c r="L63" i="3"/>
  <c r="E64" i="3"/>
  <c r="M64" i="3"/>
  <c r="M66" i="3"/>
  <c r="L27" i="3" l="1"/>
  <c r="L56" i="3"/>
  <c r="L33" i="3"/>
  <c r="L7" i="3"/>
  <c r="L66" i="3" s="1"/>
  <c r="K4" i="2"/>
  <c r="L4" i="2"/>
  <c r="L5" i="2" s="1"/>
  <c r="E5" i="2"/>
  <c r="M5" i="2"/>
  <c r="K6" i="2"/>
  <c r="L6" i="2" s="1"/>
  <c r="K7" i="2"/>
  <c r="L7" i="2"/>
  <c r="K8" i="2"/>
  <c r="L8" i="2" s="1"/>
  <c r="E9" i="2"/>
  <c r="M9" i="2"/>
  <c r="K10" i="2"/>
  <c r="L10" i="2"/>
  <c r="K11" i="2"/>
  <c r="L11" i="2"/>
  <c r="L17" i="2" s="1"/>
  <c r="K12" i="2"/>
  <c r="L12" i="2"/>
  <c r="K13" i="2"/>
  <c r="L13" i="2"/>
  <c r="K14" i="2"/>
  <c r="L14" i="2"/>
  <c r="K15" i="2"/>
  <c r="L15" i="2"/>
  <c r="K16" i="2"/>
  <c r="L16" i="2"/>
  <c r="E17" i="2"/>
  <c r="M17" i="2"/>
  <c r="K18" i="2"/>
  <c r="L18" i="2"/>
  <c r="K19" i="2"/>
  <c r="L19" i="2" s="1"/>
  <c r="K20" i="2"/>
  <c r="L20" i="2"/>
  <c r="K21" i="2"/>
  <c r="L21" i="2" s="1"/>
  <c r="E22" i="2"/>
  <c r="M22" i="2"/>
  <c r="K23" i="2"/>
  <c r="L23" i="2"/>
  <c r="L27" i="2" s="1"/>
  <c r="K24" i="2"/>
  <c r="L24" i="2"/>
  <c r="K25" i="2"/>
  <c r="L25" i="2"/>
  <c r="K26" i="2"/>
  <c r="L26" i="2"/>
  <c r="E27" i="2"/>
  <c r="M27" i="2"/>
  <c r="K28" i="2"/>
  <c r="L28" i="2" s="1"/>
  <c r="L39" i="2" s="1"/>
  <c r="K29" i="2"/>
  <c r="L29" i="2"/>
  <c r="K30" i="2"/>
  <c r="L30" i="2" s="1"/>
  <c r="K31" i="2"/>
  <c r="L31" i="2"/>
  <c r="K32" i="2"/>
  <c r="L32" i="2" s="1"/>
  <c r="K33" i="2"/>
  <c r="L33" i="2"/>
  <c r="K34" i="2"/>
  <c r="L34" i="2" s="1"/>
  <c r="K35" i="2"/>
  <c r="L35" i="2"/>
  <c r="K36" i="2"/>
  <c r="L36" i="2" s="1"/>
  <c r="K37" i="2"/>
  <c r="L37" i="2"/>
  <c r="K38" i="2"/>
  <c r="L38" i="2" s="1"/>
  <c r="E39" i="2"/>
  <c r="M39" i="2"/>
  <c r="K40" i="2"/>
  <c r="L40" i="2"/>
  <c r="K41" i="2"/>
  <c r="L41" i="2"/>
  <c r="L43" i="2" s="1"/>
  <c r="K42" i="2"/>
  <c r="L42" i="2"/>
  <c r="E43" i="2"/>
  <c r="M43" i="2"/>
  <c r="E45" i="2"/>
  <c r="M45" i="2"/>
  <c r="L9" i="2" l="1"/>
  <c r="L22" i="2"/>
  <c r="L45" i="2"/>
  <c r="M37" i="1"/>
  <c r="E37" i="1"/>
  <c r="K36" i="1"/>
  <c r="L36" i="1" s="1"/>
  <c r="K35" i="1"/>
  <c r="L35" i="1" s="1"/>
  <c r="L37" i="1" s="1"/>
  <c r="M34" i="1"/>
  <c r="E34" i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M26" i="1"/>
  <c r="E26" i="1"/>
  <c r="K25" i="1"/>
  <c r="L25" i="1" s="1"/>
  <c r="L24" i="1"/>
  <c r="K24" i="1"/>
  <c r="K23" i="1"/>
  <c r="L23" i="1" s="1"/>
  <c r="L22" i="1"/>
  <c r="L26" i="1" s="1"/>
  <c r="K22" i="1"/>
  <c r="M21" i="1"/>
  <c r="E21" i="1"/>
  <c r="K20" i="1"/>
  <c r="L20" i="1" s="1"/>
  <c r="K19" i="1"/>
  <c r="L19" i="1" s="1"/>
  <c r="K18" i="1"/>
  <c r="L18" i="1" s="1"/>
  <c r="K17" i="1"/>
  <c r="L17" i="1" s="1"/>
  <c r="M16" i="1"/>
  <c r="E16" i="1"/>
  <c r="L15" i="1"/>
  <c r="K15" i="1"/>
  <c r="K14" i="1"/>
  <c r="L14" i="1" s="1"/>
  <c r="L13" i="1"/>
  <c r="K13" i="1"/>
  <c r="K12" i="1"/>
  <c r="L12" i="1" s="1"/>
  <c r="L11" i="1"/>
  <c r="K11" i="1"/>
  <c r="K10" i="1"/>
  <c r="L10" i="1" s="1"/>
  <c r="L16" i="1" s="1"/>
  <c r="M9" i="1"/>
  <c r="E9" i="1"/>
  <c r="K8" i="1"/>
  <c r="L8" i="1" s="1"/>
  <c r="K7" i="1"/>
  <c r="L7" i="1" s="1"/>
  <c r="K6" i="1"/>
  <c r="L6" i="1" s="1"/>
  <c r="M5" i="1"/>
  <c r="M39" i="1" s="1"/>
  <c r="E5" i="1"/>
  <c r="E39" i="1" s="1"/>
  <c r="L4" i="1"/>
  <c r="K4" i="1"/>
  <c r="L34" i="1" l="1"/>
  <c r="L9" i="1"/>
  <c r="L21" i="1"/>
  <c r="L5" i="1"/>
  <c r="L3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D5BE05-7F98-47BE-8566-7CD7C4CB5915}" keepAlive="1" name="查詢 - 10月" description="與活頁簿中 '10月' 查詢的連接。" type="5" refreshedVersion="8" background="1" saveData="1">
    <dbPr connection="Provider=Microsoft.Mashup.OleDb.1;Data Source=$Workbook$;Location=10月;Extended Properties=&quot;&quot;" command="SELECT * FROM [10月]"/>
  </connection>
  <connection id="2" xr16:uid="{5D157830-0A5C-4686-8DC3-E5C932A4D091}" keepAlive="1" name="查詢 - 11月" description="與活頁簿中 '11月' 查詢的連接。" type="5" refreshedVersion="8" background="1" saveData="1">
    <dbPr connection="Provider=Microsoft.Mashup.OleDb.1;Data Source=$Workbook$;Location=11月;Extended Properties=&quot;&quot;" command="SELECT * FROM [11月]"/>
  </connection>
  <connection id="3" xr16:uid="{CD68A25F-199E-4BD1-ABD1-32C9987BCFB4}" keepAlive="1" name="查詢 - 12月" description="與活頁簿中 '12月' 查詢的連接。" type="5" refreshedVersion="8" background="1" saveData="1">
    <dbPr connection="Provider=Microsoft.Mashup.OleDb.1;Data Source=$Workbook$;Location=12月;Extended Properties=&quot;&quot;" command="SELECT * FROM [12月]"/>
  </connection>
  <connection id="4" xr16:uid="{E0CD9FA6-3EE3-4FE9-95D4-D3B12593EC3B}" keepAlive="1" name="查詢 - 1月" description="與活頁簿中 '1月' 查詢的連接。" type="5" refreshedVersion="8" background="1" saveData="1">
    <dbPr connection="Provider=Microsoft.Mashup.OleDb.1;Data Source=$Workbook$;Location=1月;Extended Properties=&quot;&quot;" command="SELECT * FROM [1月]"/>
  </connection>
  <connection id="5" xr16:uid="{5317DEE8-86F5-40D2-8DEF-42741A461C77}" keepAlive="1" name="查詢 - 2月" description="與活頁簿中 '2月' 查詢的連接。" type="5" refreshedVersion="8" background="1" saveData="1">
    <dbPr connection="Provider=Microsoft.Mashup.OleDb.1;Data Source=$Workbook$;Location=2月;Extended Properties=&quot;&quot;" command="SELECT * FROM [2月]"/>
  </connection>
  <connection id="6" xr16:uid="{237B9ADB-DC8F-4D8A-863A-C3D22D2E84DF}" keepAlive="1" name="查詢 - 3月" description="與活頁簿中 '3月' 查詢的連接。" type="5" refreshedVersion="8" background="1" saveData="1">
    <dbPr connection="Provider=Microsoft.Mashup.OleDb.1;Data Source=$Workbook$;Location=3月;Extended Properties=&quot;&quot;" command="SELECT * FROM [3月]"/>
  </connection>
  <connection id="7" xr16:uid="{38234B88-CD4D-496B-9DDA-9DC790B5D9CE}" keepAlive="1" name="查詢 - 4月" description="與活頁簿中 '4月' 查詢的連接。" type="5" refreshedVersion="8" background="1" saveData="1">
    <dbPr connection="Provider=Microsoft.Mashup.OleDb.1;Data Source=$Workbook$;Location=4月;Extended Properties=&quot;&quot;" command="SELECT * FROM [4月]"/>
  </connection>
  <connection id="8" xr16:uid="{552D2152-4A45-4929-9736-44F47FE64948}" keepAlive="1" name="查詢 - 6月" description="與活頁簿中 '6月' 查詢的連接。" type="5" refreshedVersion="8" background="1" saveData="1">
    <dbPr connection="Provider=Microsoft.Mashup.OleDb.1;Data Source=$Workbook$;Location=6月;Extended Properties=&quot;&quot;" command="SELECT * FROM [6月]"/>
  </connection>
  <connection id="9" xr16:uid="{1435A15E-7053-4306-9127-7FC03D129125}" keepAlive="1" name="查詢 - 7月" description="與活頁簿中 '7月' 查詢的連接。" type="5" refreshedVersion="8" background="1" saveData="1">
    <dbPr connection="Provider=Microsoft.Mashup.OleDb.1;Data Source=$Workbook$;Location=7月;Extended Properties=&quot;&quot;" command="SELECT * FROM [7月]"/>
  </connection>
  <connection id="10" xr16:uid="{E05D0475-420B-4BC7-8D4B-49E9811DB3F1}" keepAlive="1" name="查詢 - 8月" description="與活頁簿中 '8月' 查詢的連接。" type="5" refreshedVersion="8" background="1" saveData="1">
    <dbPr connection="Provider=Microsoft.Mashup.OleDb.1;Data Source=$Workbook$;Location=8月;Extended Properties=&quot;&quot;" command="SELECT * FROM [8月]"/>
  </connection>
  <connection id="11" xr16:uid="{57735B88-80D6-4FED-A1BE-39684AEDFF8A}" keepAlive="1" name="查詢 - 9月" description="與活頁簿中 '9月' 查詢的連接。" type="5" refreshedVersion="8" background="1" saveData="1">
    <dbPr connection="Provider=Microsoft.Mashup.OleDb.1;Data Source=$Workbook$;Location=9月;Extended Properties=&quot;&quot;" command="SELECT * FROM [9月]"/>
  </connection>
  <connection id="12" xr16:uid="{E8F03A56-1001-4B64-ADC5-466B07BAD9D1}" keepAlive="1" name="查詢 - 附加1" description="與活頁簿中 '附加1' 查詢的連接。" type="5" refreshedVersion="8" background="1" saveData="1">
    <dbPr connection="Provider=Microsoft.Mashup.OleDb.1;Data Source=$Workbook$;Location=附加1;Extended Properties=&quot;&quot;" command="SELECT * FROM [附加1]"/>
  </connection>
</connections>
</file>

<file path=xl/sharedStrings.xml><?xml version="1.0" encoding="utf-8"?>
<sst xmlns="http://schemas.openxmlformats.org/spreadsheetml/2006/main" count="9375" uniqueCount="288">
  <si>
    <t>申請月份:</t>
    <phoneticPr fontId="2" type="noConversion"/>
  </si>
  <si>
    <t>單位：元</t>
    <phoneticPr fontId="1" type="noConversion"/>
  </si>
  <si>
    <t>銀行代號
及名稱</t>
    <phoneticPr fontId="2" type="noConversion"/>
  </si>
  <si>
    <t>編號</t>
    <phoneticPr fontId="2" type="noConversion"/>
  </si>
  <si>
    <t>借款人姓名</t>
    <phoneticPr fontId="2" type="noConversion"/>
  </si>
  <si>
    <t>統一編號</t>
    <phoneticPr fontId="2" type="noConversion"/>
  </si>
  <si>
    <t>原貸金額</t>
    <phoneticPr fontId="2" type="noConversion"/>
  </si>
  <si>
    <t>初貸日期</t>
    <phoneticPr fontId="2" type="noConversion"/>
  </si>
  <si>
    <t>實際
貸款餘額</t>
    <phoneticPr fontId="2" type="noConversion"/>
  </si>
  <si>
    <t>年利率</t>
    <phoneticPr fontId="2" type="noConversion"/>
  </si>
  <si>
    <t>起日</t>
    <phoneticPr fontId="2" type="noConversion"/>
  </si>
  <si>
    <t>迄日</t>
    <phoneticPr fontId="2" type="noConversion"/>
  </si>
  <si>
    <t>實際貸
放天數</t>
    <phoneticPr fontId="2" type="noConversion"/>
  </si>
  <si>
    <t>手續費
金額</t>
    <phoneticPr fontId="2" type="noConversion"/>
  </si>
  <si>
    <t>月底
餘額</t>
    <phoneticPr fontId="2" type="noConversion"/>
  </si>
  <si>
    <t>004_台灣銀行</t>
  </si>
  <si>
    <t>1</t>
  </si>
  <si>
    <t>長亨精密(股)公司</t>
  </si>
  <si>
    <t>22540430</t>
  </si>
  <si>
    <t>004_台灣銀行 合計</t>
  </si>
  <si>
    <t>008_華南銀行</t>
  </si>
  <si>
    <t>易華電子(股)公司</t>
  </si>
  <si>
    <t>76025826</t>
  </si>
  <si>
    <t>2</t>
  </si>
  <si>
    <t>長亨精密電子(股)公司</t>
  </si>
  <si>
    <t>008_華南銀行 合計</t>
  </si>
  <si>
    <t>009_彰化銀行</t>
  </si>
  <si>
    <t>華美光學科技(股)公司</t>
  </si>
  <si>
    <t>69314511</t>
  </si>
  <si>
    <t>3</t>
  </si>
  <si>
    <t>4</t>
  </si>
  <si>
    <t>5</t>
  </si>
  <si>
    <t>6</t>
  </si>
  <si>
    <t>天聲工業(股)公司</t>
  </si>
  <si>
    <t>12275995</t>
  </si>
  <si>
    <t>009_彰化銀行 合計</t>
  </si>
  <si>
    <t>012_台北富邦</t>
  </si>
  <si>
    <t>012_台北富邦 合計</t>
  </si>
  <si>
    <t>013_國泰世華</t>
  </si>
  <si>
    <t>013_國泰世華 合計</t>
  </si>
  <si>
    <t>808_玉山銀行</t>
  </si>
  <si>
    <t>台灣精銳(股)公司</t>
  </si>
  <si>
    <t>70647919</t>
  </si>
  <si>
    <t>巨輪興業(股)公司</t>
  </si>
  <si>
    <t>23677285</t>
  </si>
  <si>
    <t>大瓏企業(股)公司</t>
  </si>
  <si>
    <t>65445701</t>
  </si>
  <si>
    <t>台灣精銳科技(股)公司</t>
  </si>
  <si>
    <t>7</t>
  </si>
  <si>
    <t>808_玉山銀行 合計</t>
  </si>
  <si>
    <t>822_中國信託</t>
  </si>
  <si>
    <t>822_中國信託 合計</t>
  </si>
  <si>
    <t>總計</t>
  </si>
  <si>
    <t>經辦：</t>
    <phoneticPr fontId="1" type="noConversion"/>
  </si>
  <si>
    <t>協(副)理：</t>
    <phoneticPr fontId="1" type="noConversion"/>
  </si>
  <si>
    <t>襄理：</t>
    <phoneticPr fontId="1" type="noConversion"/>
  </si>
  <si>
    <t>07931248</t>
  </si>
  <si>
    <t>至盈實業(股)公司</t>
  </si>
  <si>
    <t>9</t>
  </si>
  <si>
    <t>8</t>
  </si>
  <si>
    <t>11</t>
  </si>
  <si>
    <t>10</t>
  </si>
  <si>
    <t>812_台新銀行 合計</t>
  </si>
  <si>
    <t>812_台新銀行</t>
  </si>
  <si>
    <t>14</t>
  </si>
  <si>
    <t>13</t>
  </si>
  <si>
    <t>12</t>
  </si>
  <si>
    <t>018_全國農金 合計</t>
  </si>
  <si>
    <t>70752257</t>
  </si>
  <si>
    <t>穩懋半導體(股)公司</t>
  </si>
  <si>
    <t>018_全國農金</t>
  </si>
  <si>
    <t>28861417</t>
  </si>
  <si>
    <t>廈興國際(股)公司</t>
  </si>
  <si>
    <t>16522758</t>
  </si>
  <si>
    <t>牧德科技(股)公司</t>
  </si>
  <si>
    <t>007_第一銀行 合計</t>
  </si>
  <si>
    <t>86365865</t>
  </si>
  <si>
    <t>晨州塑膠工業(股)公司</t>
  </si>
  <si>
    <t>007_第一銀行</t>
  </si>
  <si>
    <t>006_合作金庫 合計</t>
  </si>
  <si>
    <t>006_合作金庫</t>
  </si>
  <si>
    <t>34556891</t>
  </si>
  <si>
    <t>虎山實業(股)公司</t>
  </si>
  <si>
    <t>17</t>
  </si>
  <si>
    <t>16</t>
  </si>
  <si>
    <t>15</t>
  </si>
  <si>
    <t>805_遠東銀行 合計</t>
  </si>
  <si>
    <t>805_遠東銀行</t>
  </si>
  <si>
    <t>050_臺灣企銀 合計</t>
  </si>
  <si>
    <t>97272999</t>
  </si>
  <si>
    <t>俊侑(股）公司</t>
  </si>
  <si>
    <t>050_臺灣企銀</t>
  </si>
  <si>
    <t>97425469</t>
  </si>
  <si>
    <t>安得烈(股)公司</t>
  </si>
  <si>
    <t>58580218</t>
  </si>
  <si>
    <t>福華明鏡(股)公司</t>
  </si>
  <si>
    <t>79959286</t>
  </si>
  <si>
    <t>閎康科技(股)公司</t>
  </si>
  <si>
    <t>22</t>
  </si>
  <si>
    <t>21</t>
  </si>
  <si>
    <t>20</t>
  </si>
  <si>
    <t>19</t>
  </si>
  <si>
    <t>18</t>
  </si>
  <si>
    <t>47159867</t>
  </si>
  <si>
    <t>啟德機械起重工程(股)公司</t>
  </si>
  <si>
    <t>015_輸出入銀行 合計</t>
  </si>
  <si>
    <t>97413843</t>
  </si>
  <si>
    <t>大銀微系統(股)公司</t>
  </si>
  <si>
    <t>015_輸出入銀行</t>
  </si>
  <si>
    <t>天聲工業股份有限公司</t>
  </si>
  <si>
    <t>86764223</t>
  </si>
  <si>
    <t>銘榮元實業有限公司</t>
  </si>
  <si>
    <t>18770509</t>
  </si>
  <si>
    <t>東隆興業(股)公司</t>
  </si>
  <si>
    <t>27853425</t>
  </si>
  <si>
    <t>汎銓科技(股)公司</t>
  </si>
  <si>
    <t>12729477</t>
  </si>
  <si>
    <t>美超微電腦(股)公司</t>
  </si>
  <si>
    <t>810_星展銀行 合計</t>
  </si>
  <si>
    <t>810_星展銀行</t>
  </si>
  <si>
    <t>25</t>
  </si>
  <si>
    <t>24</t>
  </si>
  <si>
    <t>23</t>
  </si>
  <si>
    <t>017_兆豐商銀 合計</t>
  </si>
  <si>
    <t>017_兆豐商銀</t>
  </si>
  <si>
    <t>27473348</t>
  </si>
  <si>
    <t>鐿鈦科技(股)公司</t>
  </si>
  <si>
    <t>80347834</t>
  </si>
  <si>
    <t>台灣穗高科技(股)公司</t>
  </si>
  <si>
    <t>16332027</t>
  </si>
  <si>
    <t>健豪印刷事業(股)公司</t>
  </si>
  <si>
    <t>銘榮源實業有限公司</t>
  </si>
  <si>
    <t>20891326</t>
  </si>
  <si>
    <t>禾伸堂企業(股)公司</t>
  </si>
  <si>
    <t>70716371</t>
  </si>
  <si>
    <t>全智科技(股)公司</t>
  </si>
  <si>
    <t>40607762</t>
  </si>
  <si>
    <t>龍德造船工業(股)公司</t>
  </si>
  <si>
    <t>11551634</t>
  </si>
  <si>
    <t>恩德科技(股)公司</t>
  </si>
  <si>
    <t>84149884</t>
  </si>
  <si>
    <t>昇陽國際半導體(股)公司</t>
  </si>
  <si>
    <t>31</t>
  </si>
  <si>
    <t>30</t>
  </si>
  <si>
    <t>29</t>
  </si>
  <si>
    <t>28</t>
  </si>
  <si>
    <t>27</t>
  </si>
  <si>
    <t>26</t>
  </si>
  <si>
    <t>16005023</t>
  </si>
  <si>
    <t>鴻谷科技(股)公司</t>
  </si>
  <si>
    <t>86263092</t>
  </si>
  <si>
    <t>晟田科技工業(股)公司</t>
  </si>
  <si>
    <t>32</t>
  </si>
  <si>
    <t>80214519</t>
  </si>
  <si>
    <t>科定企業(股)公司</t>
  </si>
  <si>
    <t>12386676</t>
  </si>
  <si>
    <t>八貫企業(股)公司</t>
  </si>
  <si>
    <t>23276373</t>
  </si>
  <si>
    <t>輝庭企業(股)公司</t>
  </si>
  <si>
    <t>28631817</t>
  </si>
  <si>
    <t>天陽航太科技(股)公司</t>
  </si>
  <si>
    <t>29168533</t>
  </si>
  <si>
    <t>全球傳動科技(股)公司</t>
  </si>
  <si>
    <t>28357108</t>
  </si>
  <si>
    <t>達興材料(股)公司</t>
  </si>
  <si>
    <t>36</t>
  </si>
  <si>
    <t>35</t>
  </si>
  <si>
    <t>34</t>
  </si>
  <si>
    <t>33</t>
  </si>
  <si>
    <t>011_上海商銀 合計</t>
  </si>
  <si>
    <t>011_上海商銀</t>
  </si>
  <si>
    <t>44</t>
  </si>
  <si>
    <t>43</t>
  </si>
  <si>
    <t>42</t>
  </si>
  <si>
    <t>70354764</t>
  </si>
  <si>
    <t>昕琦科技(股)公司</t>
  </si>
  <si>
    <t>41</t>
  </si>
  <si>
    <t>40</t>
  </si>
  <si>
    <t>39</t>
  </si>
  <si>
    <t>38</t>
  </si>
  <si>
    <t>37</t>
  </si>
  <si>
    <t>005_土地銀行 合計</t>
  </si>
  <si>
    <t>輝廷企業(股)公司</t>
  </si>
  <si>
    <t>005_土地銀行</t>
  </si>
  <si>
    <t>84184798</t>
  </si>
  <si>
    <t>全日物流(股)公司</t>
  </si>
  <si>
    <t>80601119</t>
  </si>
  <si>
    <t>采鈺科技(股)公司</t>
  </si>
  <si>
    <t>俊侑(股)公司</t>
  </si>
  <si>
    <t>佳和實業(股)公司</t>
  </si>
  <si>
    <t>72055019</t>
  </si>
  <si>
    <t>54</t>
  </si>
  <si>
    <t>銘榮元實業(股)公司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</si>
  <si>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</si>
  <si>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</si>
  <si>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</si>
  <si>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</si>
  <si>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</si>
  <si>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</si>
  <si>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</si>
  <si>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</si>
  <si>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</si>
  <si>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28230046</t>
  </si>
  <si>
    <t>達輝光電(股)公司</t>
  </si>
  <si>
    <t>12780635</t>
  </si>
  <si>
    <t>樹德企業(股)公司</t>
  </si>
  <si>
    <t>803_聯邦銀行 合計</t>
  </si>
  <si>
    <t>803_聯邦銀行</t>
  </si>
  <si>
    <t>68</t>
  </si>
  <si>
    <t>67</t>
  </si>
  <si>
    <t>66</t>
  </si>
  <si>
    <t>65</t>
  </si>
  <si>
    <t>64</t>
  </si>
  <si>
    <t>28556009</t>
  </si>
  <si>
    <t>川益科技(股)公司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</si>
  <si>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</si>
  <si>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</si>
  <si>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</si>
  <si>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</si>
  <si>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</si>
  <si>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</si>
  <si>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</si>
  <si>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</si>
  <si>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</si>
  <si>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11768704</t>
  </si>
  <si>
    <t>義美食品(股)公司</t>
  </si>
  <si>
    <t>27693238</t>
  </si>
  <si>
    <t>柏文健康事業(股)公司</t>
  </si>
  <si>
    <t>86567588</t>
  </si>
  <si>
    <t>誠遠科技(股)公司</t>
  </si>
  <si>
    <t>053_台中銀行 合計</t>
  </si>
  <si>
    <t>053_台中銀行</t>
  </si>
  <si>
    <t>16425398</t>
  </si>
  <si>
    <t>煜益鋁業(股)公司</t>
  </si>
  <si>
    <t>35875366</t>
  </si>
  <si>
    <t>台灣積層工業(股)公司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</si>
  <si>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</si>
  <si>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</si>
  <si>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</si>
  <si>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</si>
  <si>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</si>
  <si>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</si>
  <si>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</si>
  <si>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</si>
  <si>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</si>
  <si>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</si>
  <si>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</si>
  <si>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</si>
  <si>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</si>
  <si>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</si>
  <si>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鉅明(股)公司</t>
  </si>
  <si>
    <t>85634075</t>
  </si>
  <si>
    <t>04702329</t>
  </si>
  <si>
    <t>麥豐密封科技(股)公司</t>
  </si>
  <si>
    <t>柏文康管理事業(股)公司</t>
  </si>
  <si>
    <t>80142086</t>
  </si>
  <si>
    <t>福和生鮮農產(股)公司</t>
  </si>
  <si>
    <t>36514783</t>
  </si>
  <si>
    <t>台灣卜蜂企業(股)公司</t>
  </si>
  <si>
    <t>27925949</t>
  </si>
  <si>
    <t>台星科企業(股)公司</t>
  </si>
  <si>
    <t>22802861</t>
  </si>
  <si>
    <t>富田電機(股)公司</t>
  </si>
  <si>
    <t>36075449</t>
  </si>
  <si>
    <t>上品綜合工業(股)公司</t>
  </si>
  <si>
    <t>96</t>
  </si>
  <si>
    <t>95</t>
  </si>
  <si>
    <t>94</t>
  </si>
  <si>
    <t>93</t>
  </si>
  <si>
    <t>84345014</t>
  </si>
  <si>
    <t>武漢機械(股)公司</t>
  </si>
  <si>
    <t>92</t>
  </si>
  <si>
    <t>84980915</t>
  </si>
  <si>
    <t>巧新科技工業(股)公司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</si>
  <si>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</si>
  <si>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</si>
  <si>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</si>
  <si>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</si>
  <si>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</si>
  <si>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</si>
  <si>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</si>
  <si>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</si>
  <si>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</si>
  <si>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35820948</t>
  </si>
  <si>
    <t>富惟工業(股)公司</t>
  </si>
  <si>
    <t>70769567</t>
  </si>
  <si>
    <t>台灣之星電信(股)公司</t>
  </si>
  <si>
    <t>至盈實業(股)公司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</si>
</sst>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/d;@"/>
    <numFmt numFmtId="177" formatCode="#,##0_);[Red]\(#,##0\)"/>
    <numFmt numFmtId="178" formatCode="0.0%"/>
  </numFmts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76" fontId="0" fillId="0" borderId="0">
      <alignment vertical="center"/>
    </xf>
  </cellStyleXfs>
  <cellXfs count="51">
    <xf numFmtId="176" fontId="0" fillId="0" borderId="0" xfId="0">
      <alignment vertical="center"/>
    </xf>
    <xf numFmtId="176" fontId="3" fillId="0" borderId="2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shrinkToFit="1"/>
    </xf>
    <xf numFmtId="177" fontId="3" fillId="0" borderId="3" xfId="0" applyNumberFormat="1" applyFont="1" applyBorder="1" applyAlignment="1">
      <alignment horizontal="right" vertical="center" shrinkToFit="1"/>
    </xf>
    <xf numFmtId="0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>
      <alignment vertical="center"/>
    </xf>
    <xf numFmtId="176" fontId="3" fillId="0" borderId="0" xfId="0" applyFont="1" applyAlignment="1">
      <alignment vertical="center" shrinkToFit="1"/>
    </xf>
    <xf numFmtId="176" fontId="3" fillId="0" borderId="1" xfId="0" applyFont="1" applyBorder="1" applyAlignment="1">
      <alignment horizontal="right" vertical="center"/>
    </xf>
    <xf numFmtId="58" fontId="4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vertical="center" shrinkToFit="1"/>
    </xf>
    <xf numFmtId="177" fontId="3" fillId="0" borderId="0" xfId="0" applyNumberFormat="1" applyFont="1" applyAlignment="1">
      <alignment horizontal="right" vertical="center" shrinkToFit="1"/>
    </xf>
    <xf numFmtId="176" fontId="3" fillId="0" borderId="0" xfId="0" applyFont="1" applyAlignment="1">
      <alignment horizontal="center" vertical="center" shrinkToFit="1"/>
    </xf>
    <xf numFmtId="178" fontId="3" fillId="0" borderId="0" xfId="0" applyNumberFormat="1" applyFont="1" applyAlignment="1">
      <alignment vertical="center" shrinkToFi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shrinkToFit="1"/>
    </xf>
    <xf numFmtId="177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 shrinkToFit="1"/>
    </xf>
    <xf numFmtId="178" fontId="3" fillId="0" borderId="2" xfId="0" applyNumberFormat="1" applyFont="1" applyBorder="1" applyAlignment="1">
      <alignment horizontal="center" vertical="center" wrapText="1" shrinkToFit="1"/>
    </xf>
    <xf numFmtId="176" fontId="3" fillId="0" borderId="0" xfId="0" applyFont="1" applyAlignment="1">
      <alignment horizontal="center" vertical="center" wrapText="1"/>
    </xf>
    <xf numFmtId="176" fontId="3" fillId="0" borderId="3" xfId="0" applyFont="1" applyBorder="1" applyAlignment="1">
      <alignment horizontal="center" vertical="center" shrinkToFit="1"/>
    </xf>
    <xf numFmtId="49" fontId="3" fillId="0" borderId="3" xfId="0" applyNumberFormat="1" applyFont="1" applyBorder="1" applyAlignment="1">
      <alignment horizontal="center" vertical="center" shrinkToFit="1"/>
    </xf>
    <xf numFmtId="176" fontId="3" fillId="0" borderId="3" xfId="0" applyFont="1" applyBorder="1" applyAlignment="1">
      <alignment horizontal="left" vertical="center" shrinkToFit="1"/>
    </xf>
    <xf numFmtId="176" fontId="4" fillId="2" borderId="3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center" vertical="center" shrinkToFit="1"/>
    </xf>
    <xf numFmtId="176" fontId="4" fillId="2" borderId="3" xfId="0" applyFont="1" applyFill="1" applyBorder="1" applyAlignment="1">
      <alignment horizontal="left" vertical="center" shrinkToFit="1"/>
    </xf>
    <xf numFmtId="177" fontId="4" fillId="2" borderId="3" xfId="0" applyNumberFormat="1" applyFont="1" applyFill="1" applyBorder="1" applyAlignment="1">
      <alignment horizontal="right" vertical="center" shrinkToFit="1"/>
    </xf>
    <xf numFmtId="176" fontId="4" fillId="2" borderId="3" xfId="0" applyFont="1" applyFill="1" applyBorder="1" applyAlignment="1">
      <alignment horizontal="center" vertical="center" shrinkToFit="1"/>
    </xf>
    <xf numFmtId="178" fontId="4" fillId="2" borderId="3" xfId="0" applyNumberFormat="1" applyFont="1" applyFill="1" applyBorder="1" applyAlignment="1">
      <alignment horizontal="center" vertical="center" shrinkToFit="1"/>
    </xf>
    <xf numFmtId="176" fontId="4" fillId="3" borderId="3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 shrinkToFit="1"/>
    </xf>
    <xf numFmtId="176" fontId="4" fillId="3" borderId="3" xfId="0" applyFont="1" applyFill="1" applyBorder="1" applyAlignment="1">
      <alignment horizontal="left" vertical="center" shrinkToFit="1"/>
    </xf>
    <xf numFmtId="177" fontId="4" fillId="3" borderId="3" xfId="0" applyNumberFormat="1" applyFont="1" applyFill="1" applyBorder="1" applyAlignment="1">
      <alignment horizontal="right" vertical="center" shrinkToFit="1"/>
    </xf>
    <xf numFmtId="176" fontId="4" fillId="3" borderId="3" xfId="0" applyFont="1" applyFill="1" applyBorder="1" applyAlignment="1">
      <alignment horizontal="center" vertical="center" shrinkToFit="1"/>
    </xf>
    <xf numFmtId="178" fontId="4" fillId="3" borderId="3" xfId="0" applyNumberFormat="1" applyFont="1" applyFill="1" applyBorder="1" applyAlignment="1">
      <alignment horizontal="center" vertical="center" shrinkToFit="1"/>
    </xf>
    <xf numFmtId="176" fontId="3" fillId="3" borderId="0" xfId="0" applyFont="1" applyFill="1" applyAlignment="1">
      <alignment horizontal="center" vertical="center" wrapText="1"/>
    </xf>
    <xf numFmtId="176" fontId="3" fillId="0" borderId="0" xfId="0" applyFont="1">
      <alignment vertical="center"/>
    </xf>
    <xf numFmtId="176" fontId="3" fillId="0" borderId="0" xfId="0" applyFont="1" applyAlignment="1">
      <alignment horizontal="right" vertical="center"/>
    </xf>
    <xf numFmtId="176" fontId="3" fillId="0" borderId="0" xfId="0" applyFont="1" applyAlignment="1">
      <alignment horizontal="center" vertical="center"/>
    </xf>
    <xf numFmtId="178" fontId="3" fillId="0" borderId="0" xfId="0" applyNumberFormat="1" applyFont="1">
      <alignment vertical="center"/>
    </xf>
    <xf numFmtId="49" fontId="3" fillId="2" borderId="3" xfId="0" applyNumberFormat="1" applyFont="1" applyFill="1" applyBorder="1" applyAlignment="1">
      <alignment horizontal="center" vertical="center" shrinkToFit="1"/>
    </xf>
    <xf numFmtId="176" fontId="3" fillId="2" borderId="3" xfId="0" applyFont="1" applyFill="1" applyBorder="1" applyAlignment="1">
      <alignment horizontal="left" vertical="center" shrinkToFit="1"/>
    </xf>
    <xf numFmtId="177" fontId="3" fillId="2" borderId="3" xfId="0" applyNumberFormat="1" applyFont="1" applyFill="1" applyBorder="1" applyAlignment="1">
      <alignment horizontal="right" vertical="center" shrinkToFit="1"/>
    </xf>
    <xf numFmtId="176" fontId="3" fillId="2" borderId="3" xfId="0" applyFont="1" applyFill="1" applyBorder="1" applyAlignment="1">
      <alignment horizontal="center" vertical="center" shrinkToFit="1"/>
    </xf>
    <xf numFmtId="178" fontId="3" fillId="2" borderId="3" xfId="0" applyNumberFormat="1" applyFont="1" applyFill="1" applyBorder="1" applyAlignment="1">
      <alignment horizontal="center" vertical="center" shrinkToFit="1"/>
    </xf>
    <xf numFmtId="49" fontId="3" fillId="3" borderId="3" xfId="0" applyNumberFormat="1" applyFont="1" applyFill="1" applyBorder="1" applyAlignment="1">
      <alignment horizontal="center" vertical="center" shrinkToFit="1"/>
    </xf>
    <xf numFmtId="176" fontId="3" fillId="3" borderId="3" xfId="0" applyFont="1" applyFill="1" applyBorder="1" applyAlignment="1">
      <alignment horizontal="left" vertical="center" shrinkToFit="1"/>
    </xf>
    <xf numFmtId="177" fontId="3" fillId="3" borderId="3" xfId="0" applyNumberFormat="1" applyFont="1" applyFill="1" applyBorder="1" applyAlignment="1">
      <alignment horizontal="right" vertical="center" shrinkToFit="1"/>
    </xf>
    <xf numFmtId="176" fontId="3" fillId="3" borderId="3" xfId="0" applyFont="1" applyFill="1" applyBorder="1" applyAlignment="1">
      <alignment horizontal="center" vertical="center" shrinkToFit="1"/>
    </xf>
    <xf numFmtId="178" fontId="3" fillId="3" borderId="3" xfId="0" applyNumberFormat="1" applyFont="1" applyFill="1" applyBorder="1" applyAlignment="1">
      <alignment horizontal="center" vertical="center" shrinkToFit="1"/>
    </xf>
    <xf numFmtId="176" fontId="4" fillId="0" borderId="0" xfId="0" applyFont="1" applyAlignment="1">
      <alignment horizontal="center" vertical="center" wrapText="1"/>
    </xf>
    <xf numFmtId="176" fontId="4" fillId="2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P831"/>
  <sheetViews>
    <sheetView tabSelected="1" zoomScaleNormal="100" workbookViewId="0">
      <selection activeCell="E13" sqref="E13"/>
    </sheetView>
  </sheetViews>
  <sheetFormatPr defaultColWidth="5.33203125" defaultRowHeight="13.15" outlineLevelRow="2"/>
  <cols>
    <col min="1" max="1" width="16.73046875" style="6" bestFit="1" customWidth="1"/>
    <col min="2" max="2" width="8.73046875" style="6" bestFit="1" customWidth="1"/>
    <col min="3" max="3" width="18.9296875" style="6" bestFit="1" customWidth="1"/>
    <col min="4" max="4" width="12.46484375" style="6" bestFit="1" customWidth="1"/>
    <col min="5" max="5" width="14.33203125" style="10" bestFit="1" customWidth="1"/>
    <col min="6" max="6" width="12.46484375" style="11" bestFit="1" customWidth="1"/>
    <col min="7" max="7" width="12.59765625" style="10" bestFit="1" customWidth="1"/>
    <col min="8" max="8" width="10.73046875" style="12" bestFit="1" customWidth="1"/>
    <col min="9" max="10" width="9.06640625" style="6" bestFit="1" customWidth="1"/>
    <col min="11" max="11" width="10.73046875" style="6" bestFit="1" customWidth="1"/>
    <col min="12" max="12" width="10.73046875" style="10" bestFit="1" customWidth="1"/>
    <col min="13" max="13" width="14.3320312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43861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43852</v>
      </c>
      <c r="J4" s="19">
        <v>43861</v>
      </c>
      <c r="K4" s="3">
        <f>J4-I4+1</f>
        <v>10</v>
      </c>
      <c r="L4" s="3">
        <f>ROUND(G4*H4*K4/366,0)</f>
        <v>22199</v>
      </c>
      <c r="M4" s="3">
        <v>162500000</v>
      </c>
    </row>
    <row r="5" spans="1:13" s="18" customFormat="1" ht="13.5" outlineLevel="1">
      <c r="A5" s="22" t="s">
        <v>19</v>
      </c>
      <c r="B5" s="23"/>
      <c r="C5" s="24"/>
      <c r="D5" s="23"/>
      <c r="E5" s="25">
        <f>SUBTOTAL(9,E4:E4)</f>
        <v>162500000</v>
      </c>
      <c r="F5" s="26"/>
      <c r="G5" s="25"/>
      <c r="H5" s="27"/>
      <c r="I5" s="26"/>
      <c r="J5" s="26"/>
      <c r="K5" s="25"/>
      <c r="L5" s="25">
        <f>SUBTOTAL(9,L4:L4)</f>
        <v>22199</v>
      </c>
      <c r="M5" s="25">
        <f>SUBTOTAL(9,M4:M4)</f>
        <v>162500000</v>
      </c>
    </row>
    <row r="6" spans="1:13" s="18" customFormat="1" outlineLevel="2">
      <c r="A6" s="19" t="s">
        <v>20</v>
      </c>
      <c r="B6" s="20" t="s">
        <v>16</v>
      </c>
      <c r="C6" s="21" t="s">
        <v>21</v>
      </c>
      <c r="D6" s="20" t="s">
        <v>22</v>
      </c>
      <c r="E6" s="3">
        <v>69000000</v>
      </c>
      <c r="F6" s="19">
        <v>43822</v>
      </c>
      <c r="G6" s="3">
        <v>69000000</v>
      </c>
      <c r="H6" s="2">
        <v>5.0000000000000001E-3</v>
      </c>
      <c r="I6" s="19">
        <v>43831</v>
      </c>
      <c r="J6" s="19">
        <v>43861</v>
      </c>
      <c r="K6" s="3">
        <f>J6-I6+1</f>
        <v>31</v>
      </c>
      <c r="L6" s="3">
        <f>ROUND(G6*H6*K6/366,0)</f>
        <v>29221</v>
      </c>
      <c r="M6" s="3">
        <v>69000000</v>
      </c>
    </row>
    <row r="7" spans="1:13" s="18" customFormat="1" outlineLevel="2">
      <c r="A7" s="19" t="s">
        <v>20</v>
      </c>
      <c r="B7" s="20" t="s">
        <v>23</v>
      </c>
      <c r="C7" s="21" t="s">
        <v>24</v>
      </c>
      <c r="D7" s="20" t="s">
        <v>18</v>
      </c>
      <c r="E7" s="3">
        <v>162300000</v>
      </c>
      <c r="F7" s="19">
        <v>43829</v>
      </c>
      <c r="G7" s="3">
        <v>162300000</v>
      </c>
      <c r="H7" s="2">
        <v>5.0000000000000001E-3</v>
      </c>
      <c r="I7" s="19">
        <v>43831</v>
      </c>
      <c r="J7" s="19">
        <v>43844</v>
      </c>
      <c r="K7" s="3">
        <f>J7-I7+1</f>
        <v>14</v>
      </c>
      <c r="L7" s="3">
        <f>ROUND(G7*H7*K7/366,0)</f>
        <v>31041</v>
      </c>
      <c r="M7" s="3">
        <v>159595000</v>
      </c>
    </row>
    <row r="8" spans="1:13" s="18" customFormat="1" outlineLevel="2">
      <c r="A8" s="19" t="s">
        <v>20</v>
      </c>
      <c r="B8" s="20" t="s">
        <v>23</v>
      </c>
      <c r="C8" s="21" t="s">
        <v>24</v>
      </c>
      <c r="D8" s="20"/>
      <c r="E8" s="3"/>
      <c r="F8" s="19"/>
      <c r="G8" s="3">
        <v>159595000</v>
      </c>
      <c r="H8" s="2">
        <v>5.0000000000000001E-3</v>
      </c>
      <c r="I8" s="19">
        <v>43845</v>
      </c>
      <c r="J8" s="19">
        <v>43861</v>
      </c>
      <c r="K8" s="3">
        <f>J8-I8+1</f>
        <v>17</v>
      </c>
      <c r="L8" s="3">
        <f>ROUND(G8*H8*K8/366,0)</f>
        <v>37064</v>
      </c>
      <c r="M8" s="3"/>
    </row>
    <row r="9" spans="1:13" s="18" customFormat="1" ht="13.5" outlineLevel="1">
      <c r="A9" s="22" t="s">
        <v>25</v>
      </c>
      <c r="B9" s="23"/>
      <c r="C9" s="24"/>
      <c r="D9" s="23"/>
      <c r="E9" s="25">
        <f>SUBTOTAL(9,E6:E8)</f>
        <v>231300000</v>
      </c>
      <c r="F9" s="26"/>
      <c r="G9" s="25"/>
      <c r="H9" s="27"/>
      <c r="I9" s="26"/>
      <c r="J9" s="26"/>
      <c r="K9" s="25"/>
      <c r="L9" s="25">
        <f>SUBTOTAL(9,L6:L8)</f>
        <v>97326</v>
      </c>
      <c r="M9" s="25">
        <f>SUBTOTAL(9,M6:M8)</f>
        <v>228595000</v>
      </c>
    </row>
    <row r="10" spans="1:13" s="18" customFormat="1" outlineLevel="2">
      <c r="A10" s="19" t="s">
        <v>26</v>
      </c>
      <c r="B10" s="20" t="s">
        <v>16</v>
      </c>
      <c r="C10" s="21" t="s">
        <v>27</v>
      </c>
      <c r="D10" s="20" t="s">
        <v>28</v>
      </c>
      <c r="E10" s="3">
        <v>38000000</v>
      </c>
      <c r="F10" s="19">
        <v>43762</v>
      </c>
      <c r="G10" s="3">
        <v>38000000</v>
      </c>
      <c r="H10" s="2">
        <v>5.0000000000000001E-3</v>
      </c>
      <c r="I10" s="19">
        <v>43831</v>
      </c>
      <c r="J10" s="19">
        <v>43861</v>
      </c>
      <c r="K10" s="3">
        <f t="shared" ref="K10:K15" si="0">J10-I10+1</f>
        <v>31</v>
      </c>
      <c r="L10" s="3">
        <f t="shared" ref="L10:L15" si="1">ROUND(G10*H10*K10/366,0)</f>
        <v>16093</v>
      </c>
      <c r="M10" s="3">
        <v>38000000</v>
      </c>
    </row>
    <row r="11" spans="1:13" s="18" customFormat="1" outlineLevel="2">
      <c r="A11" s="19" t="s">
        <v>26</v>
      </c>
      <c r="B11" s="20" t="s">
        <v>23</v>
      </c>
      <c r="C11" s="21" t="s">
        <v>27</v>
      </c>
      <c r="D11" s="20" t="s">
        <v>28</v>
      </c>
      <c r="E11" s="3">
        <v>57000000</v>
      </c>
      <c r="F11" s="19">
        <v>43822</v>
      </c>
      <c r="G11" s="3">
        <v>57000000</v>
      </c>
      <c r="H11" s="2">
        <v>5.0000000000000001E-3</v>
      </c>
      <c r="I11" s="19">
        <v>43831</v>
      </c>
      <c r="J11" s="19">
        <v>43861</v>
      </c>
      <c r="K11" s="3">
        <f t="shared" si="0"/>
        <v>31</v>
      </c>
      <c r="L11" s="3">
        <f t="shared" si="1"/>
        <v>24139</v>
      </c>
      <c r="M11" s="3">
        <v>57000000</v>
      </c>
    </row>
    <row r="12" spans="1:13" s="18" customFormat="1" outlineLevel="2">
      <c r="A12" s="19" t="s">
        <v>26</v>
      </c>
      <c r="B12" s="20" t="s">
        <v>29</v>
      </c>
      <c r="C12" s="21" t="s">
        <v>21</v>
      </c>
      <c r="D12" s="20" t="s">
        <v>22</v>
      </c>
      <c r="E12" s="3">
        <v>171000000</v>
      </c>
      <c r="F12" s="19">
        <v>43822</v>
      </c>
      <c r="G12" s="3">
        <v>171000000</v>
      </c>
      <c r="H12" s="2">
        <v>5.0000000000000001E-3</v>
      </c>
      <c r="I12" s="19">
        <v>43831</v>
      </c>
      <c r="J12" s="19">
        <v>43861</v>
      </c>
      <c r="K12" s="3">
        <f t="shared" si="0"/>
        <v>31</v>
      </c>
      <c r="L12" s="3">
        <f t="shared" si="1"/>
        <v>72418</v>
      </c>
      <c r="M12" s="3">
        <v>171000000</v>
      </c>
    </row>
    <row r="13" spans="1:13" s="18" customFormat="1" outlineLevel="2">
      <c r="A13" s="19" t="s">
        <v>26</v>
      </c>
      <c r="B13" s="20" t="s">
        <v>30</v>
      </c>
      <c r="C13" s="21" t="s">
        <v>27</v>
      </c>
      <c r="D13" s="20" t="s">
        <v>28</v>
      </c>
      <c r="E13" s="3">
        <v>38000000</v>
      </c>
      <c r="F13" s="19">
        <v>43850</v>
      </c>
      <c r="G13" s="3">
        <v>38000000</v>
      </c>
      <c r="H13" s="2">
        <v>5.0000000000000001E-3</v>
      </c>
      <c r="I13" s="19">
        <v>43850</v>
      </c>
      <c r="J13" s="19">
        <v>43861</v>
      </c>
      <c r="K13" s="3">
        <f t="shared" si="0"/>
        <v>12</v>
      </c>
      <c r="L13" s="3">
        <f t="shared" si="1"/>
        <v>6230</v>
      </c>
      <c r="M13" s="3">
        <v>38000000</v>
      </c>
    </row>
    <row r="14" spans="1:13" s="18" customFormat="1" outlineLevel="2">
      <c r="A14" s="19" t="s">
        <v>26</v>
      </c>
      <c r="B14" s="20" t="s">
        <v>31</v>
      </c>
      <c r="C14" s="21" t="s">
        <v>27</v>
      </c>
      <c r="D14" s="20" t="s">
        <v>28</v>
      </c>
      <c r="E14" s="3">
        <v>10000000</v>
      </c>
      <c r="F14" s="19">
        <v>43850</v>
      </c>
      <c r="G14" s="3">
        <v>10000000</v>
      </c>
      <c r="H14" s="2">
        <v>5.0000000000000001E-3</v>
      </c>
      <c r="I14" s="19">
        <v>43850</v>
      </c>
      <c r="J14" s="19">
        <v>43861</v>
      </c>
      <c r="K14" s="3">
        <f t="shared" si="0"/>
        <v>12</v>
      </c>
      <c r="L14" s="3">
        <f t="shared" si="1"/>
        <v>1639</v>
      </c>
      <c r="M14" s="3">
        <v>10000000</v>
      </c>
    </row>
    <row r="15" spans="1:13" s="18" customFormat="1" outlineLevel="2">
      <c r="A15" s="19" t="s">
        <v>26</v>
      </c>
      <c r="B15" s="20" t="s">
        <v>32</v>
      </c>
      <c r="C15" s="21" t="s">
        <v>33</v>
      </c>
      <c r="D15" s="20" t="s">
        <v>34</v>
      </c>
      <c r="E15" s="3">
        <v>96176976</v>
      </c>
      <c r="F15" s="19">
        <v>43861</v>
      </c>
      <c r="G15" s="3">
        <v>96176976</v>
      </c>
      <c r="H15" s="2">
        <v>5.0000000000000001E-3</v>
      </c>
      <c r="I15" s="19">
        <v>43861</v>
      </c>
      <c r="J15" s="19">
        <v>43861</v>
      </c>
      <c r="K15" s="3">
        <f t="shared" si="0"/>
        <v>1</v>
      </c>
      <c r="L15" s="3">
        <f t="shared" si="1"/>
        <v>1314</v>
      </c>
      <c r="M15" s="3">
        <v>96176976</v>
      </c>
    </row>
    <row r="16" spans="1:13" s="18" customFormat="1" ht="13.5" outlineLevel="1">
      <c r="A16" s="22" t="s">
        <v>35</v>
      </c>
      <c r="B16" s="23"/>
      <c r="C16" s="24"/>
      <c r="D16" s="23"/>
      <c r="E16" s="25">
        <f>SUBTOTAL(9,E10:E15)</f>
        <v>410176976</v>
      </c>
      <c r="F16" s="26"/>
      <c r="G16" s="25"/>
      <c r="H16" s="27"/>
      <c r="I16" s="26"/>
      <c r="J16" s="26"/>
      <c r="K16" s="25"/>
      <c r="L16" s="25">
        <f>SUBTOTAL(9,L10:L15)</f>
        <v>121833</v>
      </c>
      <c r="M16" s="25">
        <f>SUBTOTAL(9,M10:M15)</f>
        <v>410176976</v>
      </c>
    </row>
    <row r="17" spans="1:13" s="18" customFormat="1" outlineLevel="2">
      <c r="A17" s="19" t="s">
        <v>36</v>
      </c>
      <c r="B17" s="20" t="s">
        <v>16</v>
      </c>
      <c r="C17" s="21" t="s">
        <v>17</v>
      </c>
      <c r="D17" s="20" t="s">
        <v>18</v>
      </c>
      <c r="E17" s="3">
        <v>150000000</v>
      </c>
      <c r="F17" s="19">
        <v>43829</v>
      </c>
      <c r="G17" s="3">
        <v>150000000</v>
      </c>
      <c r="H17" s="2">
        <v>5.0000000000000001E-3</v>
      </c>
      <c r="I17" s="19">
        <v>43831</v>
      </c>
      <c r="J17" s="19">
        <v>43844</v>
      </c>
      <c r="K17" s="3">
        <f>J17-I17+1</f>
        <v>14</v>
      </c>
      <c r="L17" s="3">
        <f>ROUND(G17*H17*K17/366,0)</f>
        <v>28689</v>
      </c>
      <c r="M17" s="3">
        <v>147500000</v>
      </c>
    </row>
    <row r="18" spans="1:13" s="18" customFormat="1" outlineLevel="2">
      <c r="A18" s="19" t="s">
        <v>36</v>
      </c>
      <c r="B18" s="20" t="s">
        <v>16</v>
      </c>
      <c r="C18" s="21" t="s">
        <v>17</v>
      </c>
      <c r="D18" s="20"/>
      <c r="E18" s="3"/>
      <c r="F18" s="19"/>
      <c r="G18" s="3">
        <v>147500000</v>
      </c>
      <c r="H18" s="2">
        <v>5.0000000000000001E-3</v>
      </c>
      <c r="I18" s="19">
        <v>43845</v>
      </c>
      <c r="J18" s="19">
        <v>43861</v>
      </c>
      <c r="K18" s="3">
        <f>J18-I18+1</f>
        <v>17</v>
      </c>
      <c r="L18" s="3">
        <f>ROUND(G18*H18*K18/366,0)</f>
        <v>34255</v>
      </c>
      <c r="M18" s="3"/>
    </row>
    <row r="19" spans="1:13" s="18" customFormat="1" outlineLevel="2">
      <c r="A19" s="19" t="s">
        <v>36</v>
      </c>
      <c r="B19" s="20" t="s">
        <v>23</v>
      </c>
      <c r="C19" s="21" t="s">
        <v>17</v>
      </c>
      <c r="D19" s="20" t="s">
        <v>18</v>
      </c>
      <c r="E19" s="3">
        <v>32900000</v>
      </c>
      <c r="F19" s="19">
        <v>43829</v>
      </c>
      <c r="G19" s="3">
        <v>32900000</v>
      </c>
      <c r="H19" s="2">
        <v>5.0000000000000001E-3</v>
      </c>
      <c r="I19" s="19">
        <v>43831</v>
      </c>
      <c r="J19" s="19">
        <v>43844</v>
      </c>
      <c r="K19" s="3">
        <f>J19-I19+1</f>
        <v>14</v>
      </c>
      <c r="L19" s="3">
        <f>ROUND(G19*H19*K19/366,0)</f>
        <v>6292</v>
      </c>
      <c r="M19" s="3">
        <v>32351667</v>
      </c>
    </row>
    <row r="20" spans="1:13" s="18" customFormat="1" outlineLevel="2">
      <c r="A20" s="19" t="s">
        <v>36</v>
      </c>
      <c r="B20" s="20" t="s">
        <v>23</v>
      </c>
      <c r="C20" s="21" t="s">
        <v>17</v>
      </c>
      <c r="D20" s="20"/>
      <c r="E20" s="3"/>
      <c r="F20" s="19"/>
      <c r="G20" s="3">
        <v>32351667</v>
      </c>
      <c r="H20" s="2">
        <v>5.0000000000000001E-3</v>
      </c>
      <c r="I20" s="19">
        <v>43845</v>
      </c>
      <c r="J20" s="19">
        <v>43861</v>
      </c>
      <c r="K20" s="3">
        <f>J20-I20+1</f>
        <v>17</v>
      </c>
      <c r="L20" s="3">
        <f>ROUND(G20*H20*K20/366,0)</f>
        <v>7513</v>
      </c>
      <c r="M20" s="3"/>
    </row>
    <row r="21" spans="1:13" s="18" customFormat="1" ht="13.5" outlineLevel="1">
      <c r="A21" s="22" t="s">
        <v>37</v>
      </c>
      <c r="B21" s="23"/>
      <c r="C21" s="24"/>
      <c r="D21" s="23"/>
      <c r="E21" s="25">
        <f>SUBTOTAL(9,E17:E20)</f>
        <v>182900000</v>
      </c>
      <c r="F21" s="26"/>
      <c r="G21" s="25"/>
      <c r="H21" s="27"/>
      <c r="I21" s="26"/>
      <c r="J21" s="26"/>
      <c r="K21" s="25"/>
      <c r="L21" s="25">
        <f>SUBTOTAL(9,L17:L20)</f>
        <v>76749</v>
      </c>
      <c r="M21" s="25">
        <f>SUBTOTAL(9,M17:M20)</f>
        <v>179851667</v>
      </c>
    </row>
    <row r="22" spans="1:13" s="18" customFormat="1" outlineLevel="2">
      <c r="A22" s="19" t="s">
        <v>38</v>
      </c>
      <c r="B22" s="20" t="s">
        <v>16</v>
      </c>
      <c r="C22" s="21" t="s">
        <v>17</v>
      </c>
      <c r="D22" s="20" t="s">
        <v>18</v>
      </c>
      <c r="E22" s="3">
        <v>50000000</v>
      </c>
      <c r="F22" s="19">
        <v>43829</v>
      </c>
      <c r="G22" s="3">
        <v>50000000</v>
      </c>
      <c r="H22" s="2">
        <v>5.0000000000000001E-3</v>
      </c>
      <c r="I22" s="19">
        <v>43831</v>
      </c>
      <c r="J22" s="19">
        <v>43844</v>
      </c>
      <c r="K22" s="3">
        <f>J22-I22+1</f>
        <v>14</v>
      </c>
      <c r="L22" s="3">
        <f>ROUND(G22*H22*K22/366,0)</f>
        <v>9563</v>
      </c>
      <c r="M22" s="3">
        <v>49166666</v>
      </c>
    </row>
    <row r="23" spans="1:13" s="18" customFormat="1" outlineLevel="2">
      <c r="A23" s="19" t="s">
        <v>38</v>
      </c>
      <c r="B23" s="20" t="s">
        <v>16</v>
      </c>
      <c r="C23" s="21" t="s">
        <v>17</v>
      </c>
      <c r="D23" s="20"/>
      <c r="E23" s="3"/>
      <c r="F23" s="19"/>
      <c r="G23" s="3">
        <v>49166666</v>
      </c>
      <c r="H23" s="2">
        <v>5.0000000000000001E-3</v>
      </c>
      <c r="I23" s="19">
        <v>43845</v>
      </c>
      <c r="J23" s="19">
        <v>43861</v>
      </c>
      <c r="K23" s="3">
        <f>J23-I23+1</f>
        <v>17</v>
      </c>
      <c r="L23" s="3">
        <f>ROUND(G23*H23*K23/366,0)</f>
        <v>11418</v>
      </c>
      <c r="M23" s="3"/>
    </row>
    <row r="24" spans="1:13" s="18" customFormat="1" outlineLevel="2">
      <c r="A24" s="19" t="s">
        <v>38</v>
      </c>
      <c r="B24" s="20" t="s">
        <v>23</v>
      </c>
      <c r="C24" s="21" t="s">
        <v>17</v>
      </c>
      <c r="D24" s="20" t="s">
        <v>18</v>
      </c>
      <c r="E24" s="3">
        <v>25200000</v>
      </c>
      <c r="F24" s="19">
        <v>43829</v>
      </c>
      <c r="G24" s="3">
        <v>25200000</v>
      </c>
      <c r="H24" s="2">
        <v>5.0000000000000001E-3</v>
      </c>
      <c r="I24" s="19">
        <v>43831</v>
      </c>
      <c r="J24" s="19">
        <v>43844</v>
      </c>
      <c r="K24" s="3">
        <f>J24-I24+1</f>
        <v>14</v>
      </c>
      <c r="L24" s="3">
        <f>ROUND(G24*H24*K24/366,0)</f>
        <v>4820</v>
      </c>
      <c r="M24" s="3">
        <v>24780000</v>
      </c>
    </row>
    <row r="25" spans="1:13" s="18" customFormat="1" outlineLevel="2">
      <c r="A25" s="19" t="s">
        <v>38</v>
      </c>
      <c r="B25" s="20" t="s">
        <v>23</v>
      </c>
      <c r="C25" s="21" t="s">
        <v>17</v>
      </c>
      <c r="D25" s="20"/>
      <c r="E25" s="3"/>
      <c r="F25" s="19"/>
      <c r="G25" s="3">
        <v>24780000</v>
      </c>
      <c r="H25" s="2">
        <v>5.0000000000000001E-3</v>
      </c>
      <c r="I25" s="19">
        <v>43845</v>
      </c>
      <c r="J25" s="19">
        <v>43861</v>
      </c>
      <c r="K25" s="3">
        <f>J25-I25+1</f>
        <v>17</v>
      </c>
      <c r="L25" s="3">
        <f>ROUND(G25*H25*K25/366,0)</f>
        <v>5755</v>
      </c>
      <c r="M25" s="3"/>
    </row>
    <row r="26" spans="1:13" s="18" customFormat="1" ht="13.5" outlineLevel="1">
      <c r="A26" s="22" t="s">
        <v>39</v>
      </c>
      <c r="B26" s="23"/>
      <c r="C26" s="24"/>
      <c r="D26" s="23"/>
      <c r="E26" s="25">
        <f>SUBTOTAL(9,E22:E25)</f>
        <v>75200000</v>
      </c>
      <c r="F26" s="26"/>
      <c r="G26" s="25"/>
      <c r="H26" s="27"/>
      <c r="I26" s="26"/>
      <c r="J26" s="26"/>
      <c r="K26" s="25"/>
      <c r="L26" s="25">
        <f>SUBTOTAL(9,L22:L25)</f>
        <v>31556</v>
      </c>
      <c r="M26" s="25">
        <f>SUBTOTAL(9,M22:M25)</f>
        <v>73946666</v>
      </c>
    </row>
    <row r="27" spans="1:13" s="18" customFormat="1" outlineLevel="2">
      <c r="A27" s="19" t="s">
        <v>40</v>
      </c>
      <c r="B27" s="20" t="s">
        <v>16</v>
      </c>
      <c r="C27" s="21" t="s">
        <v>41</v>
      </c>
      <c r="D27" s="20" t="s">
        <v>42</v>
      </c>
      <c r="E27" s="3">
        <v>126000000</v>
      </c>
      <c r="F27" s="19">
        <v>43804</v>
      </c>
      <c r="G27" s="3">
        <v>126000000</v>
      </c>
      <c r="H27" s="2">
        <v>5.0000000000000001E-3</v>
      </c>
      <c r="I27" s="19">
        <v>43831</v>
      </c>
      <c r="J27" s="19">
        <v>43861</v>
      </c>
      <c r="K27" s="3">
        <f t="shared" ref="K27:K33" si="2">J27-I27+1</f>
        <v>31</v>
      </c>
      <c r="L27" s="3">
        <f t="shared" ref="L27:L33" si="3">ROUND(G27*H27*K27/366,0)</f>
        <v>53361</v>
      </c>
      <c r="M27" s="3">
        <v>126000000</v>
      </c>
    </row>
    <row r="28" spans="1:13" s="18" customFormat="1" outlineLevel="2">
      <c r="A28" s="19" t="s">
        <v>40</v>
      </c>
      <c r="B28" s="20" t="s">
        <v>23</v>
      </c>
      <c r="C28" s="21" t="s">
        <v>43</v>
      </c>
      <c r="D28" s="20" t="s">
        <v>44</v>
      </c>
      <c r="E28" s="3">
        <v>5452560</v>
      </c>
      <c r="F28" s="19">
        <v>43810</v>
      </c>
      <c r="G28" s="3">
        <v>5452560</v>
      </c>
      <c r="H28" s="2">
        <v>5.0000000000000001E-3</v>
      </c>
      <c r="I28" s="19">
        <v>43831</v>
      </c>
      <c r="J28" s="19">
        <v>43861</v>
      </c>
      <c r="K28" s="3">
        <f t="shared" si="2"/>
        <v>31</v>
      </c>
      <c r="L28" s="3">
        <f t="shared" si="3"/>
        <v>2309</v>
      </c>
      <c r="M28" s="3">
        <v>5452560</v>
      </c>
    </row>
    <row r="29" spans="1:13" s="18" customFormat="1" outlineLevel="2">
      <c r="A29" s="19" t="s">
        <v>40</v>
      </c>
      <c r="B29" s="20" t="s">
        <v>29</v>
      </c>
      <c r="C29" s="21" t="s">
        <v>45</v>
      </c>
      <c r="D29" s="20" t="s">
        <v>46</v>
      </c>
      <c r="E29" s="3">
        <v>220000000</v>
      </c>
      <c r="F29" s="19">
        <v>43815</v>
      </c>
      <c r="G29" s="3">
        <v>220000000</v>
      </c>
      <c r="H29" s="2">
        <v>5.0000000000000001E-3</v>
      </c>
      <c r="I29" s="19">
        <v>43831</v>
      </c>
      <c r="J29" s="19">
        <v>43861</v>
      </c>
      <c r="K29" s="3">
        <f t="shared" si="2"/>
        <v>31</v>
      </c>
      <c r="L29" s="3">
        <f t="shared" si="3"/>
        <v>93169</v>
      </c>
      <c r="M29" s="3">
        <v>220000000</v>
      </c>
    </row>
    <row r="30" spans="1:13" s="18" customFormat="1" outlineLevel="2">
      <c r="A30" s="19" t="s">
        <v>40</v>
      </c>
      <c r="B30" s="20" t="s">
        <v>30</v>
      </c>
      <c r="C30" s="21" t="s">
        <v>43</v>
      </c>
      <c r="D30" s="20" t="s">
        <v>44</v>
      </c>
      <c r="E30" s="3">
        <v>5452560</v>
      </c>
      <c r="F30" s="19">
        <v>43838</v>
      </c>
      <c r="G30" s="3">
        <v>5452560</v>
      </c>
      <c r="H30" s="2">
        <v>5.0000000000000001E-3</v>
      </c>
      <c r="I30" s="19">
        <v>43838</v>
      </c>
      <c r="J30" s="19">
        <v>43861</v>
      </c>
      <c r="K30" s="3">
        <f t="shared" si="2"/>
        <v>24</v>
      </c>
      <c r="L30" s="3">
        <f t="shared" si="3"/>
        <v>1788</v>
      </c>
      <c r="M30" s="3">
        <v>5452560</v>
      </c>
    </row>
    <row r="31" spans="1:13" s="18" customFormat="1" outlineLevel="2">
      <c r="A31" s="19" t="s">
        <v>40</v>
      </c>
      <c r="B31" s="20" t="s">
        <v>31</v>
      </c>
      <c r="C31" s="21" t="s">
        <v>43</v>
      </c>
      <c r="D31" s="20" t="s">
        <v>44</v>
      </c>
      <c r="E31" s="3">
        <v>5452560</v>
      </c>
      <c r="F31" s="19">
        <v>43838</v>
      </c>
      <c r="G31" s="3">
        <v>5452560</v>
      </c>
      <c r="H31" s="2">
        <v>5.0000000000000001E-3</v>
      </c>
      <c r="I31" s="19">
        <v>43838</v>
      </c>
      <c r="J31" s="19">
        <v>43861</v>
      </c>
      <c r="K31" s="3">
        <f t="shared" si="2"/>
        <v>24</v>
      </c>
      <c r="L31" s="3">
        <f t="shared" si="3"/>
        <v>1788</v>
      </c>
      <c r="M31" s="3">
        <v>5452560</v>
      </c>
    </row>
    <row r="32" spans="1:13" s="18" customFormat="1" outlineLevel="2">
      <c r="A32" s="19" t="s">
        <v>40</v>
      </c>
      <c r="B32" s="20" t="s">
        <v>32</v>
      </c>
      <c r="C32" s="21" t="s">
        <v>47</v>
      </c>
      <c r="D32" s="20" t="s">
        <v>42</v>
      </c>
      <c r="E32" s="3">
        <v>55600000</v>
      </c>
      <c r="F32" s="19">
        <v>43833</v>
      </c>
      <c r="G32" s="3">
        <v>55600000</v>
      </c>
      <c r="H32" s="2">
        <v>5.0000000000000001E-3</v>
      </c>
      <c r="I32" s="19">
        <v>43833</v>
      </c>
      <c r="J32" s="19">
        <v>43861</v>
      </c>
      <c r="K32" s="3">
        <f t="shared" si="2"/>
        <v>29</v>
      </c>
      <c r="L32" s="3">
        <f t="shared" si="3"/>
        <v>22027</v>
      </c>
      <c r="M32" s="3">
        <v>55600000</v>
      </c>
    </row>
    <row r="33" spans="1:16" s="18" customFormat="1" outlineLevel="2">
      <c r="A33" s="19" t="s">
        <v>40</v>
      </c>
      <c r="B33" s="20" t="s">
        <v>48</v>
      </c>
      <c r="C33" s="21" t="s">
        <v>47</v>
      </c>
      <c r="D33" s="20" t="s">
        <v>42</v>
      </c>
      <c r="E33" s="3">
        <v>28400000</v>
      </c>
      <c r="F33" s="19">
        <v>43833</v>
      </c>
      <c r="G33" s="3">
        <v>28400000</v>
      </c>
      <c r="H33" s="2">
        <v>5.0000000000000001E-3</v>
      </c>
      <c r="I33" s="19">
        <v>43833</v>
      </c>
      <c r="J33" s="19">
        <v>43861</v>
      </c>
      <c r="K33" s="3">
        <f t="shared" si="2"/>
        <v>29</v>
      </c>
      <c r="L33" s="3">
        <f t="shared" si="3"/>
        <v>11251</v>
      </c>
      <c r="M33" s="3">
        <v>28400000</v>
      </c>
    </row>
    <row r="34" spans="1:16" s="18" customFormat="1" ht="13.5" outlineLevel="1">
      <c r="A34" s="22" t="s">
        <v>49</v>
      </c>
      <c r="B34" s="23"/>
      <c r="C34" s="24"/>
      <c r="D34" s="23"/>
      <c r="E34" s="25">
        <f>SUBTOTAL(9,E27:E33)</f>
        <v>446357680</v>
      </c>
      <c r="F34" s="26"/>
      <c r="G34" s="25"/>
      <c r="H34" s="27"/>
      <c r="I34" s="26"/>
      <c r="J34" s="26"/>
      <c r="K34" s="25"/>
      <c r="L34" s="25">
        <f>SUBTOTAL(9,L27:L33)</f>
        <v>185693</v>
      </c>
      <c r="M34" s="25">
        <f>SUBTOTAL(9,M27:M33)</f>
        <v>446357680</v>
      </c>
    </row>
    <row r="35" spans="1:16" s="18" customFormat="1" outlineLevel="2">
      <c r="A35" s="19" t="s">
        <v>50</v>
      </c>
      <c r="B35" s="20" t="s">
        <v>16</v>
      </c>
      <c r="C35" s="21" t="s">
        <v>21</v>
      </c>
      <c r="D35" s="20" t="s">
        <v>22</v>
      </c>
      <c r="E35" s="3">
        <v>190000000</v>
      </c>
      <c r="F35" s="19">
        <v>43797</v>
      </c>
      <c r="G35" s="3">
        <v>190000000</v>
      </c>
      <c r="H35" s="2">
        <v>5.0000000000000001E-3</v>
      </c>
      <c r="I35" s="19">
        <v>43831</v>
      </c>
      <c r="J35" s="19">
        <v>43861</v>
      </c>
      <c r="K35" s="3">
        <f>J35-I35+1</f>
        <v>31</v>
      </c>
      <c r="L35" s="3">
        <f>ROUND(G35*H35*K35/366,0)</f>
        <v>80464</v>
      </c>
      <c r="M35" s="3">
        <v>190000000</v>
      </c>
    </row>
    <row r="36" spans="1:16" s="18" customFormat="1" outlineLevel="2">
      <c r="A36" s="19" t="s">
        <v>50</v>
      </c>
      <c r="B36" s="20" t="s">
        <v>23</v>
      </c>
      <c r="C36" s="21" t="s">
        <v>21</v>
      </c>
      <c r="D36" s="20" t="s">
        <v>22</v>
      </c>
      <c r="E36" s="3">
        <v>37000000</v>
      </c>
      <c r="F36" s="19">
        <v>43829</v>
      </c>
      <c r="G36" s="3">
        <v>37000000</v>
      </c>
      <c r="H36" s="2">
        <v>5.0000000000000001E-3</v>
      </c>
      <c r="I36" s="19">
        <v>43831</v>
      </c>
      <c r="J36" s="19">
        <v>43861</v>
      </c>
      <c r="K36" s="3">
        <f>J36-I36+1</f>
        <v>31</v>
      </c>
      <c r="L36" s="3">
        <f>ROUND(G36*H36*K36/366,0)</f>
        <v>15669</v>
      </c>
      <c r="M36" s="3">
        <v>37000000</v>
      </c>
    </row>
    <row r="37" spans="1:16" s="18" customFormat="1" ht="13.5" outlineLevel="1">
      <c r="A37" s="22" t="s">
        <v>51</v>
      </c>
      <c r="B37" s="23"/>
      <c r="C37" s="24"/>
      <c r="D37" s="23"/>
      <c r="E37" s="25">
        <f>SUBTOTAL(9,E35:E36)</f>
        <v>227000000</v>
      </c>
      <c r="F37" s="26"/>
      <c r="G37" s="25"/>
      <c r="H37" s="27"/>
      <c r="I37" s="26"/>
      <c r="J37" s="26"/>
      <c r="K37" s="25"/>
      <c r="L37" s="25">
        <f>SUBTOTAL(9,L35:L36)</f>
        <v>96133</v>
      </c>
      <c r="M37" s="25">
        <f>SUBTOTAL(9,M35:M36)</f>
        <v>227000000</v>
      </c>
    </row>
    <row r="38" spans="1:16" s="34" customFormat="1" ht="13.5" outlineLevel="1">
      <c r="A38" s="28"/>
      <c r="B38" s="29"/>
      <c r="C38" s="30"/>
      <c r="D38" s="29"/>
      <c r="E38" s="31"/>
      <c r="F38" s="32"/>
      <c r="G38" s="31"/>
      <c r="H38" s="33"/>
      <c r="I38" s="32"/>
      <c r="J38" s="32"/>
      <c r="K38" s="31"/>
      <c r="L38" s="31"/>
      <c r="M38" s="31"/>
    </row>
    <row r="39" spans="1:16" s="18" customFormat="1" ht="13.5">
      <c r="A39" s="26" t="s">
        <v>52</v>
      </c>
      <c r="B39" s="23"/>
      <c r="C39" s="24"/>
      <c r="D39" s="23"/>
      <c r="E39" s="25">
        <f>SUBTOTAL(9,E4:E36)</f>
        <v>1735434656</v>
      </c>
      <c r="F39" s="26"/>
      <c r="G39" s="25"/>
      <c r="H39" s="27"/>
      <c r="I39" s="26"/>
      <c r="J39" s="26"/>
      <c r="K39" s="25"/>
      <c r="L39" s="25">
        <f>SUBTOTAL(9,L4:L36)</f>
        <v>631489</v>
      </c>
      <c r="M39" s="25">
        <f>SUBTOTAL(9,M4:M36)</f>
        <v>1728427989</v>
      </c>
    </row>
    <row r="40" spans="1:16" s="18" customForma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16">
      <c r="A41" s="35" t="s">
        <v>54</v>
      </c>
      <c r="B41" s="35"/>
      <c r="E41" s="36" t="s">
        <v>55</v>
      </c>
      <c r="G41" s="6"/>
      <c r="I41" s="37" t="s">
        <v>53</v>
      </c>
    </row>
    <row r="42" spans="1:16" s="18" customForma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1:16" s="18" customForma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 spans="1:16" s="18" customForma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spans="1:16" s="18" customForma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16" s="18" customForma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 spans="1:16" s="18" customForma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spans="1:16" s="18" customForma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spans="1:16" s="18" customForma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 spans="1:16" s="18" customForma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spans="1:16" s="18" customForma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s="18" customForma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 spans="1:16" s="18" customForma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spans="1:16" s="18" customForma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s="18" customForma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s="18" customForma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s="18" customForma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 spans="1:16" s="18" customForma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s="18" customForma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 spans="1:16" s="18" customForma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spans="1:16" s="18" customForma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s="18" customForma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6" s="18" customForma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spans="1:16" s="18" customForma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</row>
    <row r="65" spans="1:16" s="18" customForma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s="18" customForma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spans="1:16" s="18" customForma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6" s="18" customForma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16" s="18" customForma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s="18" customForma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s="18" customForma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 spans="1:16" s="18" customForma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spans="1:16" s="18" customForma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 spans="1:16" s="18" customForma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s="18" customForma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 spans="1:16" s="18" customForma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</row>
    <row r="77" spans="1:16" s="18" customForma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6" s="18" customForma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s="18" customForma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0" spans="1:16" s="18" customForma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16" s="18" customForma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s="18" customForma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 spans="1:16" s="18" customForma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spans="1:16" s="18" customForma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16" s="18" customForma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 s="18" customForma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1:16" s="18" customForma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6" s="18" customForma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16" s="18" customForma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s="18" customForma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spans="1:16" s="18" customForma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  <row r="92" spans="1:16" s="18" customForma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s="18" customForma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 spans="1:16" s="18" customForma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 spans="1:16" s="18" customForma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spans="1:16" s="18" customForma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s="18" customForma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spans="1:16" s="18" customForma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s="18" customForma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 s="18" customForma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spans="1:16" s="18" customForma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spans="1:16" s="18" customForma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spans="1:16" s="18" customForma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s="18" customForma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s="18" customForma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spans="1:16" s="18" customForma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6" s="18" customForma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6" s="18" customForma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 spans="1:16" s="18" customForma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spans="1:16" s="18" customForma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6" s="18" customForma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6" s="18" customForma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spans="1:16" s="18" customForma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 spans="1:16" s="18" customForma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</row>
    <row r="115" spans="1:16" s="18" customForma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 spans="1:16" s="18" customForma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 spans="1:16" s="18" customForma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 spans="1:16" s="18" customForma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 spans="1:16" s="18" customForma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 spans="1:16" s="18" customForma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 spans="1:16" s="18" customForma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 spans="1:16" s="18" customForma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 spans="1:16" s="18" customForma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 spans="1:16" s="18" customForma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spans="1:16" s="18" customForma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spans="1:16" s="18" customForma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 spans="1:16" s="18" customForma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spans="1:16" s="18" customForma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 spans="1:16" s="18" customForma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spans="1:16" s="18" customForma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spans="1:16" s="18" customForma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spans="1:16" s="18" customForma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s="18" customForma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spans="1:16" s="18" customForma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spans="1:16" s="18" customForma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spans="1:16" s="18" customForma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spans="1:16" s="18" customForma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spans="1:16" s="18" customForma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spans="1:16" s="18" customForma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spans="1:16" s="18" customForma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spans="1:16" s="18" customForma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spans="1:16" s="18" customForma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spans="1:16" s="18" customForma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s="18" customForma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spans="1:16" s="18" customForma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spans="1:16" s="18" customForma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spans="1:16" s="18" customForma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spans="1:16" s="18" customForma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spans="1:16" s="18" customForma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spans="1:16" s="18" customForma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spans="1:16" s="18" customForma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 spans="1:16" s="18" customForma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 spans="1:16" s="18" customForma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 spans="1:16" s="18" customForma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 spans="1:16" s="18" customForma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spans="1:16" s="18" customForma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spans="1:16" s="18" customForma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 spans="1:16" s="18" customForma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 spans="1:16" s="18" customForma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 spans="1:16" s="18" customForma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 spans="1:16" s="18" customForma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 spans="1:16" s="18" customForma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16" s="18" customForma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spans="1:16" s="18" customForma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6" s="18" customForma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spans="1:16" s="18" customForma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6" s="18" customForma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6" s="18" customForma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6" s="18" customForma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6" s="18" customForma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6" s="18" customForma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6" s="18" customForma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6" s="18" customForma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6" s="18" customForma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spans="1:16" s="18" customForma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spans="1:16" s="18" customForma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spans="1:16" s="18" customForma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spans="1:16" s="18" customForma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spans="1:16" s="18" customForma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spans="1:16" s="18" customForma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spans="1:16" s="18" customForma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spans="1:16" s="18" customForma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spans="1:16" s="18" customForma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spans="1:16" s="18" customForma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spans="1:16" s="18" customForma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spans="1:16" s="18" customForma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spans="1:16" s="18" customForma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6" s="18" customForma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6" s="18" customForma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6" s="18" customForma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6" s="18" customForma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6" s="18" customForma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s="18" customForma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s="18" customForma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s="18" customForma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s="18" customForma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s="18" customForma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s="18" customForma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s="18" customForma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s="18" customForma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s="18" customForma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spans="1:16" s="18" customForma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spans="1:16" s="18" customForma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s="18" customForma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spans="1:16" s="18" customForma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spans="1:16" s="18" customForma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spans="1:16" s="18" customForma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spans="1:16" s="18" customForma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spans="1:16" s="18" customForma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spans="1:16" s="18" customForma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spans="1:16" s="18" customForma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spans="1:16" s="18" customForma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spans="1:16" s="18" customForma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s="18" customForma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spans="1:16" s="18" customForma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spans="1:16" s="18" customForma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spans="1:16" s="18" customForma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 s="18" customForma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</sheetData>
  <autoFilter ref="A3:M37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C8B9-E6F7-4B99-BE9C-5034BEB55AE0}">
  <dimension ref="A1:P831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6" style="6" bestFit="1" customWidth="1"/>
    <col min="2" max="2" width="8.73046875" style="6" bestFit="1" customWidth="1"/>
    <col min="3" max="3" width="17.9296875" style="6" bestFit="1" customWidth="1"/>
    <col min="4" max="4" width="12" style="6" bestFit="1" customWidth="1"/>
    <col min="5" max="5" width="13.59765625" style="10" bestFit="1" customWidth="1"/>
    <col min="6" max="6" width="12" style="11" bestFit="1" customWidth="1"/>
    <col min="7" max="7" width="12" style="10" bestFit="1" customWidth="1"/>
    <col min="8" max="8" width="10.33203125" style="12" bestFit="1" customWidth="1"/>
    <col min="9" max="10" width="8.73046875" style="6" customWidth="1"/>
    <col min="11" max="11" width="10.33203125" style="6" bestFit="1" customWidth="1"/>
    <col min="12" max="12" width="10.33203125" style="10" bestFit="1" customWidth="1"/>
    <col min="13" max="13" width="13.5976562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43890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43862</v>
      </c>
      <c r="J4" s="19">
        <v>43890</v>
      </c>
      <c r="K4" s="3">
        <f>J4-I4+1</f>
        <v>29</v>
      </c>
      <c r="L4" s="3">
        <f>ROUND(G4*H4*K4/366,0)</f>
        <v>64378</v>
      </c>
      <c r="M4" s="3">
        <v>162500000</v>
      </c>
    </row>
    <row r="5" spans="1:13" s="18" customFormat="1" ht="13.5" outlineLevel="1">
      <c r="A5" s="22" t="s">
        <v>19</v>
      </c>
      <c r="B5" s="23"/>
      <c r="C5" s="24"/>
      <c r="D5" s="23"/>
      <c r="E5" s="25">
        <f>SUBTOTAL(9,E4:E4)</f>
        <v>162500000</v>
      </c>
      <c r="F5" s="26"/>
      <c r="G5" s="25"/>
      <c r="H5" s="27"/>
      <c r="I5" s="26"/>
      <c r="J5" s="26"/>
      <c r="K5" s="25"/>
      <c r="L5" s="25">
        <f>SUBTOTAL(9,L4:L4)</f>
        <v>64378</v>
      </c>
      <c r="M5" s="25">
        <f>SUBTOTAL(9,M4:M4)</f>
        <v>162500000</v>
      </c>
    </row>
    <row r="6" spans="1:13" s="18" customFormat="1" outlineLevel="2">
      <c r="A6" s="19" t="s">
        <v>20</v>
      </c>
      <c r="B6" s="20" t="s">
        <v>16</v>
      </c>
      <c r="C6" s="21" t="s">
        <v>21</v>
      </c>
      <c r="D6" s="20" t="s">
        <v>22</v>
      </c>
      <c r="E6" s="3">
        <v>69000000</v>
      </c>
      <c r="F6" s="19">
        <v>43822</v>
      </c>
      <c r="G6" s="3">
        <v>69000000</v>
      </c>
      <c r="H6" s="2">
        <v>5.0000000000000001E-3</v>
      </c>
      <c r="I6" s="19">
        <v>43862</v>
      </c>
      <c r="J6" s="19">
        <v>43890</v>
      </c>
      <c r="K6" s="3">
        <f>J6-I6+1</f>
        <v>29</v>
      </c>
      <c r="L6" s="3">
        <f>ROUND(G6*H6*K6/366,0)</f>
        <v>27336</v>
      </c>
      <c r="M6" s="3">
        <v>69000000</v>
      </c>
    </row>
    <row r="7" spans="1:13" s="18" customFormat="1" outlineLevel="2">
      <c r="A7" s="19" t="s">
        <v>20</v>
      </c>
      <c r="B7" s="20" t="s">
        <v>23</v>
      </c>
      <c r="C7" s="21" t="s">
        <v>24</v>
      </c>
      <c r="D7" s="20" t="s">
        <v>18</v>
      </c>
      <c r="E7" s="3">
        <v>162300000</v>
      </c>
      <c r="F7" s="19">
        <v>43829</v>
      </c>
      <c r="G7" s="3">
        <v>159595000</v>
      </c>
      <c r="H7" s="2">
        <v>5.0000000000000001E-3</v>
      </c>
      <c r="I7" s="19">
        <v>43862</v>
      </c>
      <c r="J7" s="19">
        <v>43875</v>
      </c>
      <c r="K7" s="3">
        <f>J7-I7+1</f>
        <v>14</v>
      </c>
      <c r="L7" s="3">
        <f>ROUND(G7*H7*K7/366,0)</f>
        <v>30524</v>
      </c>
      <c r="M7" s="3">
        <v>156890000</v>
      </c>
    </row>
    <row r="8" spans="1:13" s="18" customFormat="1" outlineLevel="2">
      <c r="A8" s="19" t="s">
        <v>20</v>
      </c>
      <c r="B8" s="20" t="s">
        <v>23</v>
      </c>
      <c r="C8" s="21" t="s">
        <v>24</v>
      </c>
      <c r="D8" s="20"/>
      <c r="E8" s="3"/>
      <c r="F8" s="19"/>
      <c r="G8" s="3">
        <v>156890000</v>
      </c>
      <c r="H8" s="2">
        <v>5.0000000000000001E-3</v>
      </c>
      <c r="I8" s="19">
        <v>43876</v>
      </c>
      <c r="J8" s="19">
        <v>43890</v>
      </c>
      <c r="K8" s="3">
        <f>J8-I8+1</f>
        <v>15</v>
      </c>
      <c r="L8" s="3">
        <f>ROUND(G8*H8*K8/366,0)</f>
        <v>32150</v>
      </c>
      <c r="M8" s="3"/>
    </row>
    <row r="9" spans="1:13" s="18" customFormat="1" ht="13.5" outlineLevel="1">
      <c r="A9" s="22" t="s">
        <v>25</v>
      </c>
      <c r="B9" s="23"/>
      <c r="C9" s="24"/>
      <c r="D9" s="23"/>
      <c r="E9" s="25">
        <f>SUBTOTAL(9,E6:E8)</f>
        <v>231300000</v>
      </c>
      <c r="F9" s="26"/>
      <c r="G9" s="25"/>
      <c r="H9" s="27"/>
      <c r="I9" s="26"/>
      <c r="J9" s="26"/>
      <c r="K9" s="25"/>
      <c r="L9" s="25">
        <f>SUBTOTAL(9,L6:L8)</f>
        <v>90010</v>
      </c>
      <c r="M9" s="25">
        <f>SUBTOTAL(9,M6:M8)</f>
        <v>225890000</v>
      </c>
    </row>
    <row r="10" spans="1:13" s="18" customFormat="1" outlineLevel="2">
      <c r="A10" s="19" t="s">
        <v>26</v>
      </c>
      <c r="B10" s="20" t="s">
        <v>16</v>
      </c>
      <c r="C10" s="21" t="s">
        <v>27</v>
      </c>
      <c r="D10" s="20" t="s">
        <v>28</v>
      </c>
      <c r="E10" s="3">
        <v>38000000</v>
      </c>
      <c r="F10" s="19">
        <v>43762</v>
      </c>
      <c r="G10" s="3">
        <v>38000000</v>
      </c>
      <c r="H10" s="2">
        <v>5.0000000000000001E-3</v>
      </c>
      <c r="I10" s="19">
        <v>43862</v>
      </c>
      <c r="J10" s="19">
        <v>43890</v>
      </c>
      <c r="K10" s="3">
        <f t="shared" ref="K10:K16" si="0">J10-I10+1</f>
        <v>29</v>
      </c>
      <c r="L10" s="3">
        <f t="shared" ref="L10:L16" si="1">ROUND(G10*H10*K10/366,0)</f>
        <v>15055</v>
      </c>
      <c r="M10" s="3">
        <v>38000000</v>
      </c>
    </row>
    <row r="11" spans="1:13" s="18" customFormat="1" outlineLevel="2">
      <c r="A11" s="19" t="s">
        <v>26</v>
      </c>
      <c r="B11" s="20" t="s">
        <v>23</v>
      </c>
      <c r="C11" s="21" t="s">
        <v>27</v>
      </c>
      <c r="D11" s="20" t="s">
        <v>28</v>
      </c>
      <c r="E11" s="3">
        <v>57000000</v>
      </c>
      <c r="F11" s="19">
        <v>43822</v>
      </c>
      <c r="G11" s="3">
        <v>57000000</v>
      </c>
      <c r="H11" s="2">
        <v>5.0000000000000001E-3</v>
      </c>
      <c r="I11" s="19">
        <v>43862</v>
      </c>
      <c r="J11" s="19">
        <v>43890</v>
      </c>
      <c r="K11" s="3">
        <f t="shared" si="0"/>
        <v>29</v>
      </c>
      <c r="L11" s="3">
        <f t="shared" si="1"/>
        <v>22582</v>
      </c>
      <c r="M11" s="3">
        <v>57000000</v>
      </c>
    </row>
    <row r="12" spans="1:13" s="18" customFormat="1" outlineLevel="2">
      <c r="A12" s="19" t="s">
        <v>26</v>
      </c>
      <c r="B12" s="20" t="s">
        <v>29</v>
      </c>
      <c r="C12" s="21" t="s">
        <v>21</v>
      </c>
      <c r="D12" s="20" t="s">
        <v>22</v>
      </c>
      <c r="E12" s="3">
        <v>171000000</v>
      </c>
      <c r="F12" s="19">
        <v>43822</v>
      </c>
      <c r="G12" s="3">
        <v>171000000</v>
      </c>
      <c r="H12" s="2">
        <v>5.0000000000000001E-3</v>
      </c>
      <c r="I12" s="19">
        <v>43862</v>
      </c>
      <c r="J12" s="19">
        <v>43890</v>
      </c>
      <c r="K12" s="3">
        <f t="shared" si="0"/>
        <v>29</v>
      </c>
      <c r="L12" s="3">
        <f t="shared" si="1"/>
        <v>67746</v>
      </c>
      <c r="M12" s="3">
        <v>171000000</v>
      </c>
    </row>
    <row r="13" spans="1:13" s="18" customFormat="1" outlineLevel="2">
      <c r="A13" s="19" t="s">
        <v>26</v>
      </c>
      <c r="B13" s="20" t="s">
        <v>30</v>
      </c>
      <c r="C13" s="21" t="s">
        <v>27</v>
      </c>
      <c r="D13" s="20" t="s">
        <v>28</v>
      </c>
      <c r="E13" s="3">
        <v>38000000</v>
      </c>
      <c r="F13" s="19">
        <v>43850</v>
      </c>
      <c r="G13" s="3">
        <v>38000000</v>
      </c>
      <c r="H13" s="2">
        <v>5.0000000000000001E-3</v>
      </c>
      <c r="I13" s="19">
        <v>43862</v>
      </c>
      <c r="J13" s="19">
        <v>43890</v>
      </c>
      <c r="K13" s="3">
        <f t="shared" si="0"/>
        <v>29</v>
      </c>
      <c r="L13" s="3">
        <f t="shared" si="1"/>
        <v>15055</v>
      </c>
      <c r="M13" s="3">
        <v>38000000</v>
      </c>
    </row>
    <row r="14" spans="1:13" s="18" customFormat="1" outlineLevel="2">
      <c r="A14" s="19" t="s">
        <v>26</v>
      </c>
      <c r="B14" s="20" t="s">
        <v>31</v>
      </c>
      <c r="C14" s="21" t="s">
        <v>27</v>
      </c>
      <c r="D14" s="20" t="s">
        <v>28</v>
      </c>
      <c r="E14" s="3">
        <v>10000000</v>
      </c>
      <c r="F14" s="19">
        <v>43850</v>
      </c>
      <c r="G14" s="3">
        <v>10000000</v>
      </c>
      <c r="H14" s="2">
        <v>5.0000000000000001E-3</v>
      </c>
      <c r="I14" s="19">
        <v>43862</v>
      </c>
      <c r="J14" s="19">
        <v>43890</v>
      </c>
      <c r="K14" s="3">
        <f t="shared" si="0"/>
        <v>29</v>
      </c>
      <c r="L14" s="3">
        <f t="shared" si="1"/>
        <v>3962</v>
      </c>
      <c r="M14" s="3">
        <v>10000000</v>
      </c>
    </row>
    <row r="15" spans="1:13" s="18" customFormat="1" outlineLevel="2">
      <c r="A15" s="19" t="s">
        <v>26</v>
      </c>
      <c r="B15" s="20" t="s">
        <v>32</v>
      </c>
      <c r="C15" s="21" t="s">
        <v>33</v>
      </c>
      <c r="D15" s="20" t="s">
        <v>34</v>
      </c>
      <c r="E15" s="3">
        <v>96176976</v>
      </c>
      <c r="F15" s="19">
        <v>43861</v>
      </c>
      <c r="G15" s="3">
        <v>96176976</v>
      </c>
      <c r="H15" s="2">
        <v>5.0000000000000001E-3</v>
      </c>
      <c r="I15" s="19">
        <v>43862</v>
      </c>
      <c r="J15" s="19">
        <v>43890</v>
      </c>
      <c r="K15" s="3">
        <f t="shared" si="0"/>
        <v>29</v>
      </c>
      <c r="L15" s="3">
        <f t="shared" si="1"/>
        <v>38103</v>
      </c>
      <c r="M15" s="3">
        <v>96176976</v>
      </c>
    </row>
    <row r="16" spans="1:13" s="18" customFormat="1" outlineLevel="2">
      <c r="A16" s="19" t="s">
        <v>26</v>
      </c>
      <c r="B16" s="20" t="s">
        <v>48</v>
      </c>
      <c r="C16" s="21" t="s">
        <v>27</v>
      </c>
      <c r="D16" s="20" t="s">
        <v>28</v>
      </c>
      <c r="E16" s="3">
        <v>1800000</v>
      </c>
      <c r="F16" s="19">
        <v>43876</v>
      </c>
      <c r="G16" s="3">
        <v>1800000</v>
      </c>
      <c r="H16" s="2">
        <v>5.0000000000000001E-3</v>
      </c>
      <c r="I16" s="19">
        <v>43876</v>
      </c>
      <c r="J16" s="19">
        <v>43890</v>
      </c>
      <c r="K16" s="3">
        <f t="shared" si="0"/>
        <v>15</v>
      </c>
      <c r="L16" s="3">
        <f t="shared" si="1"/>
        <v>369</v>
      </c>
      <c r="M16" s="3">
        <v>1800000</v>
      </c>
    </row>
    <row r="17" spans="1:13" s="18" customFormat="1" ht="13.5" outlineLevel="1">
      <c r="A17" s="22" t="s">
        <v>35</v>
      </c>
      <c r="B17" s="23"/>
      <c r="C17" s="24"/>
      <c r="D17" s="23"/>
      <c r="E17" s="25">
        <f>SUBTOTAL(9,E10:E16)</f>
        <v>411976976</v>
      </c>
      <c r="F17" s="26"/>
      <c r="G17" s="25"/>
      <c r="H17" s="27"/>
      <c r="I17" s="26"/>
      <c r="J17" s="26"/>
      <c r="K17" s="25"/>
      <c r="L17" s="25">
        <f>SUBTOTAL(9,L10:L16)</f>
        <v>162872</v>
      </c>
      <c r="M17" s="25">
        <f>SUBTOTAL(9,M10:M16)</f>
        <v>411976976</v>
      </c>
    </row>
    <row r="18" spans="1:13" s="18" customFormat="1" outlineLevel="2">
      <c r="A18" s="19" t="s">
        <v>36</v>
      </c>
      <c r="B18" s="20" t="s">
        <v>16</v>
      </c>
      <c r="C18" s="21" t="s">
        <v>17</v>
      </c>
      <c r="D18" s="20" t="s">
        <v>18</v>
      </c>
      <c r="E18" s="3">
        <v>150000000</v>
      </c>
      <c r="F18" s="19">
        <v>43829</v>
      </c>
      <c r="G18" s="3">
        <v>147500000</v>
      </c>
      <c r="H18" s="2">
        <v>5.0000000000000001E-3</v>
      </c>
      <c r="I18" s="19">
        <v>43862</v>
      </c>
      <c r="J18" s="19">
        <v>43875</v>
      </c>
      <c r="K18" s="3">
        <f>J18-I18+1</f>
        <v>14</v>
      </c>
      <c r="L18" s="3">
        <f>ROUND(G18*H18*K18/366,0)</f>
        <v>28210</v>
      </c>
      <c r="M18" s="3">
        <v>145000000</v>
      </c>
    </row>
    <row r="19" spans="1:13" s="18" customFormat="1" outlineLevel="2">
      <c r="A19" s="19" t="s">
        <v>36</v>
      </c>
      <c r="B19" s="20" t="s">
        <v>16</v>
      </c>
      <c r="C19" s="21" t="s">
        <v>17</v>
      </c>
      <c r="D19" s="20"/>
      <c r="E19" s="3"/>
      <c r="F19" s="19"/>
      <c r="G19" s="3">
        <v>145000000</v>
      </c>
      <c r="H19" s="2">
        <v>5.0000000000000001E-3</v>
      </c>
      <c r="I19" s="19">
        <v>43876</v>
      </c>
      <c r="J19" s="19">
        <v>43890</v>
      </c>
      <c r="K19" s="3">
        <f>J19-I19+1</f>
        <v>15</v>
      </c>
      <c r="L19" s="3">
        <f>ROUND(G19*H19*K19/366,0)</f>
        <v>29713</v>
      </c>
      <c r="M19" s="3"/>
    </row>
    <row r="20" spans="1:13" s="18" customFormat="1" outlineLevel="2">
      <c r="A20" s="19" t="s">
        <v>36</v>
      </c>
      <c r="B20" s="20" t="s">
        <v>23</v>
      </c>
      <c r="C20" s="21" t="s">
        <v>17</v>
      </c>
      <c r="D20" s="20" t="s">
        <v>18</v>
      </c>
      <c r="E20" s="3">
        <v>32900000</v>
      </c>
      <c r="F20" s="19">
        <v>43829</v>
      </c>
      <c r="G20" s="3">
        <v>32351667</v>
      </c>
      <c r="H20" s="2">
        <v>5.0000000000000001E-3</v>
      </c>
      <c r="I20" s="19">
        <v>43862</v>
      </c>
      <c r="J20" s="19">
        <v>43875</v>
      </c>
      <c r="K20" s="3">
        <f>J20-I20+1</f>
        <v>14</v>
      </c>
      <c r="L20" s="3">
        <f>ROUND(G20*H20*K20/366,0)</f>
        <v>6187</v>
      </c>
      <c r="M20" s="3">
        <v>31803334</v>
      </c>
    </row>
    <row r="21" spans="1:13" s="18" customFormat="1" outlineLevel="2">
      <c r="A21" s="19" t="s">
        <v>36</v>
      </c>
      <c r="B21" s="20" t="s">
        <v>23</v>
      </c>
      <c r="C21" s="21" t="s">
        <v>17</v>
      </c>
      <c r="D21" s="20"/>
      <c r="E21" s="3"/>
      <c r="F21" s="19"/>
      <c r="G21" s="3">
        <v>31803334</v>
      </c>
      <c r="H21" s="2">
        <v>5.0000000000000001E-3</v>
      </c>
      <c r="I21" s="19">
        <v>43876</v>
      </c>
      <c r="J21" s="19">
        <v>43890</v>
      </c>
      <c r="K21" s="3">
        <f>J21-I21+1</f>
        <v>15</v>
      </c>
      <c r="L21" s="3">
        <f>ROUND(G21*H21*K21/366,0)</f>
        <v>6517</v>
      </c>
      <c r="M21" s="3"/>
    </row>
    <row r="22" spans="1:13" s="18" customFormat="1" ht="13.5" outlineLevel="1">
      <c r="A22" s="22" t="s">
        <v>37</v>
      </c>
      <c r="B22" s="23"/>
      <c r="C22" s="24"/>
      <c r="D22" s="23"/>
      <c r="E22" s="25">
        <f>SUBTOTAL(9,E18:E21)</f>
        <v>182900000</v>
      </c>
      <c r="F22" s="26"/>
      <c r="G22" s="25"/>
      <c r="H22" s="27"/>
      <c r="I22" s="26"/>
      <c r="J22" s="26"/>
      <c r="K22" s="25"/>
      <c r="L22" s="25">
        <f>SUBTOTAL(9,L18:L21)</f>
        <v>70627</v>
      </c>
      <c r="M22" s="25">
        <f>SUBTOTAL(9,M18:M21)</f>
        <v>176803334</v>
      </c>
    </row>
    <row r="23" spans="1:13" s="18" customFormat="1" outlineLevel="2">
      <c r="A23" s="19" t="s">
        <v>38</v>
      </c>
      <c r="B23" s="20" t="s">
        <v>16</v>
      </c>
      <c r="C23" s="21" t="s">
        <v>17</v>
      </c>
      <c r="D23" s="20" t="s">
        <v>18</v>
      </c>
      <c r="E23" s="3">
        <v>50000000</v>
      </c>
      <c r="F23" s="19">
        <v>43829</v>
      </c>
      <c r="G23" s="3">
        <v>49166666</v>
      </c>
      <c r="H23" s="2">
        <v>5.0000000000000001E-3</v>
      </c>
      <c r="I23" s="19">
        <v>43862</v>
      </c>
      <c r="J23" s="19">
        <v>43875</v>
      </c>
      <c r="K23" s="3">
        <f>J23-I23+1</f>
        <v>14</v>
      </c>
      <c r="L23" s="3">
        <f>ROUND(G23*H23*K23/366,0)</f>
        <v>9403</v>
      </c>
      <c r="M23" s="3">
        <v>48333332</v>
      </c>
    </row>
    <row r="24" spans="1:13" s="18" customFormat="1" outlineLevel="2">
      <c r="A24" s="19" t="s">
        <v>38</v>
      </c>
      <c r="B24" s="20" t="s">
        <v>16</v>
      </c>
      <c r="C24" s="21" t="s">
        <v>17</v>
      </c>
      <c r="D24" s="20"/>
      <c r="E24" s="3"/>
      <c r="F24" s="19"/>
      <c r="G24" s="3">
        <v>48333332</v>
      </c>
      <c r="H24" s="2">
        <v>5.0000000000000001E-3</v>
      </c>
      <c r="I24" s="19">
        <v>43876</v>
      </c>
      <c r="J24" s="19">
        <v>43890</v>
      </c>
      <c r="K24" s="3">
        <f>J24-I24+1</f>
        <v>15</v>
      </c>
      <c r="L24" s="3">
        <f>ROUND(G24*H24*K24/366,0)</f>
        <v>9904</v>
      </c>
      <c r="M24" s="3"/>
    </row>
    <row r="25" spans="1:13" s="18" customFormat="1" outlineLevel="2">
      <c r="A25" s="19" t="s">
        <v>38</v>
      </c>
      <c r="B25" s="20" t="s">
        <v>23</v>
      </c>
      <c r="C25" s="21" t="s">
        <v>17</v>
      </c>
      <c r="D25" s="20" t="s">
        <v>18</v>
      </c>
      <c r="E25" s="3">
        <v>25200000</v>
      </c>
      <c r="F25" s="19">
        <v>43829</v>
      </c>
      <c r="G25" s="3">
        <v>24780000</v>
      </c>
      <c r="H25" s="2">
        <v>5.0000000000000001E-3</v>
      </c>
      <c r="I25" s="19">
        <v>43862</v>
      </c>
      <c r="J25" s="19">
        <v>43875</v>
      </c>
      <c r="K25" s="3">
        <f>J25-I25+1</f>
        <v>14</v>
      </c>
      <c r="L25" s="3">
        <f>ROUND(G25*H25*K25/366,0)</f>
        <v>4739</v>
      </c>
      <c r="M25" s="3">
        <v>24360000</v>
      </c>
    </row>
    <row r="26" spans="1:13" s="18" customFormat="1" outlineLevel="2">
      <c r="A26" s="19" t="s">
        <v>38</v>
      </c>
      <c r="B26" s="20" t="s">
        <v>23</v>
      </c>
      <c r="C26" s="21" t="s">
        <v>17</v>
      </c>
      <c r="D26" s="20"/>
      <c r="E26" s="3"/>
      <c r="F26" s="19"/>
      <c r="G26" s="3">
        <v>24360000</v>
      </c>
      <c r="H26" s="2">
        <v>5.0000000000000001E-3</v>
      </c>
      <c r="I26" s="19">
        <v>43876</v>
      </c>
      <c r="J26" s="19">
        <v>43890</v>
      </c>
      <c r="K26" s="3">
        <f>J26-I26+1</f>
        <v>15</v>
      </c>
      <c r="L26" s="3">
        <f>ROUND(G26*H26*K26/366,0)</f>
        <v>4992</v>
      </c>
      <c r="M26" s="3"/>
    </row>
    <row r="27" spans="1:13" s="18" customFormat="1" ht="13.5" outlineLevel="1">
      <c r="A27" s="22" t="s">
        <v>39</v>
      </c>
      <c r="B27" s="23"/>
      <c r="C27" s="24"/>
      <c r="D27" s="23"/>
      <c r="E27" s="25">
        <f>SUBTOTAL(9,E23:E26)</f>
        <v>75200000</v>
      </c>
      <c r="F27" s="26"/>
      <c r="G27" s="25"/>
      <c r="H27" s="27"/>
      <c r="I27" s="26"/>
      <c r="J27" s="26"/>
      <c r="K27" s="25"/>
      <c r="L27" s="25">
        <f>SUBTOTAL(9,L23:L26)</f>
        <v>29038</v>
      </c>
      <c r="M27" s="25">
        <f>SUBTOTAL(9,M23:M26)</f>
        <v>72693332</v>
      </c>
    </row>
    <row r="28" spans="1:13" s="18" customFormat="1" outlineLevel="2">
      <c r="A28" s="19" t="s">
        <v>40</v>
      </c>
      <c r="B28" s="20" t="s">
        <v>16</v>
      </c>
      <c r="C28" s="21" t="s">
        <v>41</v>
      </c>
      <c r="D28" s="20" t="s">
        <v>42</v>
      </c>
      <c r="E28" s="3">
        <v>126000000</v>
      </c>
      <c r="F28" s="19">
        <v>43804</v>
      </c>
      <c r="G28" s="3">
        <v>126000000</v>
      </c>
      <c r="H28" s="2">
        <v>5.0000000000000001E-3</v>
      </c>
      <c r="I28" s="19">
        <v>43862</v>
      </c>
      <c r="J28" s="19">
        <v>43890</v>
      </c>
      <c r="K28" s="3">
        <f t="shared" ref="K28:K38" si="2">J28-I28+1</f>
        <v>29</v>
      </c>
      <c r="L28" s="3">
        <f t="shared" ref="L28:L38" si="3">ROUND(G28*H28*K28/366,0)</f>
        <v>49918</v>
      </c>
      <c r="M28" s="3">
        <v>126000000</v>
      </c>
    </row>
    <row r="29" spans="1:13" s="18" customFormat="1" outlineLevel="2">
      <c r="A29" s="19" t="s">
        <v>40</v>
      </c>
      <c r="B29" s="20" t="s">
        <v>61</v>
      </c>
      <c r="C29" s="21" t="s">
        <v>47</v>
      </c>
      <c r="D29" s="20" t="s">
        <v>42</v>
      </c>
      <c r="E29" s="3">
        <v>46600000</v>
      </c>
      <c r="F29" s="19">
        <v>43866</v>
      </c>
      <c r="G29" s="3">
        <v>46600000</v>
      </c>
      <c r="H29" s="2">
        <v>5.0000000000000001E-3</v>
      </c>
      <c r="I29" s="19">
        <v>43866</v>
      </c>
      <c r="J29" s="19">
        <v>43890</v>
      </c>
      <c r="K29" s="3">
        <f t="shared" si="2"/>
        <v>25</v>
      </c>
      <c r="L29" s="3">
        <f t="shared" si="3"/>
        <v>15915</v>
      </c>
      <c r="M29" s="3">
        <v>46600000</v>
      </c>
    </row>
    <row r="30" spans="1:13" s="18" customFormat="1" outlineLevel="2">
      <c r="A30" s="19" t="s">
        <v>40</v>
      </c>
      <c r="B30" s="20" t="s">
        <v>60</v>
      </c>
      <c r="C30" s="21" t="s">
        <v>47</v>
      </c>
      <c r="D30" s="20" t="s">
        <v>42</v>
      </c>
      <c r="E30" s="3">
        <v>1300000</v>
      </c>
      <c r="F30" s="19">
        <v>43866</v>
      </c>
      <c r="G30" s="3">
        <v>1300000</v>
      </c>
      <c r="H30" s="2">
        <v>5.0000000000000001E-3</v>
      </c>
      <c r="I30" s="19">
        <v>43866</v>
      </c>
      <c r="J30" s="19">
        <v>43890</v>
      </c>
      <c r="K30" s="3">
        <f t="shared" si="2"/>
        <v>25</v>
      </c>
      <c r="L30" s="3">
        <f t="shared" si="3"/>
        <v>444</v>
      </c>
      <c r="M30" s="3">
        <v>1300000</v>
      </c>
    </row>
    <row r="31" spans="1:13" s="18" customFormat="1" outlineLevel="2">
      <c r="A31" s="19" t="s">
        <v>40</v>
      </c>
      <c r="B31" s="20" t="s">
        <v>23</v>
      </c>
      <c r="C31" s="21" t="s">
        <v>43</v>
      </c>
      <c r="D31" s="20" t="s">
        <v>44</v>
      </c>
      <c r="E31" s="3">
        <v>5452560</v>
      </c>
      <c r="F31" s="19">
        <v>43810</v>
      </c>
      <c r="G31" s="3">
        <v>5452560</v>
      </c>
      <c r="H31" s="2">
        <v>5.0000000000000001E-3</v>
      </c>
      <c r="I31" s="19">
        <v>43862</v>
      </c>
      <c r="J31" s="19">
        <v>43890</v>
      </c>
      <c r="K31" s="3">
        <f t="shared" si="2"/>
        <v>29</v>
      </c>
      <c r="L31" s="3">
        <f t="shared" si="3"/>
        <v>2160</v>
      </c>
      <c r="M31" s="3">
        <v>5452560</v>
      </c>
    </row>
    <row r="32" spans="1:13" s="18" customFormat="1" outlineLevel="2">
      <c r="A32" s="19" t="s">
        <v>40</v>
      </c>
      <c r="B32" s="20" t="s">
        <v>29</v>
      </c>
      <c r="C32" s="21" t="s">
        <v>45</v>
      </c>
      <c r="D32" s="20" t="s">
        <v>46</v>
      </c>
      <c r="E32" s="3">
        <v>220000000</v>
      </c>
      <c r="F32" s="19">
        <v>43815</v>
      </c>
      <c r="G32" s="3">
        <v>220000000</v>
      </c>
      <c r="H32" s="2">
        <v>5.0000000000000001E-3</v>
      </c>
      <c r="I32" s="19">
        <v>43862</v>
      </c>
      <c r="J32" s="19">
        <v>43890</v>
      </c>
      <c r="K32" s="3">
        <f t="shared" si="2"/>
        <v>29</v>
      </c>
      <c r="L32" s="3">
        <f t="shared" si="3"/>
        <v>87158</v>
      </c>
      <c r="M32" s="3">
        <v>220000000</v>
      </c>
    </row>
    <row r="33" spans="1:16" s="18" customFormat="1" outlineLevel="2">
      <c r="A33" s="19" t="s">
        <v>40</v>
      </c>
      <c r="B33" s="20" t="s">
        <v>30</v>
      </c>
      <c r="C33" s="21" t="s">
        <v>43</v>
      </c>
      <c r="D33" s="20" t="s">
        <v>44</v>
      </c>
      <c r="E33" s="3">
        <v>5452560</v>
      </c>
      <c r="F33" s="19">
        <v>43838</v>
      </c>
      <c r="G33" s="3">
        <v>5452560</v>
      </c>
      <c r="H33" s="2">
        <v>5.0000000000000001E-3</v>
      </c>
      <c r="I33" s="19">
        <v>43862</v>
      </c>
      <c r="J33" s="19">
        <v>43890</v>
      </c>
      <c r="K33" s="3">
        <f t="shared" si="2"/>
        <v>29</v>
      </c>
      <c r="L33" s="3">
        <f t="shared" si="3"/>
        <v>2160</v>
      </c>
      <c r="M33" s="3">
        <v>5452560</v>
      </c>
    </row>
    <row r="34" spans="1:16" s="18" customFormat="1" outlineLevel="2">
      <c r="A34" s="19" t="s">
        <v>40</v>
      </c>
      <c r="B34" s="20" t="s">
        <v>31</v>
      </c>
      <c r="C34" s="21" t="s">
        <v>43</v>
      </c>
      <c r="D34" s="20" t="s">
        <v>44</v>
      </c>
      <c r="E34" s="3">
        <v>5452560</v>
      </c>
      <c r="F34" s="19">
        <v>43838</v>
      </c>
      <c r="G34" s="3">
        <v>5452560</v>
      </c>
      <c r="H34" s="2">
        <v>5.0000000000000001E-3</v>
      </c>
      <c r="I34" s="19">
        <v>43862</v>
      </c>
      <c r="J34" s="19">
        <v>43890</v>
      </c>
      <c r="K34" s="3">
        <f t="shared" si="2"/>
        <v>29</v>
      </c>
      <c r="L34" s="3">
        <f t="shared" si="3"/>
        <v>2160</v>
      </c>
      <c r="M34" s="3">
        <v>5452560</v>
      </c>
    </row>
    <row r="35" spans="1:16" s="18" customFormat="1" outlineLevel="2">
      <c r="A35" s="19" t="s">
        <v>40</v>
      </c>
      <c r="B35" s="20" t="s">
        <v>32</v>
      </c>
      <c r="C35" s="21" t="s">
        <v>47</v>
      </c>
      <c r="D35" s="20" t="s">
        <v>42</v>
      </c>
      <c r="E35" s="3">
        <v>55600000</v>
      </c>
      <c r="F35" s="19">
        <v>43833</v>
      </c>
      <c r="G35" s="3">
        <v>55600000</v>
      </c>
      <c r="H35" s="2">
        <v>5.0000000000000001E-3</v>
      </c>
      <c r="I35" s="19">
        <v>43862</v>
      </c>
      <c r="J35" s="19">
        <v>43890</v>
      </c>
      <c r="K35" s="3">
        <f t="shared" si="2"/>
        <v>29</v>
      </c>
      <c r="L35" s="3">
        <f t="shared" si="3"/>
        <v>22027</v>
      </c>
      <c r="M35" s="3">
        <v>55600000</v>
      </c>
    </row>
    <row r="36" spans="1:16" s="18" customFormat="1" outlineLevel="2">
      <c r="A36" s="19" t="s">
        <v>40</v>
      </c>
      <c r="B36" s="20" t="s">
        <v>48</v>
      </c>
      <c r="C36" s="21" t="s">
        <v>47</v>
      </c>
      <c r="D36" s="20" t="s">
        <v>42</v>
      </c>
      <c r="E36" s="3">
        <v>28400000</v>
      </c>
      <c r="F36" s="19">
        <v>43833</v>
      </c>
      <c r="G36" s="3">
        <v>28400000</v>
      </c>
      <c r="H36" s="2">
        <v>5.0000000000000001E-3</v>
      </c>
      <c r="I36" s="19">
        <v>43862</v>
      </c>
      <c r="J36" s="19">
        <v>43890</v>
      </c>
      <c r="K36" s="3">
        <f t="shared" si="2"/>
        <v>29</v>
      </c>
      <c r="L36" s="3">
        <f t="shared" si="3"/>
        <v>11251</v>
      </c>
      <c r="M36" s="3">
        <v>28400000</v>
      </c>
    </row>
    <row r="37" spans="1:16" s="18" customFormat="1" outlineLevel="2">
      <c r="A37" s="19" t="s">
        <v>40</v>
      </c>
      <c r="B37" s="20" t="s">
        <v>59</v>
      </c>
      <c r="C37" s="21" t="s">
        <v>43</v>
      </c>
      <c r="D37" s="20" t="s">
        <v>44</v>
      </c>
      <c r="E37" s="3">
        <v>5452560</v>
      </c>
      <c r="F37" s="19">
        <v>43873</v>
      </c>
      <c r="G37" s="3">
        <v>5452560</v>
      </c>
      <c r="H37" s="2">
        <v>5.0000000000000001E-3</v>
      </c>
      <c r="I37" s="19">
        <v>43873</v>
      </c>
      <c r="J37" s="19">
        <v>43890</v>
      </c>
      <c r="K37" s="3">
        <f t="shared" si="2"/>
        <v>18</v>
      </c>
      <c r="L37" s="3">
        <f t="shared" si="3"/>
        <v>1341</v>
      </c>
      <c r="M37" s="3">
        <v>5452560</v>
      </c>
    </row>
    <row r="38" spans="1:16" s="18" customFormat="1" outlineLevel="2">
      <c r="A38" s="19" t="s">
        <v>40</v>
      </c>
      <c r="B38" s="20" t="s">
        <v>58</v>
      </c>
      <c r="C38" s="21" t="s">
        <v>43</v>
      </c>
      <c r="D38" s="20" t="s">
        <v>44</v>
      </c>
      <c r="E38" s="3">
        <v>7270080</v>
      </c>
      <c r="F38" s="19">
        <v>43873</v>
      </c>
      <c r="G38" s="3">
        <v>7270080</v>
      </c>
      <c r="H38" s="2">
        <v>5.0000000000000001E-3</v>
      </c>
      <c r="I38" s="19">
        <v>43873</v>
      </c>
      <c r="J38" s="19">
        <v>43890</v>
      </c>
      <c r="K38" s="3">
        <f t="shared" si="2"/>
        <v>18</v>
      </c>
      <c r="L38" s="3">
        <f t="shared" si="3"/>
        <v>1788</v>
      </c>
      <c r="M38" s="3">
        <v>7270080</v>
      </c>
    </row>
    <row r="39" spans="1:16" s="18" customFormat="1" ht="13.5" outlineLevel="1">
      <c r="A39" s="22" t="s">
        <v>49</v>
      </c>
      <c r="B39" s="23"/>
      <c r="C39" s="24"/>
      <c r="D39" s="23"/>
      <c r="E39" s="25">
        <f>SUBTOTAL(9,E28:E38)</f>
        <v>506980320</v>
      </c>
      <c r="F39" s="26"/>
      <c r="G39" s="25"/>
      <c r="H39" s="27"/>
      <c r="I39" s="26"/>
      <c r="J39" s="26"/>
      <c r="K39" s="25"/>
      <c r="L39" s="25">
        <f>SUBTOTAL(9,L28:L38)</f>
        <v>196322</v>
      </c>
      <c r="M39" s="25">
        <f>SUBTOTAL(9,M28:M38)</f>
        <v>506980320</v>
      </c>
    </row>
    <row r="40" spans="1:16" s="18" customFormat="1" outlineLevel="2">
      <c r="A40" s="19" t="s">
        <v>50</v>
      </c>
      <c r="B40" s="20" t="s">
        <v>16</v>
      </c>
      <c r="C40" s="21" t="s">
        <v>21</v>
      </c>
      <c r="D40" s="20" t="s">
        <v>22</v>
      </c>
      <c r="E40" s="3">
        <v>190000000</v>
      </c>
      <c r="F40" s="19">
        <v>43797</v>
      </c>
      <c r="G40" s="3">
        <v>190000000</v>
      </c>
      <c r="H40" s="2">
        <v>5.0000000000000001E-3</v>
      </c>
      <c r="I40" s="19">
        <v>43862</v>
      </c>
      <c r="J40" s="19">
        <v>43890</v>
      </c>
      <c r="K40" s="3">
        <f>J40-I40+1</f>
        <v>29</v>
      </c>
      <c r="L40" s="3">
        <f>ROUND(G40*H40*K40/366,0)</f>
        <v>75273</v>
      </c>
      <c r="M40" s="3">
        <v>190000000</v>
      </c>
    </row>
    <row r="41" spans="1:16" s="18" customFormat="1" outlineLevel="2">
      <c r="A41" s="19" t="s">
        <v>50</v>
      </c>
      <c r="B41" s="20" t="s">
        <v>23</v>
      </c>
      <c r="C41" s="21" t="s">
        <v>21</v>
      </c>
      <c r="D41" s="20" t="s">
        <v>22</v>
      </c>
      <c r="E41" s="3">
        <v>37000000</v>
      </c>
      <c r="F41" s="19">
        <v>43829</v>
      </c>
      <c r="G41" s="3">
        <v>37000000</v>
      </c>
      <c r="H41" s="2">
        <v>5.0000000000000001E-3</v>
      </c>
      <c r="I41" s="19">
        <v>43862</v>
      </c>
      <c r="J41" s="19">
        <v>43890</v>
      </c>
      <c r="K41" s="3">
        <f>J41-I41+1</f>
        <v>29</v>
      </c>
      <c r="L41" s="3">
        <f>ROUND(G41*H41*K41/366,0)</f>
        <v>14658</v>
      </c>
      <c r="M41" s="3">
        <v>37000000</v>
      </c>
    </row>
    <row r="42" spans="1:16" s="18" customFormat="1" outlineLevel="2">
      <c r="A42" s="19" t="s">
        <v>50</v>
      </c>
      <c r="B42" s="20" t="s">
        <v>29</v>
      </c>
      <c r="C42" s="21" t="s">
        <v>57</v>
      </c>
      <c r="D42" s="20" t="s">
        <v>56</v>
      </c>
      <c r="E42" s="3">
        <v>17276700</v>
      </c>
      <c r="F42" s="19">
        <v>43878</v>
      </c>
      <c r="G42" s="3">
        <v>17276700</v>
      </c>
      <c r="H42" s="2">
        <v>5.0000000000000001E-3</v>
      </c>
      <c r="I42" s="19">
        <v>43878</v>
      </c>
      <c r="J42" s="19">
        <v>43890</v>
      </c>
      <c r="K42" s="3">
        <f>J42-I42+1</f>
        <v>13</v>
      </c>
      <c r="L42" s="3">
        <f>ROUND(G42*H42*K42/366,0)</f>
        <v>3068</v>
      </c>
      <c r="M42" s="3">
        <v>17276700</v>
      </c>
    </row>
    <row r="43" spans="1:16" s="18" customFormat="1" ht="13.5" outlineLevel="1">
      <c r="A43" s="22" t="s">
        <v>51</v>
      </c>
      <c r="B43" s="23"/>
      <c r="C43" s="24"/>
      <c r="D43" s="23"/>
      <c r="E43" s="25">
        <f>SUBTOTAL(9,E40:E42)</f>
        <v>244276700</v>
      </c>
      <c r="F43" s="26"/>
      <c r="G43" s="25"/>
      <c r="H43" s="27"/>
      <c r="I43" s="26"/>
      <c r="J43" s="26"/>
      <c r="K43" s="25"/>
      <c r="L43" s="25">
        <f>SUBTOTAL(9,L40:L42)</f>
        <v>92999</v>
      </c>
      <c r="M43" s="25">
        <f>SUBTOTAL(9,M40:M42)</f>
        <v>244276700</v>
      </c>
    </row>
    <row r="44" spans="1:16" s="34" customFormat="1" ht="13.5" outlineLevel="1">
      <c r="A44" s="28"/>
      <c r="B44" s="29"/>
      <c r="C44" s="30"/>
      <c r="D44" s="29"/>
      <c r="E44" s="31"/>
      <c r="F44" s="32"/>
      <c r="G44" s="31"/>
      <c r="H44" s="33"/>
      <c r="I44" s="32"/>
      <c r="J44" s="32"/>
      <c r="K44" s="31"/>
      <c r="L44" s="31"/>
      <c r="M44" s="31"/>
    </row>
    <row r="45" spans="1:16" s="18" customFormat="1" ht="13.5">
      <c r="A45" s="26" t="s">
        <v>52</v>
      </c>
      <c r="B45" s="23"/>
      <c r="C45" s="24"/>
      <c r="D45" s="23"/>
      <c r="E45" s="25">
        <f>SUBTOTAL(9,E4:E42)</f>
        <v>1815133996</v>
      </c>
      <c r="F45" s="26"/>
      <c r="G45" s="25"/>
      <c r="H45" s="27"/>
      <c r="I45" s="26"/>
      <c r="J45" s="26"/>
      <c r="K45" s="25"/>
      <c r="L45" s="25">
        <f>SUBTOTAL(9,L4:L42)</f>
        <v>706246</v>
      </c>
      <c r="M45" s="25">
        <f>SUBTOTAL(9,M4:M42)</f>
        <v>1801120662</v>
      </c>
    </row>
    <row r="46" spans="1:16" s="18" customForma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 spans="1:16">
      <c r="A47" s="35" t="s">
        <v>54</v>
      </c>
      <c r="B47" s="35"/>
      <c r="E47" s="36" t="s">
        <v>55</v>
      </c>
      <c r="G47" s="6"/>
      <c r="I47" s="37" t="s">
        <v>53</v>
      </c>
    </row>
    <row r="48" spans="1:16" s="18" customForma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spans="1:16" s="18" customForma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 spans="1:16" s="18" customForma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spans="1:16" s="18" customForma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s="18" customForma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 spans="1:16" s="18" customForma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spans="1:16" s="18" customForma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s="18" customForma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s="18" customForma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s="18" customForma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 spans="1:16" s="18" customForma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s="18" customForma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 spans="1:16" s="18" customForma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spans="1:16" s="18" customForma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s="18" customForma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6" s="18" customForma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spans="1:16" s="18" customForma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</row>
    <row r="65" spans="1:16" s="18" customForma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s="18" customForma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spans="1:16" s="18" customForma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6" s="18" customForma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16" s="18" customForma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s="18" customForma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s="18" customForma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 spans="1:16" s="18" customForma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spans="1:16" s="18" customForma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 spans="1:16" s="18" customForma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s="18" customForma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 spans="1:16" s="18" customForma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</row>
    <row r="77" spans="1:16" s="18" customForma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6" s="18" customForma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s="18" customForma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0" spans="1:16" s="18" customForma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16" s="18" customForma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s="18" customForma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 spans="1:16" s="18" customForma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spans="1:16" s="18" customForma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16" s="18" customForma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 s="18" customForma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1:16" s="18" customForma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6" s="18" customForma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16" s="18" customForma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s="18" customForma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spans="1:16" s="18" customForma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  <row r="92" spans="1:16" s="18" customForma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s="18" customForma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 spans="1:16" s="18" customForma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 spans="1:16" s="18" customForma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spans="1:16" s="18" customForma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s="18" customForma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spans="1:16" s="18" customForma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s="18" customForma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 s="18" customForma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spans="1:16" s="18" customForma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spans="1:16" s="18" customForma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spans="1:16" s="18" customForma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s="18" customForma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s="18" customForma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spans="1:16" s="18" customForma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6" s="18" customForma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6" s="18" customForma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 spans="1:16" s="18" customForma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spans="1:16" s="18" customForma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6" s="18" customForma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6" s="18" customForma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spans="1:16" s="18" customForma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 spans="1:16" s="18" customForma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</row>
    <row r="115" spans="1:16" s="18" customForma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 spans="1:16" s="18" customForma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 spans="1:16" s="18" customForma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 spans="1:16" s="18" customForma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 spans="1:16" s="18" customForma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 spans="1:16" s="18" customForma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 spans="1:16" s="18" customForma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 spans="1:16" s="18" customForma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 spans="1:16" s="18" customForma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 spans="1:16" s="18" customForma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spans="1:16" s="18" customForma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spans="1:16" s="18" customForma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 spans="1:16" s="18" customForma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spans="1:16" s="18" customForma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 spans="1:16" s="18" customForma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spans="1:16" s="18" customForma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spans="1:16" s="18" customForma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spans="1:16" s="18" customForma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s="18" customForma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spans="1:16" s="18" customForma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spans="1:16" s="18" customForma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spans="1:16" s="18" customForma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spans="1:16" s="18" customForma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spans="1:16" s="18" customForma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spans="1:16" s="18" customForma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spans="1:16" s="18" customForma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spans="1:16" s="18" customForma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spans="1:16" s="18" customForma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spans="1:16" s="18" customForma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s="18" customForma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spans="1:16" s="18" customForma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spans="1:16" s="18" customForma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spans="1:16" s="18" customForma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spans="1:16" s="18" customForma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spans="1:16" s="18" customForma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spans="1:16" s="18" customForma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spans="1:16" s="18" customForma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 spans="1:16" s="18" customForma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 spans="1:16" s="18" customForma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 spans="1:16" s="18" customForma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 spans="1:16" s="18" customForma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spans="1:16" s="18" customForma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spans="1:16" s="18" customForma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 spans="1:16" s="18" customForma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 spans="1:16" s="18" customForma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 spans="1:16" s="18" customForma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 spans="1:16" s="18" customForma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 spans="1:16" s="18" customForma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16" s="18" customForma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spans="1:16" s="18" customForma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6" s="18" customForma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spans="1:16" s="18" customForma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6" s="18" customForma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6" s="18" customForma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6" s="18" customForma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6" s="18" customForma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6" s="18" customForma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6" s="18" customForma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6" s="18" customForma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6" s="18" customForma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spans="1:16" s="18" customForma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spans="1:16" s="18" customForma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spans="1:16" s="18" customForma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spans="1:16" s="18" customForma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spans="1:16" s="18" customForma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spans="1:16" s="18" customForma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spans="1:16" s="18" customForma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spans="1:16" s="18" customForma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spans="1:16" s="18" customForma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spans="1:16" s="18" customForma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spans="1:16" s="18" customForma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spans="1:16" s="18" customForma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spans="1:16" s="18" customForma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6" s="18" customForma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6" s="18" customForma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6" s="18" customForma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6" s="18" customForma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6" s="18" customForma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s="18" customForma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s="18" customForma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s="18" customForma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s="18" customForma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s="18" customForma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s="18" customForma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s="18" customForma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s="18" customForma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s="18" customForma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spans="1:16" s="18" customForma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spans="1:16" s="18" customForma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s="18" customForma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spans="1:16" s="18" customForma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spans="1:16" s="18" customForma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spans="1:16" s="18" customForma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spans="1:16" s="18" customForma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spans="1:16" s="18" customForma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spans="1:16" s="18" customForma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spans="1:16" s="18" customForma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spans="1:16" s="18" customForma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spans="1:16" s="18" customForma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s="18" customForma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spans="1:16" s="18" customForma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spans="1:16" s="18" customForma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spans="1:16" s="18" customForma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 s="18" customForma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</sheetData>
  <autoFilter ref="A3:M43" xr:uid="{00000000-0009-0000-0000-000000000000}"/>
  <phoneticPr fontId="1" type="noConversion"/>
  <printOptions horizontalCentered="1"/>
  <pageMargins left="0.15748031496062992" right="0.15748031496062992" top="0.78740157480314965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D47C-49CF-4839-B164-C1E7D2F2D649}">
  <dimension ref="A1:P835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6" style="6" bestFit="1" customWidth="1"/>
    <col min="2" max="2" width="8.33203125" style="6" bestFit="1" customWidth="1"/>
    <col min="3" max="3" width="17.9296875" style="6" bestFit="1" customWidth="1"/>
    <col min="4" max="4" width="12" style="6" bestFit="1" customWidth="1"/>
    <col min="5" max="5" width="13.59765625" style="10" bestFit="1" customWidth="1"/>
    <col min="6" max="6" width="12" style="11" bestFit="1" customWidth="1"/>
    <col min="7" max="7" width="12" style="10" bestFit="1" customWidth="1"/>
    <col min="8" max="8" width="10.33203125" style="12" bestFit="1" customWidth="1"/>
    <col min="9" max="10" width="8.73046875" style="6" customWidth="1"/>
    <col min="11" max="11" width="10.33203125" style="6" bestFit="1" customWidth="1"/>
    <col min="12" max="12" width="10.33203125" style="10" bestFit="1" customWidth="1"/>
    <col min="13" max="13" width="13.5976562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43921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43891</v>
      </c>
      <c r="J4" s="19">
        <v>43921</v>
      </c>
      <c r="K4" s="3">
        <f>J4-I4+1</f>
        <v>31</v>
      </c>
      <c r="L4" s="3">
        <f>ROUND(G4*H4*K4/366,0)</f>
        <v>68818</v>
      </c>
      <c r="M4" s="3">
        <v>162500000</v>
      </c>
    </row>
    <row r="5" spans="1:13" s="18" customFormat="1" outlineLevel="2">
      <c r="A5" s="19" t="s">
        <v>15</v>
      </c>
      <c r="B5" s="20" t="s">
        <v>23</v>
      </c>
      <c r="C5" s="21" t="s">
        <v>17</v>
      </c>
      <c r="D5" s="20" t="s">
        <v>18</v>
      </c>
      <c r="E5" s="3">
        <v>6430000</v>
      </c>
      <c r="F5" s="19">
        <v>43920</v>
      </c>
      <c r="G5" s="3">
        <v>6430000</v>
      </c>
      <c r="H5" s="2">
        <v>5.0000000000000001E-3</v>
      </c>
      <c r="I5" s="19">
        <v>43920</v>
      </c>
      <c r="J5" s="19">
        <v>43921</v>
      </c>
      <c r="K5" s="3">
        <f>J5-I5+1</f>
        <v>2</v>
      </c>
      <c r="L5" s="3">
        <f>ROUND(G5*H5*K5/366,0)</f>
        <v>176</v>
      </c>
      <c r="M5" s="3">
        <v>6430000</v>
      </c>
    </row>
    <row r="6" spans="1:13" s="18" customFormat="1" outlineLevel="2">
      <c r="A6" s="19" t="s">
        <v>15</v>
      </c>
      <c r="B6" s="20" t="s">
        <v>29</v>
      </c>
      <c r="C6" s="21" t="s">
        <v>57</v>
      </c>
      <c r="D6" s="20" t="s">
        <v>56</v>
      </c>
      <c r="E6" s="3">
        <v>28600000</v>
      </c>
      <c r="F6" s="19">
        <v>43921</v>
      </c>
      <c r="G6" s="3">
        <v>28600000</v>
      </c>
      <c r="H6" s="2">
        <v>5.0000000000000001E-3</v>
      </c>
      <c r="I6" s="19">
        <v>43921</v>
      </c>
      <c r="J6" s="19">
        <v>43921</v>
      </c>
      <c r="K6" s="3">
        <f>J6-I6+1</f>
        <v>1</v>
      </c>
      <c r="L6" s="3">
        <f>ROUND(G6*H6*K6/366,0)</f>
        <v>391</v>
      </c>
      <c r="M6" s="3">
        <v>28600000</v>
      </c>
    </row>
    <row r="7" spans="1:13" s="18" customFormat="1" ht="13.5" outlineLevel="1">
      <c r="A7" s="22" t="s">
        <v>19</v>
      </c>
      <c r="B7" s="23"/>
      <c r="C7" s="24"/>
      <c r="D7" s="23"/>
      <c r="E7" s="25">
        <f>SUBTOTAL(9,E4:E6)</f>
        <v>197530000</v>
      </c>
      <c r="F7" s="26"/>
      <c r="G7" s="25"/>
      <c r="H7" s="27"/>
      <c r="I7" s="26"/>
      <c r="J7" s="26"/>
      <c r="K7" s="25"/>
      <c r="L7" s="25">
        <f>SUBTOTAL(9,L4:L6)</f>
        <v>69385</v>
      </c>
      <c r="M7" s="25">
        <f>SUBTOTAL(9,M4:M6)</f>
        <v>197530000</v>
      </c>
    </row>
    <row r="8" spans="1:13" s="18" customFormat="1" outlineLevel="2">
      <c r="A8" s="19" t="s">
        <v>80</v>
      </c>
      <c r="B8" s="20" t="s">
        <v>16</v>
      </c>
      <c r="C8" s="21" t="s">
        <v>57</v>
      </c>
      <c r="D8" s="20" t="s">
        <v>56</v>
      </c>
      <c r="E8" s="3">
        <v>26500000</v>
      </c>
      <c r="F8" s="19">
        <v>43907</v>
      </c>
      <c r="G8" s="3">
        <v>26500000</v>
      </c>
      <c r="H8" s="2">
        <v>5.0000000000000001E-3</v>
      </c>
      <c r="I8" s="19">
        <v>43907</v>
      </c>
      <c r="J8" s="19">
        <v>43921</v>
      </c>
      <c r="K8" s="3">
        <f>J8-I8+1</f>
        <v>15</v>
      </c>
      <c r="L8" s="3">
        <f>ROUND(G8*H8*K8/366,0)</f>
        <v>5430</v>
      </c>
      <c r="M8" s="3">
        <v>26500000</v>
      </c>
    </row>
    <row r="9" spans="1:13" s="18" customFormat="1" outlineLevel="2">
      <c r="A9" s="19" t="s">
        <v>80</v>
      </c>
      <c r="B9" s="20" t="s">
        <v>23</v>
      </c>
      <c r="C9" s="21" t="s">
        <v>74</v>
      </c>
      <c r="D9" s="20" t="s">
        <v>73</v>
      </c>
      <c r="E9" s="3">
        <v>90000000</v>
      </c>
      <c r="F9" s="19">
        <v>43913</v>
      </c>
      <c r="G9" s="3">
        <v>90000000</v>
      </c>
      <c r="H9" s="2">
        <v>5.0000000000000001E-3</v>
      </c>
      <c r="I9" s="19">
        <v>43913</v>
      </c>
      <c r="J9" s="19">
        <v>43921</v>
      </c>
      <c r="K9" s="3">
        <f>J9-I9+1</f>
        <v>9</v>
      </c>
      <c r="L9" s="3">
        <f>ROUND(G9*H9*K9/366,0)</f>
        <v>11066</v>
      </c>
      <c r="M9" s="3">
        <v>90000000</v>
      </c>
    </row>
    <row r="10" spans="1:13" s="18" customFormat="1" ht="13.5" outlineLevel="1">
      <c r="A10" s="22" t="s">
        <v>79</v>
      </c>
      <c r="B10" s="23"/>
      <c r="C10" s="24"/>
      <c r="D10" s="23"/>
      <c r="E10" s="25">
        <f>SUBTOTAL(9,E8:E9)</f>
        <v>116500000</v>
      </c>
      <c r="F10" s="26"/>
      <c r="G10" s="25"/>
      <c r="H10" s="27"/>
      <c r="I10" s="26"/>
      <c r="J10" s="26"/>
      <c r="K10" s="25"/>
      <c r="L10" s="25">
        <f>SUBTOTAL(9,L8:L9)</f>
        <v>16496</v>
      </c>
      <c r="M10" s="25">
        <f>SUBTOTAL(9,M8:M9)</f>
        <v>116500000</v>
      </c>
    </row>
    <row r="11" spans="1:13" s="18" customFormat="1" outlineLevel="2">
      <c r="A11" s="19" t="s">
        <v>78</v>
      </c>
      <c r="B11" s="20" t="s">
        <v>16</v>
      </c>
      <c r="C11" s="21" t="s">
        <v>77</v>
      </c>
      <c r="D11" s="20" t="s">
        <v>76</v>
      </c>
      <c r="E11" s="3">
        <v>81465386</v>
      </c>
      <c r="F11" s="19">
        <v>43900</v>
      </c>
      <c r="G11" s="3">
        <v>81465386</v>
      </c>
      <c r="H11" s="2">
        <v>5.0000000000000001E-3</v>
      </c>
      <c r="I11" s="19">
        <v>43900</v>
      </c>
      <c r="J11" s="19">
        <v>43921</v>
      </c>
      <c r="K11" s="3">
        <f>J11-I11+1</f>
        <v>22</v>
      </c>
      <c r="L11" s="3">
        <f>ROUND(G11*H11*K11/366,0)</f>
        <v>24484</v>
      </c>
      <c r="M11" s="3">
        <v>81465386</v>
      </c>
    </row>
    <row r="12" spans="1:13" s="18" customFormat="1" ht="13.5" outlineLevel="1">
      <c r="A12" s="22" t="s">
        <v>75</v>
      </c>
      <c r="B12" s="23"/>
      <c r="C12" s="24"/>
      <c r="D12" s="23"/>
      <c r="E12" s="25">
        <f>SUBTOTAL(9,E11:E11)</f>
        <v>81465386</v>
      </c>
      <c r="F12" s="26"/>
      <c r="G12" s="25"/>
      <c r="H12" s="27"/>
      <c r="I12" s="26"/>
      <c r="J12" s="26"/>
      <c r="K12" s="25"/>
      <c r="L12" s="25">
        <f>SUBTOTAL(9,L11:L11)</f>
        <v>24484</v>
      </c>
      <c r="M12" s="25">
        <f>SUBTOTAL(9,M11:M11)</f>
        <v>81465386</v>
      </c>
    </row>
    <row r="13" spans="1:13" s="18" customFormat="1" outlineLevel="2">
      <c r="A13" s="19" t="s">
        <v>20</v>
      </c>
      <c r="B13" s="20" t="s">
        <v>16</v>
      </c>
      <c r="C13" s="21" t="s">
        <v>21</v>
      </c>
      <c r="D13" s="20" t="s">
        <v>22</v>
      </c>
      <c r="E13" s="3">
        <v>69000000</v>
      </c>
      <c r="F13" s="19">
        <v>43822</v>
      </c>
      <c r="G13" s="3">
        <v>69000000</v>
      </c>
      <c r="H13" s="2">
        <v>5.0000000000000001E-3</v>
      </c>
      <c r="I13" s="19">
        <v>43891</v>
      </c>
      <c r="J13" s="19">
        <v>43921</v>
      </c>
      <c r="K13" s="3">
        <f>J13-I13+1</f>
        <v>31</v>
      </c>
      <c r="L13" s="3">
        <f>ROUND(G13*H13*K13/366,0)</f>
        <v>29221</v>
      </c>
      <c r="M13" s="3">
        <v>69000000</v>
      </c>
    </row>
    <row r="14" spans="1:13" s="18" customFormat="1" outlineLevel="2">
      <c r="A14" s="19" t="s">
        <v>20</v>
      </c>
      <c r="B14" s="20" t="s">
        <v>23</v>
      </c>
      <c r="C14" s="21" t="s">
        <v>24</v>
      </c>
      <c r="D14" s="20" t="s">
        <v>18</v>
      </c>
      <c r="E14" s="3">
        <v>162300000</v>
      </c>
      <c r="F14" s="19">
        <v>43829</v>
      </c>
      <c r="G14" s="3">
        <v>156890000</v>
      </c>
      <c r="H14" s="2">
        <v>5.0000000000000001E-3</v>
      </c>
      <c r="I14" s="19">
        <v>43891</v>
      </c>
      <c r="J14" s="19">
        <v>43905</v>
      </c>
      <c r="K14" s="3">
        <f>J14-I14+1</f>
        <v>15</v>
      </c>
      <c r="L14" s="3">
        <f>ROUND(G14*H14*K14/366,0)</f>
        <v>32150</v>
      </c>
      <c r="M14" s="3">
        <v>154185000</v>
      </c>
    </row>
    <row r="15" spans="1:13" s="18" customFormat="1" outlineLevel="2">
      <c r="A15" s="19" t="s">
        <v>20</v>
      </c>
      <c r="B15" s="20" t="s">
        <v>23</v>
      </c>
      <c r="C15" s="21" t="s">
        <v>24</v>
      </c>
      <c r="D15" s="20"/>
      <c r="E15" s="3"/>
      <c r="F15" s="19"/>
      <c r="G15" s="3">
        <v>154185000</v>
      </c>
      <c r="H15" s="2">
        <v>5.0000000000000001E-3</v>
      </c>
      <c r="I15" s="19">
        <v>43906</v>
      </c>
      <c r="J15" s="19">
        <v>43921</v>
      </c>
      <c r="K15" s="3">
        <f>J15-I15+1</f>
        <v>16</v>
      </c>
      <c r="L15" s="3">
        <f>ROUND(G15*H15*K15/366,0)</f>
        <v>33702</v>
      </c>
      <c r="M15" s="3"/>
    </row>
    <row r="16" spans="1:13" s="18" customFormat="1" ht="13.5" outlineLevel="1">
      <c r="A16" s="22" t="s">
        <v>25</v>
      </c>
      <c r="B16" s="23"/>
      <c r="C16" s="24"/>
      <c r="D16" s="23"/>
      <c r="E16" s="25">
        <f>SUBTOTAL(9,E13:E15)</f>
        <v>231300000</v>
      </c>
      <c r="F16" s="26"/>
      <c r="G16" s="25"/>
      <c r="H16" s="27"/>
      <c r="I16" s="26"/>
      <c r="J16" s="26"/>
      <c r="K16" s="25"/>
      <c r="L16" s="25">
        <f>SUBTOTAL(9,L13:L15)</f>
        <v>95073</v>
      </c>
      <c r="M16" s="25">
        <f>SUBTOTAL(9,M13:M15)</f>
        <v>223185000</v>
      </c>
    </row>
    <row r="17" spans="1:13" s="18" customFormat="1" outlineLevel="2">
      <c r="A17" s="19" t="s">
        <v>26</v>
      </c>
      <c r="B17" s="20" t="s">
        <v>16</v>
      </c>
      <c r="C17" s="21" t="s">
        <v>27</v>
      </c>
      <c r="D17" s="20" t="s">
        <v>28</v>
      </c>
      <c r="E17" s="3">
        <v>38000000</v>
      </c>
      <c r="F17" s="19">
        <v>43762</v>
      </c>
      <c r="G17" s="3">
        <v>38000000</v>
      </c>
      <c r="H17" s="2">
        <v>5.0000000000000001E-3</v>
      </c>
      <c r="I17" s="19">
        <v>43891</v>
      </c>
      <c r="J17" s="19">
        <v>43921</v>
      </c>
      <c r="K17" s="3">
        <f t="shared" ref="K17:K26" si="0">J17-I17+1</f>
        <v>31</v>
      </c>
      <c r="L17" s="3">
        <f t="shared" ref="L17:L26" si="1">ROUND(G17*H17*K17/366,0)</f>
        <v>16093</v>
      </c>
      <c r="M17" s="3">
        <v>38000000</v>
      </c>
    </row>
    <row r="18" spans="1:13" s="18" customFormat="1" outlineLevel="2">
      <c r="A18" s="19" t="s">
        <v>26</v>
      </c>
      <c r="B18" s="20" t="s">
        <v>61</v>
      </c>
      <c r="C18" s="21" t="s">
        <v>74</v>
      </c>
      <c r="D18" s="20" t="s">
        <v>73</v>
      </c>
      <c r="E18" s="3">
        <v>110000000</v>
      </c>
      <c r="F18" s="19">
        <v>43913</v>
      </c>
      <c r="G18" s="3">
        <v>110000000</v>
      </c>
      <c r="H18" s="2">
        <v>5.0000000000000001E-3</v>
      </c>
      <c r="I18" s="19">
        <v>43913</v>
      </c>
      <c r="J18" s="19">
        <v>43921</v>
      </c>
      <c r="K18" s="3">
        <f t="shared" si="0"/>
        <v>9</v>
      </c>
      <c r="L18" s="3">
        <f t="shared" si="1"/>
        <v>13525</v>
      </c>
      <c r="M18" s="3">
        <v>110000000</v>
      </c>
    </row>
    <row r="19" spans="1:13" s="18" customFormat="1" outlineLevel="2">
      <c r="A19" s="19" t="s">
        <v>26</v>
      </c>
      <c r="B19" s="20" t="s">
        <v>23</v>
      </c>
      <c r="C19" s="21" t="s">
        <v>27</v>
      </c>
      <c r="D19" s="20" t="s">
        <v>28</v>
      </c>
      <c r="E19" s="3">
        <v>57000000</v>
      </c>
      <c r="F19" s="19">
        <v>43822</v>
      </c>
      <c r="G19" s="3">
        <v>57000000</v>
      </c>
      <c r="H19" s="2">
        <v>5.0000000000000001E-3</v>
      </c>
      <c r="I19" s="19">
        <v>43891</v>
      </c>
      <c r="J19" s="19">
        <v>43921</v>
      </c>
      <c r="K19" s="3">
        <f t="shared" si="0"/>
        <v>31</v>
      </c>
      <c r="L19" s="3">
        <f t="shared" si="1"/>
        <v>24139</v>
      </c>
      <c r="M19" s="3">
        <v>57000000</v>
      </c>
    </row>
    <row r="20" spans="1:13" s="18" customFormat="1" outlineLevel="2">
      <c r="A20" s="19" t="s">
        <v>26</v>
      </c>
      <c r="B20" s="20" t="s">
        <v>29</v>
      </c>
      <c r="C20" s="21" t="s">
        <v>21</v>
      </c>
      <c r="D20" s="20" t="s">
        <v>22</v>
      </c>
      <c r="E20" s="3">
        <v>171000000</v>
      </c>
      <c r="F20" s="19">
        <v>43822</v>
      </c>
      <c r="G20" s="3">
        <v>171000000</v>
      </c>
      <c r="H20" s="2">
        <v>5.0000000000000001E-3</v>
      </c>
      <c r="I20" s="19">
        <v>43891</v>
      </c>
      <c r="J20" s="19">
        <v>43921</v>
      </c>
      <c r="K20" s="3">
        <f t="shared" si="0"/>
        <v>31</v>
      </c>
      <c r="L20" s="3">
        <f t="shared" si="1"/>
        <v>72418</v>
      </c>
      <c r="M20" s="3">
        <v>171000000</v>
      </c>
    </row>
    <row r="21" spans="1:13" s="18" customFormat="1" outlineLevel="2">
      <c r="A21" s="19" t="s">
        <v>26</v>
      </c>
      <c r="B21" s="20" t="s">
        <v>30</v>
      </c>
      <c r="C21" s="21" t="s">
        <v>27</v>
      </c>
      <c r="D21" s="20" t="s">
        <v>28</v>
      </c>
      <c r="E21" s="3">
        <v>38000000</v>
      </c>
      <c r="F21" s="19">
        <v>43850</v>
      </c>
      <c r="G21" s="3">
        <v>38000000</v>
      </c>
      <c r="H21" s="2">
        <v>5.0000000000000001E-3</v>
      </c>
      <c r="I21" s="19">
        <v>43891</v>
      </c>
      <c r="J21" s="19">
        <v>43921</v>
      </c>
      <c r="K21" s="3">
        <f t="shared" si="0"/>
        <v>31</v>
      </c>
      <c r="L21" s="3">
        <f t="shared" si="1"/>
        <v>16093</v>
      </c>
      <c r="M21" s="3">
        <v>38000000</v>
      </c>
    </row>
    <row r="22" spans="1:13" s="18" customFormat="1" outlineLevel="2">
      <c r="A22" s="19" t="s">
        <v>26</v>
      </c>
      <c r="B22" s="20" t="s">
        <v>31</v>
      </c>
      <c r="C22" s="21" t="s">
        <v>27</v>
      </c>
      <c r="D22" s="20" t="s">
        <v>28</v>
      </c>
      <c r="E22" s="3">
        <v>10000000</v>
      </c>
      <c r="F22" s="19">
        <v>43850</v>
      </c>
      <c r="G22" s="3">
        <v>10000000</v>
      </c>
      <c r="H22" s="2">
        <v>5.0000000000000001E-3</v>
      </c>
      <c r="I22" s="19">
        <v>43891</v>
      </c>
      <c r="J22" s="19">
        <v>43921</v>
      </c>
      <c r="K22" s="3">
        <f t="shared" si="0"/>
        <v>31</v>
      </c>
      <c r="L22" s="3">
        <f t="shared" si="1"/>
        <v>4235</v>
      </c>
      <c r="M22" s="3">
        <v>10000000</v>
      </c>
    </row>
    <row r="23" spans="1:13" s="18" customFormat="1" outlineLevel="2">
      <c r="A23" s="19" t="s">
        <v>26</v>
      </c>
      <c r="B23" s="20" t="s">
        <v>32</v>
      </c>
      <c r="C23" s="21" t="s">
        <v>33</v>
      </c>
      <c r="D23" s="20" t="s">
        <v>34</v>
      </c>
      <c r="E23" s="3">
        <v>96176976</v>
      </c>
      <c r="F23" s="19">
        <v>43861</v>
      </c>
      <c r="G23" s="3">
        <v>96176976</v>
      </c>
      <c r="H23" s="2">
        <v>5.0000000000000001E-3</v>
      </c>
      <c r="I23" s="19">
        <v>43891</v>
      </c>
      <c r="J23" s="19">
        <v>43921</v>
      </c>
      <c r="K23" s="3">
        <f t="shared" si="0"/>
        <v>31</v>
      </c>
      <c r="L23" s="3">
        <f t="shared" si="1"/>
        <v>40731</v>
      </c>
      <c r="M23" s="3">
        <v>96176976</v>
      </c>
    </row>
    <row r="24" spans="1:13" s="18" customFormat="1" outlineLevel="2">
      <c r="A24" s="19" t="s">
        <v>26</v>
      </c>
      <c r="B24" s="20" t="s">
        <v>48</v>
      </c>
      <c r="C24" s="21" t="s">
        <v>27</v>
      </c>
      <c r="D24" s="20" t="s">
        <v>28</v>
      </c>
      <c r="E24" s="3">
        <v>1800000</v>
      </c>
      <c r="F24" s="19">
        <v>43876</v>
      </c>
      <c r="G24" s="3">
        <v>1800000</v>
      </c>
      <c r="H24" s="2">
        <v>5.0000000000000001E-3</v>
      </c>
      <c r="I24" s="19">
        <v>43891</v>
      </c>
      <c r="J24" s="19">
        <v>43921</v>
      </c>
      <c r="K24" s="3">
        <f t="shared" si="0"/>
        <v>31</v>
      </c>
      <c r="L24" s="3">
        <f t="shared" si="1"/>
        <v>762</v>
      </c>
      <c r="M24" s="3">
        <v>1800000</v>
      </c>
    </row>
    <row r="25" spans="1:13" s="18" customFormat="1" outlineLevel="2">
      <c r="A25" s="19" t="s">
        <v>26</v>
      </c>
      <c r="B25" s="20" t="s">
        <v>59</v>
      </c>
      <c r="C25" s="21" t="s">
        <v>72</v>
      </c>
      <c r="D25" s="20" t="s">
        <v>71</v>
      </c>
      <c r="E25" s="3">
        <v>30000000</v>
      </c>
      <c r="F25" s="19">
        <v>43906</v>
      </c>
      <c r="G25" s="3">
        <v>30000000</v>
      </c>
      <c r="H25" s="2">
        <v>5.0000000000000001E-3</v>
      </c>
      <c r="I25" s="19">
        <v>43906</v>
      </c>
      <c r="J25" s="19">
        <v>43921</v>
      </c>
      <c r="K25" s="3">
        <f t="shared" si="0"/>
        <v>16</v>
      </c>
      <c r="L25" s="3">
        <f t="shared" si="1"/>
        <v>6557</v>
      </c>
      <c r="M25" s="3">
        <v>30000000</v>
      </c>
    </row>
    <row r="26" spans="1:13" s="18" customFormat="1" outlineLevel="2">
      <c r="A26" s="19" t="s">
        <v>26</v>
      </c>
      <c r="B26" s="20" t="s">
        <v>58</v>
      </c>
      <c r="C26" s="21" t="s">
        <v>72</v>
      </c>
      <c r="D26" s="20" t="s">
        <v>71</v>
      </c>
      <c r="E26" s="3">
        <v>50000000</v>
      </c>
      <c r="F26" s="19">
        <v>43908</v>
      </c>
      <c r="G26" s="3">
        <v>50000000</v>
      </c>
      <c r="H26" s="2">
        <v>5.0000000000000001E-3</v>
      </c>
      <c r="I26" s="19">
        <v>43908</v>
      </c>
      <c r="J26" s="19">
        <v>43921</v>
      </c>
      <c r="K26" s="3">
        <f t="shared" si="0"/>
        <v>14</v>
      </c>
      <c r="L26" s="3">
        <f t="shared" si="1"/>
        <v>9563</v>
      </c>
      <c r="M26" s="3">
        <v>50000000</v>
      </c>
    </row>
    <row r="27" spans="1:13" s="18" customFormat="1" ht="13.5" outlineLevel="1">
      <c r="A27" s="22" t="s">
        <v>35</v>
      </c>
      <c r="B27" s="23"/>
      <c r="C27" s="24"/>
      <c r="D27" s="23"/>
      <c r="E27" s="25">
        <f>SUBTOTAL(9,E17:E26)</f>
        <v>601976976</v>
      </c>
      <c r="F27" s="26"/>
      <c r="G27" s="25"/>
      <c r="H27" s="27"/>
      <c r="I27" s="26"/>
      <c r="J27" s="26"/>
      <c r="K27" s="25"/>
      <c r="L27" s="25">
        <f>SUBTOTAL(9,L17:L26)</f>
        <v>204116</v>
      </c>
      <c r="M27" s="25">
        <f>SUBTOTAL(9,M17:M26)</f>
        <v>601976976</v>
      </c>
    </row>
    <row r="28" spans="1:13" s="18" customFormat="1" outlineLevel="2">
      <c r="A28" s="19" t="s">
        <v>36</v>
      </c>
      <c r="B28" s="20" t="s">
        <v>16</v>
      </c>
      <c r="C28" s="21" t="s">
        <v>17</v>
      </c>
      <c r="D28" s="20" t="s">
        <v>18</v>
      </c>
      <c r="E28" s="3">
        <v>150000000</v>
      </c>
      <c r="F28" s="19">
        <v>43829</v>
      </c>
      <c r="G28" s="3">
        <v>145000000</v>
      </c>
      <c r="H28" s="2">
        <v>5.0000000000000001E-3</v>
      </c>
      <c r="I28" s="19">
        <v>43891</v>
      </c>
      <c r="J28" s="19">
        <v>43905</v>
      </c>
      <c r="K28" s="3">
        <f>J28-I28+1</f>
        <v>15</v>
      </c>
      <c r="L28" s="3">
        <f>ROUND(G28*H28*K28/366,0)</f>
        <v>29713</v>
      </c>
      <c r="M28" s="3">
        <v>142500000</v>
      </c>
    </row>
    <row r="29" spans="1:13" s="18" customFormat="1" outlineLevel="2">
      <c r="A29" s="19" t="s">
        <v>36</v>
      </c>
      <c r="B29" s="20" t="s">
        <v>16</v>
      </c>
      <c r="C29" s="21" t="s">
        <v>17</v>
      </c>
      <c r="D29" s="20"/>
      <c r="E29" s="3"/>
      <c r="F29" s="19"/>
      <c r="G29" s="3">
        <v>142500000</v>
      </c>
      <c r="H29" s="2">
        <v>5.0000000000000001E-3</v>
      </c>
      <c r="I29" s="19">
        <v>43906</v>
      </c>
      <c r="J29" s="19">
        <v>43921</v>
      </c>
      <c r="K29" s="3">
        <f>J29-I29+1</f>
        <v>16</v>
      </c>
      <c r="L29" s="3">
        <f>ROUND(G29*H29*K29/366,0)</f>
        <v>31148</v>
      </c>
      <c r="M29" s="3"/>
    </row>
    <row r="30" spans="1:13" s="18" customFormat="1" outlineLevel="2">
      <c r="A30" s="19" t="s">
        <v>36</v>
      </c>
      <c r="B30" s="20" t="s">
        <v>23</v>
      </c>
      <c r="C30" s="21" t="s">
        <v>17</v>
      </c>
      <c r="D30" s="20" t="s">
        <v>18</v>
      </c>
      <c r="E30" s="3">
        <v>32900000</v>
      </c>
      <c r="F30" s="19">
        <v>43829</v>
      </c>
      <c r="G30" s="3">
        <v>31803334</v>
      </c>
      <c r="H30" s="2">
        <v>5.0000000000000001E-3</v>
      </c>
      <c r="I30" s="19">
        <v>43891</v>
      </c>
      <c r="J30" s="19">
        <v>43905</v>
      </c>
      <c r="K30" s="3">
        <f>J30-I30+1</f>
        <v>15</v>
      </c>
      <c r="L30" s="3">
        <f>ROUND(G30*H30*K30/366,0)</f>
        <v>6517</v>
      </c>
      <c r="M30" s="3">
        <v>31255001</v>
      </c>
    </row>
    <row r="31" spans="1:13" s="18" customFormat="1" outlineLevel="2">
      <c r="A31" s="19" t="s">
        <v>36</v>
      </c>
      <c r="B31" s="20" t="s">
        <v>23</v>
      </c>
      <c r="C31" s="21" t="s">
        <v>17</v>
      </c>
      <c r="D31" s="20"/>
      <c r="E31" s="3"/>
      <c r="F31" s="19"/>
      <c r="G31" s="3">
        <v>31255001</v>
      </c>
      <c r="H31" s="2">
        <v>5.0000000000000001E-3</v>
      </c>
      <c r="I31" s="19">
        <v>43906</v>
      </c>
      <c r="J31" s="19">
        <v>43921</v>
      </c>
      <c r="K31" s="3">
        <f>J31-I31+1</f>
        <v>16</v>
      </c>
      <c r="L31" s="3">
        <f>ROUND(G31*H31*K31/366,0)</f>
        <v>6832</v>
      </c>
      <c r="M31" s="3"/>
    </row>
    <row r="32" spans="1:13" s="18" customFormat="1" outlineLevel="2">
      <c r="A32" s="19" t="s">
        <v>36</v>
      </c>
      <c r="B32" s="20" t="s">
        <v>29</v>
      </c>
      <c r="C32" s="21" t="s">
        <v>17</v>
      </c>
      <c r="D32" s="20" t="s">
        <v>18</v>
      </c>
      <c r="E32" s="3">
        <v>2790000</v>
      </c>
      <c r="F32" s="19">
        <v>43921</v>
      </c>
      <c r="G32" s="3">
        <v>2790000</v>
      </c>
      <c r="H32" s="2">
        <v>5.0000000000000001E-3</v>
      </c>
      <c r="I32" s="19">
        <v>43921</v>
      </c>
      <c r="J32" s="19">
        <v>43921</v>
      </c>
      <c r="K32" s="3">
        <f>J32-I32+1</f>
        <v>1</v>
      </c>
      <c r="L32" s="3">
        <f>ROUND(G32*H32*K32/366,0)</f>
        <v>38</v>
      </c>
      <c r="M32" s="3">
        <v>2790000</v>
      </c>
    </row>
    <row r="33" spans="1:13" s="18" customFormat="1" ht="13.5" outlineLevel="1">
      <c r="A33" s="22" t="s">
        <v>37</v>
      </c>
      <c r="B33" s="23"/>
      <c r="C33" s="24"/>
      <c r="D33" s="23"/>
      <c r="E33" s="25">
        <f>SUBTOTAL(9,E28:E32)</f>
        <v>185690000</v>
      </c>
      <c r="F33" s="26"/>
      <c r="G33" s="25"/>
      <c r="H33" s="27"/>
      <c r="I33" s="26"/>
      <c r="J33" s="26"/>
      <c r="K33" s="25"/>
      <c r="L33" s="25">
        <f>SUBTOTAL(9,L28:L32)</f>
        <v>74248</v>
      </c>
      <c r="M33" s="25">
        <f>SUBTOTAL(9,M28:M32)</f>
        <v>176545001</v>
      </c>
    </row>
    <row r="34" spans="1:13" s="18" customFormat="1" outlineLevel="2">
      <c r="A34" s="19" t="s">
        <v>38</v>
      </c>
      <c r="B34" s="20" t="s">
        <v>16</v>
      </c>
      <c r="C34" s="21" t="s">
        <v>17</v>
      </c>
      <c r="D34" s="20" t="s">
        <v>18</v>
      </c>
      <c r="E34" s="3">
        <v>50000000</v>
      </c>
      <c r="F34" s="19">
        <v>43829</v>
      </c>
      <c r="G34" s="3">
        <v>48333332</v>
      </c>
      <c r="H34" s="2">
        <v>5.0000000000000001E-3</v>
      </c>
      <c r="I34" s="19">
        <v>43891</v>
      </c>
      <c r="J34" s="19">
        <v>43904</v>
      </c>
      <c r="K34" s="3">
        <f>J34-I34+1</f>
        <v>14</v>
      </c>
      <c r="L34" s="3">
        <f>ROUND(G34*H34*K34/366,0)</f>
        <v>9244</v>
      </c>
      <c r="M34" s="3">
        <v>47499998</v>
      </c>
    </row>
    <row r="35" spans="1:13" s="18" customFormat="1" outlineLevel="2">
      <c r="A35" s="19" t="s">
        <v>38</v>
      </c>
      <c r="B35" s="20" t="s">
        <v>16</v>
      </c>
      <c r="C35" s="21" t="s">
        <v>17</v>
      </c>
      <c r="D35" s="20"/>
      <c r="E35" s="3"/>
      <c r="F35" s="19"/>
      <c r="G35" s="3">
        <v>47499998</v>
      </c>
      <c r="H35" s="2">
        <v>5.0000000000000001E-3</v>
      </c>
      <c r="I35" s="19">
        <v>43905</v>
      </c>
      <c r="J35" s="19">
        <v>43921</v>
      </c>
      <c r="K35" s="3">
        <f>J35-I35+1</f>
        <v>17</v>
      </c>
      <c r="L35" s="3">
        <f>ROUND(G35*H35*K35/366,0)</f>
        <v>11031</v>
      </c>
      <c r="M35" s="3"/>
    </row>
    <row r="36" spans="1:13" s="18" customFormat="1" outlineLevel="2">
      <c r="A36" s="19" t="s">
        <v>38</v>
      </c>
      <c r="B36" s="20" t="s">
        <v>23</v>
      </c>
      <c r="C36" s="21" t="s">
        <v>17</v>
      </c>
      <c r="D36" s="20" t="s">
        <v>18</v>
      </c>
      <c r="E36" s="3">
        <v>25200000</v>
      </c>
      <c r="F36" s="19">
        <v>43829</v>
      </c>
      <c r="G36" s="3">
        <v>24360000</v>
      </c>
      <c r="H36" s="2">
        <v>5.0000000000000001E-3</v>
      </c>
      <c r="I36" s="19">
        <v>43891</v>
      </c>
      <c r="J36" s="19">
        <v>43904</v>
      </c>
      <c r="K36" s="3">
        <f>J36-I36+1</f>
        <v>14</v>
      </c>
      <c r="L36" s="3">
        <f>ROUND(G36*H36*K36/366,0)</f>
        <v>4659</v>
      </c>
      <c r="M36" s="3">
        <v>23940000</v>
      </c>
    </row>
    <row r="37" spans="1:13" s="18" customFormat="1" outlineLevel="2">
      <c r="A37" s="19" t="s">
        <v>38</v>
      </c>
      <c r="B37" s="20" t="s">
        <v>23</v>
      </c>
      <c r="C37" s="21" t="s">
        <v>17</v>
      </c>
      <c r="D37" s="20"/>
      <c r="E37" s="3"/>
      <c r="F37" s="19"/>
      <c r="G37" s="3">
        <v>23940000</v>
      </c>
      <c r="H37" s="2">
        <v>5.0000000000000001E-3</v>
      </c>
      <c r="I37" s="19">
        <v>43905</v>
      </c>
      <c r="J37" s="19">
        <v>43921</v>
      </c>
      <c r="K37" s="3">
        <f>J37-I37+1</f>
        <v>17</v>
      </c>
      <c r="L37" s="3">
        <f>ROUND(G37*H37*K37/366,0)</f>
        <v>5560</v>
      </c>
      <c r="M37" s="3"/>
    </row>
    <row r="38" spans="1:13" s="18" customFormat="1" outlineLevel="2">
      <c r="A38" s="19" t="s">
        <v>38</v>
      </c>
      <c r="B38" s="20" t="s">
        <v>29</v>
      </c>
      <c r="C38" s="21" t="s">
        <v>17</v>
      </c>
      <c r="D38" s="20" t="s">
        <v>18</v>
      </c>
      <c r="E38" s="3">
        <v>11310000</v>
      </c>
      <c r="F38" s="19">
        <v>43920</v>
      </c>
      <c r="G38" s="3">
        <v>11310000</v>
      </c>
      <c r="H38" s="2">
        <v>5.0000000000000001E-3</v>
      </c>
      <c r="I38" s="19">
        <v>43920</v>
      </c>
      <c r="J38" s="19">
        <v>43921</v>
      </c>
      <c r="K38" s="3">
        <f>J38-I38+1</f>
        <v>2</v>
      </c>
      <c r="L38" s="3">
        <f>ROUND(G38*H38*K38/366,0)</f>
        <v>309</v>
      </c>
      <c r="M38" s="3">
        <v>11310000</v>
      </c>
    </row>
    <row r="39" spans="1:13" s="18" customFormat="1" ht="13.5" outlineLevel="1">
      <c r="A39" s="22" t="s">
        <v>39</v>
      </c>
      <c r="B39" s="23"/>
      <c r="C39" s="24"/>
      <c r="D39" s="23"/>
      <c r="E39" s="25">
        <f>SUBTOTAL(9,E34:E38)</f>
        <v>86510000</v>
      </c>
      <c r="F39" s="26"/>
      <c r="G39" s="25"/>
      <c r="H39" s="27"/>
      <c r="I39" s="26"/>
      <c r="J39" s="26"/>
      <c r="K39" s="25"/>
      <c r="L39" s="25">
        <f>SUBTOTAL(9,L34:L38)</f>
        <v>30803</v>
      </c>
      <c r="M39" s="25">
        <f>SUBTOTAL(9,M34:M38)</f>
        <v>82749998</v>
      </c>
    </row>
    <row r="40" spans="1:13" s="18" customFormat="1" outlineLevel="2">
      <c r="A40" s="19" t="s">
        <v>70</v>
      </c>
      <c r="B40" s="20" t="s">
        <v>16</v>
      </c>
      <c r="C40" s="21" t="s">
        <v>69</v>
      </c>
      <c r="D40" s="20" t="s">
        <v>68</v>
      </c>
      <c r="E40" s="3">
        <v>330000000</v>
      </c>
      <c r="F40" s="19">
        <v>43915</v>
      </c>
      <c r="G40" s="3">
        <v>330000000</v>
      </c>
      <c r="H40" s="2">
        <v>5.0000000000000001E-3</v>
      </c>
      <c r="I40" s="19">
        <v>43915</v>
      </c>
      <c r="J40" s="19">
        <v>43921</v>
      </c>
      <c r="K40" s="3">
        <f>J40-I40+1</f>
        <v>7</v>
      </c>
      <c r="L40" s="3">
        <f>ROUND(G40*H40*K40/366,0)</f>
        <v>31557</v>
      </c>
      <c r="M40" s="3">
        <v>330000000</v>
      </c>
    </row>
    <row r="41" spans="1:13" s="18" customFormat="1" ht="13.5" outlineLevel="1">
      <c r="A41" s="22" t="s">
        <v>67</v>
      </c>
      <c r="B41" s="23"/>
      <c r="C41" s="24"/>
      <c r="D41" s="23"/>
      <c r="E41" s="25">
        <f>SUBTOTAL(9,E40:E40)</f>
        <v>330000000</v>
      </c>
      <c r="F41" s="26"/>
      <c r="G41" s="25"/>
      <c r="H41" s="27"/>
      <c r="I41" s="26"/>
      <c r="J41" s="26"/>
      <c r="K41" s="25"/>
      <c r="L41" s="25">
        <f>SUBTOTAL(9,L40:L40)</f>
        <v>31557</v>
      </c>
      <c r="M41" s="25">
        <f>SUBTOTAL(9,M40:M40)</f>
        <v>330000000</v>
      </c>
    </row>
    <row r="42" spans="1:13" s="18" customFormat="1" outlineLevel="2">
      <c r="A42" s="19" t="s">
        <v>40</v>
      </c>
      <c r="B42" s="20" t="s">
        <v>16</v>
      </c>
      <c r="C42" s="21" t="s">
        <v>41</v>
      </c>
      <c r="D42" s="20" t="s">
        <v>42</v>
      </c>
      <c r="E42" s="3">
        <v>126000000</v>
      </c>
      <c r="F42" s="19">
        <v>43804</v>
      </c>
      <c r="G42" s="3">
        <v>126000000</v>
      </c>
      <c r="H42" s="2">
        <v>5.0000000000000001E-3</v>
      </c>
      <c r="I42" s="19">
        <v>43891</v>
      </c>
      <c r="J42" s="19">
        <v>43921</v>
      </c>
      <c r="K42" s="3">
        <f t="shared" ref="K42:K55" si="2">J42-I42+1</f>
        <v>31</v>
      </c>
      <c r="L42" s="3">
        <f t="shared" ref="L42:L55" si="3">ROUND(G42*H42*K42/366,0)</f>
        <v>53361</v>
      </c>
      <c r="M42" s="3">
        <v>126000000</v>
      </c>
    </row>
    <row r="43" spans="1:13" s="18" customFormat="1" outlineLevel="2">
      <c r="A43" s="19" t="s">
        <v>40</v>
      </c>
      <c r="B43" s="20" t="s">
        <v>61</v>
      </c>
      <c r="C43" s="21" t="s">
        <v>47</v>
      </c>
      <c r="D43" s="20" t="s">
        <v>42</v>
      </c>
      <c r="E43" s="3">
        <v>46600000</v>
      </c>
      <c r="F43" s="19">
        <v>43866</v>
      </c>
      <c r="G43" s="3">
        <v>46600000</v>
      </c>
      <c r="H43" s="2">
        <v>5.0000000000000001E-3</v>
      </c>
      <c r="I43" s="19">
        <v>43891</v>
      </c>
      <c r="J43" s="19">
        <v>43921</v>
      </c>
      <c r="K43" s="3">
        <f t="shared" si="2"/>
        <v>31</v>
      </c>
      <c r="L43" s="3">
        <f t="shared" si="3"/>
        <v>19735</v>
      </c>
      <c r="M43" s="3">
        <v>46600000</v>
      </c>
    </row>
    <row r="44" spans="1:13" s="18" customFormat="1" outlineLevel="2">
      <c r="A44" s="19" t="s">
        <v>40</v>
      </c>
      <c r="B44" s="20" t="s">
        <v>60</v>
      </c>
      <c r="C44" s="21" t="s">
        <v>47</v>
      </c>
      <c r="D44" s="20" t="s">
        <v>42</v>
      </c>
      <c r="E44" s="3">
        <v>1300000</v>
      </c>
      <c r="F44" s="19">
        <v>43866</v>
      </c>
      <c r="G44" s="3">
        <v>1300000</v>
      </c>
      <c r="H44" s="2">
        <v>5.0000000000000001E-3</v>
      </c>
      <c r="I44" s="19">
        <v>43891</v>
      </c>
      <c r="J44" s="19">
        <v>43921</v>
      </c>
      <c r="K44" s="3">
        <f t="shared" si="2"/>
        <v>31</v>
      </c>
      <c r="L44" s="3">
        <f t="shared" si="3"/>
        <v>551</v>
      </c>
      <c r="M44" s="3">
        <v>1300000</v>
      </c>
    </row>
    <row r="45" spans="1:13" s="18" customFormat="1" outlineLevel="2">
      <c r="A45" s="19" t="s">
        <v>40</v>
      </c>
      <c r="B45" s="20" t="s">
        <v>66</v>
      </c>
      <c r="C45" s="21" t="s">
        <v>43</v>
      </c>
      <c r="D45" s="20" t="s">
        <v>44</v>
      </c>
      <c r="E45" s="3">
        <v>9087600</v>
      </c>
      <c r="F45" s="19">
        <v>43901</v>
      </c>
      <c r="G45" s="3">
        <v>9087600</v>
      </c>
      <c r="H45" s="2">
        <v>5.0000000000000001E-3</v>
      </c>
      <c r="I45" s="19">
        <v>43901</v>
      </c>
      <c r="J45" s="19">
        <v>43921</v>
      </c>
      <c r="K45" s="3">
        <f t="shared" si="2"/>
        <v>21</v>
      </c>
      <c r="L45" s="3">
        <f t="shared" si="3"/>
        <v>2607</v>
      </c>
      <c r="M45" s="3">
        <v>9087600</v>
      </c>
    </row>
    <row r="46" spans="1:13" s="18" customFormat="1" outlineLevel="2">
      <c r="A46" s="19" t="s">
        <v>40</v>
      </c>
      <c r="B46" s="20" t="s">
        <v>65</v>
      </c>
      <c r="C46" s="21" t="s">
        <v>43</v>
      </c>
      <c r="D46" s="20" t="s">
        <v>44</v>
      </c>
      <c r="E46" s="3">
        <v>7270080</v>
      </c>
      <c r="F46" s="19">
        <v>43901</v>
      </c>
      <c r="G46" s="3">
        <v>7270080</v>
      </c>
      <c r="H46" s="2">
        <v>5.0000000000000001E-3</v>
      </c>
      <c r="I46" s="19">
        <v>43901</v>
      </c>
      <c r="J46" s="19">
        <v>43921</v>
      </c>
      <c r="K46" s="3">
        <f t="shared" si="2"/>
        <v>21</v>
      </c>
      <c r="L46" s="3">
        <f t="shared" si="3"/>
        <v>2086</v>
      </c>
      <c r="M46" s="3">
        <v>7270080</v>
      </c>
    </row>
    <row r="47" spans="1:13" s="18" customFormat="1" outlineLevel="2">
      <c r="A47" s="19" t="s">
        <v>40</v>
      </c>
      <c r="B47" s="20" t="s">
        <v>64</v>
      </c>
      <c r="C47" s="21" t="s">
        <v>47</v>
      </c>
      <c r="D47" s="20" t="s">
        <v>42</v>
      </c>
      <c r="E47" s="3">
        <v>99400000</v>
      </c>
      <c r="F47" s="19">
        <v>43917</v>
      </c>
      <c r="G47" s="3">
        <v>99400000</v>
      </c>
      <c r="H47" s="2">
        <v>5.0000000000000001E-3</v>
      </c>
      <c r="I47" s="19">
        <v>43917</v>
      </c>
      <c r="J47" s="19">
        <v>43921</v>
      </c>
      <c r="K47" s="3">
        <f t="shared" si="2"/>
        <v>5</v>
      </c>
      <c r="L47" s="3">
        <f t="shared" si="3"/>
        <v>6790</v>
      </c>
      <c r="M47" s="3">
        <v>99400000</v>
      </c>
    </row>
    <row r="48" spans="1:13" s="18" customFormat="1" outlineLevel="2">
      <c r="A48" s="19" t="s">
        <v>40</v>
      </c>
      <c r="B48" s="20" t="s">
        <v>23</v>
      </c>
      <c r="C48" s="21" t="s">
        <v>43</v>
      </c>
      <c r="D48" s="20" t="s">
        <v>44</v>
      </c>
      <c r="E48" s="3">
        <v>5452560</v>
      </c>
      <c r="F48" s="19">
        <v>43810</v>
      </c>
      <c r="G48" s="3">
        <v>5452560</v>
      </c>
      <c r="H48" s="2">
        <v>5.0000000000000001E-3</v>
      </c>
      <c r="I48" s="19">
        <v>43891</v>
      </c>
      <c r="J48" s="19">
        <v>43921</v>
      </c>
      <c r="K48" s="3">
        <f t="shared" si="2"/>
        <v>31</v>
      </c>
      <c r="L48" s="3">
        <f t="shared" si="3"/>
        <v>2309</v>
      </c>
      <c r="M48" s="3">
        <v>5452560</v>
      </c>
    </row>
    <row r="49" spans="1:13" s="18" customFormat="1" outlineLevel="2">
      <c r="A49" s="19" t="s">
        <v>40</v>
      </c>
      <c r="B49" s="20" t="s">
        <v>29</v>
      </c>
      <c r="C49" s="21" t="s">
        <v>45</v>
      </c>
      <c r="D49" s="20" t="s">
        <v>46</v>
      </c>
      <c r="E49" s="3">
        <v>220000000</v>
      </c>
      <c r="F49" s="19">
        <v>43815</v>
      </c>
      <c r="G49" s="3">
        <v>220000000</v>
      </c>
      <c r="H49" s="2">
        <v>5.0000000000000001E-3</v>
      </c>
      <c r="I49" s="19">
        <v>43891</v>
      </c>
      <c r="J49" s="19">
        <v>43921</v>
      </c>
      <c r="K49" s="3">
        <f t="shared" si="2"/>
        <v>31</v>
      </c>
      <c r="L49" s="3">
        <f t="shared" si="3"/>
        <v>93169</v>
      </c>
      <c r="M49" s="3">
        <v>220000000</v>
      </c>
    </row>
    <row r="50" spans="1:13" s="18" customFormat="1" outlineLevel="2">
      <c r="A50" s="19" t="s">
        <v>40</v>
      </c>
      <c r="B50" s="20" t="s">
        <v>30</v>
      </c>
      <c r="C50" s="21" t="s">
        <v>43</v>
      </c>
      <c r="D50" s="20" t="s">
        <v>44</v>
      </c>
      <c r="E50" s="3">
        <v>5452560</v>
      </c>
      <c r="F50" s="19">
        <v>43838</v>
      </c>
      <c r="G50" s="3">
        <v>5452560</v>
      </c>
      <c r="H50" s="2">
        <v>5.0000000000000001E-3</v>
      </c>
      <c r="I50" s="19">
        <v>43891</v>
      </c>
      <c r="J50" s="19">
        <v>43921</v>
      </c>
      <c r="K50" s="3">
        <f t="shared" si="2"/>
        <v>31</v>
      </c>
      <c r="L50" s="3">
        <f t="shared" si="3"/>
        <v>2309</v>
      </c>
      <c r="M50" s="3">
        <v>5452560</v>
      </c>
    </row>
    <row r="51" spans="1:13" s="18" customFormat="1" outlineLevel="2">
      <c r="A51" s="19" t="s">
        <v>40</v>
      </c>
      <c r="B51" s="20" t="s">
        <v>31</v>
      </c>
      <c r="C51" s="21" t="s">
        <v>43</v>
      </c>
      <c r="D51" s="20" t="s">
        <v>44</v>
      </c>
      <c r="E51" s="3">
        <v>5452560</v>
      </c>
      <c r="F51" s="19">
        <v>43838</v>
      </c>
      <c r="G51" s="3">
        <v>5452560</v>
      </c>
      <c r="H51" s="2">
        <v>5.0000000000000001E-3</v>
      </c>
      <c r="I51" s="19">
        <v>43891</v>
      </c>
      <c r="J51" s="19">
        <v>43921</v>
      </c>
      <c r="K51" s="3">
        <f t="shared" si="2"/>
        <v>31</v>
      </c>
      <c r="L51" s="3">
        <f t="shared" si="3"/>
        <v>2309</v>
      </c>
      <c r="M51" s="3">
        <v>5452560</v>
      </c>
    </row>
    <row r="52" spans="1:13" s="18" customFormat="1" outlineLevel="2">
      <c r="A52" s="19" t="s">
        <v>40</v>
      </c>
      <c r="B52" s="20" t="s">
        <v>32</v>
      </c>
      <c r="C52" s="21" t="s">
        <v>47</v>
      </c>
      <c r="D52" s="20" t="s">
        <v>42</v>
      </c>
      <c r="E52" s="3">
        <v>55600000</v>
      </c>
      <c r="F52" s="19">
        <v>43833</v>
      </c>
      <c r="G52" s="3">
        <v>55600000</v>
      </c>
      <c r="H52" s="2">
        <v>5.0000000000000001E-3</v>
      </c>
      <c r="I52" s="19">
        <v>43891</v>
      </c>
      <c r="J52" s="19">
        <v>43921</v>
      </c>
      <c r="K52" s="3">
        <f t="shared" si="2"/>
        <v>31</v>
      </c>
      <c r="L52" s="3">
        <f t="shared" si="3"/>
        <v>23546</v>
      </c>
      <c r="M52" s="3">
        <v>55600000</v>
      </c>
    </row>
    <row r="53" spans="1:13" s="18" customFormat="1" outlineLevel="2">
      <c r="A53" s="19" t="s">
        <v>40</v>
      </c>
      <c r="B53" s="20" t="s">
        <v>48</v>
      </c>
      <c r="C53" s="21" t="s">
        <v>47</v>
      </c>
      <c r="D53" s="20" t="s">
        <v>42</v>
      </c>
      <c r="E53" s="3">
        <v>28400000</v>
      </c>
      <c r="F53" s="19">
        <v>43833</v>
      </c>
      <c r="G53" s="3">
        <v>28400000</v>
      </c>
      <c r="H53" s="2">
        <v>5.0000000000000001E-3</v>
      </c>
      <c r="I53" s="19">
        <v>43891</v>
      </c>
      <c r="J53" s="19">
        <v>43921</v>
      </c>
      <c r="K53" s="3">
        <f t="shared" si="2"/>
        <v>31</v>
      </c>
      <c r="L53" s="3">
        <f t="shared" si="3"/>
        <v>12027</v>
      </c>
      <c r="M53" s="3">
        <v>28400000</v>
      </c>
    </row>
    <row r="54" spans="1:13" s="18" customFormat="1" outlineLevel="2">
      <c r="A54" s="19" t="s">
        <v>40</v>
      </c>
      <c r="B54" s="20" t="s">
        <v>59</v>
      </c>
      <c r="C54" s="21" t="s">
        <v>43</v>
      </c>
      <c r="D54" s="20" t="s">
        <v>44</v>
      </c>
      <c r="E54" s="3">
        <v>5452560</v>
      </c>
      <c r="F54" s="19">
        <v>43873</v>
      </c>
      <c r="G54" s="3">
        <v>5452560</v>
      </c>
      <c r="H54" s="2">
        <v>5.0000000000000001E-3</v>
      </c>
      <c r="I54" s="19">
        <v>43891</v>
      </c>
      <c r="J54" s="19">
        <v>43921</v>
      </c>
      <c r="K54" s="3">
        <f t="shared" si="2"/>
        <v>31</v>
      </c>
      <c r="L54" s="3">
        <f t="shared" si="3"/>
        <v>2309</v>
      </c>
      <c r="M54" s="3">
        <v>5452560</v>
      </c>
    </row>
    <row r="55" spans="1:13" s="18" customFormat="1" outlineLevel="2">
      <c r="A55" s="19" t="s">
        <v>40</v>
      </c>
      <c r="B55" s="20" t="s">
        <v>58</v>
      </c>
      <c r="C55" s="21" t="s">
        <v>43</v>
      </c>
      <c r="D55" s="20" t="s">
        <v>44</v>
      </c>
      <c r="E55" s="3">
        <v>7270080</v>
      </c>
      <c r="F55" s="19">
        <v>43873</v>
      </c>
      <c r="G55" s="3">
        <v>7270080</v>
      </c>
      <c r="H55" s="2">
        <v>5.0000000000000001E-3</v>
      </c>
      <c r="I55" s="19">
        <v>43891</v>
      </c>
      <c r="J55" s="19">
        <v>43921</v>
      </c>
      <c r="K55" s="3">
        <f t="shared" si="2"/>
        <v>31</v>
      </c>
      <c r="L55" s="3">
        <f t="shared" si="3"/>
        <v>3079</v>
      </c>
      <c r="M55" s="3">
        <v>7270080</v>
      </c>
    </row>
    <row r="56" spans="1:13" s="18" customFormat="1" ht="13.5" outlineLevel="1">
      <c r="A56" s="22" t="s">
        <v>49</v>
      </c>
      <c r="B56" s="23"/>
      <c r="C56" s="24"/>
      <c r="D56" s="23"/>
      <c r="E56" s="25">
        <f>SUBTOTAL(9,E42:E55)</f>
        <v>622738000</v>
      </c>
      <c r="F56" s="26"/>
      <c r="G56" s="25"/>
      <c r="H56" s="27"/>
      <c r="I56" s="26"/>
      <c r="J56" s="26"/>
      <c r="K56" s="25"/>
      <c r="L56" s="25">
        <f>SUBTOTAL(9,L42:L55)</f>
        <v>226187</v>
      </c>
      <c r="M56" s="25">
        <f>SUBTOTAL(9,M42:M55)</f>
        <v>622738000</v>
      </c>
    </row>
    <row r="57" spans="1:13" s="18" customFormat="1" outlineLevel="2">
      <c r="A57" s="19" t="s">
        <v>63</v>
      </c>
      <c r="B57" s="20" t="s">
        <v>16</v>
      </c>
      <c r="C57" s="21" t="s">
        <v>21</v>
      </c>
      <c r="D57" s="20" t="s">
        <v>22</v>
      </c>
      <c r="E57" s="3">
        <v>72000000</v>
      </c>
      <c r="F57" s="19">
        <v>43917</v>
      </c>
      <c r="G57" s="3">
        <v>72000000</v>
      </c>
      <c r="H57" s="2">
        <v>5.0000000000000001E-3</v>
      </c>
      <c r="I57" s="19">
        <v>43917</v>
      </c>
      <c r="J57" s="19">
        <v>43921</v>
      </c>
      <c r="K57" s="3">
        <f>J57-I57+1</f>
        <v>5</v>
      </c>
      <c r="L57" s="3">
        <f>ROUND(G57*H57*K57/366,0)</f>
        <v>4918</v>
      </c>
      <c r="M57" s="3">
        <v>72000000</v>
      </c>
    </row>
    <row r="58" spans="1:13" s="18" customFormat="1" ht="13.5" outlineLevel="1">
      <c r="A58" s="22" t="s">
        <v>62</v>
      </c>
      <c r="B58" s="23"/>
      <c r="C58" s="24"/>
      <c r="D58" s="23"/>
      <c r="E58" s="25">
        <f>SUBTOTAL(9,E57:E57)</f>
        <v>72000000</v>
      </c>
      <c r="F58" s="26"/>
      <c r="G58" s="25"/>
      <c r="H58" s="27"/>
      <c r="I58" s="26"/>
      <c r="J58" s="26"/>
      <c r="K58" s="25"/>
      <c r="L58" s="25">
        <f>SUBTOTAL(9,L57:L57)</f>
        <v>4918</v>
      </c>
      <c r="M58" s="25">
        <f>SUBTOTAL(9,M57:M57)</f>
        <v>72000000</v>
      </c>
    </row>
    <row r="59" spans="1:13" s="18" customFormat="1" outlineLevel="2">
      <c r="A59" s="19" t="s">
        <v>50</v>
      </c>
      <c r="B59" s="20" t="s">
        <v>16</v>
      </c>
      <c r="C59" s="21" t="s">
        <v>21</v>
      </c>
      <c r="D59" s="20" t="s">
        <v>22</v>
      </c>
      <c r="E59" s="3">
        <v>190000000</v>
      </c>
      <c r="F59" s="19">
        <v>43797</v>
      </c>
      <c r="G59" s="3">
        <v>190000000</v>
      </c>
      <c r="H59" s="2">
        <v>5.0000000000000001E-3</v>
      </c>
      <c r="I59" s="19">
        <v>43891</v>
      </c>
      <c r="J59" s="19">
        <v>43921</v>
      </c>
      <c r="K59" s="3">
        <f>J59-I59+1</f>
        <v>31</v>
      </c>
      <c r="L59" s="3">
        <f>ROUND(G59*H59*K59/366,0)</f>
        <v>80464</v>
      </c>
      <c r="M59" s="3">
        <v>190000000</v>
      </c>
    </row>
    <row r="60" spans="1:13" s="18" customFormat="1" outlineLevel="2">
      <c r="A60" s="19" t="s">
        <v>50</v>
      </c>
      <c r="B60" s="20" t="s">
        <v>23</v>
      </c>
      <c r="C60" s="21" t="s">
        <v>21</v>
      </c>
      <c r="D60" s="20" t="s">
        <v>22</v>
      </c>
      <c r="E60" s="3">
        <v>37000000</v>
      </c>
      <c r="F60" s="19">
        <v>43829</v>
      </c>
      <c r="G60" s="3">
        <v>37000000</v>
      </c>
      <c r="H60" s="2">
        <v>5.0000000000000001E-3</v>
      </c>
      <c r="I60" s="19">
        <v>43891</v>
      </c>
      <c r="J60" s="19">
        <v>43921</v>
      </c>
      <c r="K60" s="3">
        <f>J60-I60+1</f>
        <v>31</v>
      </c>
      <c r="L60" s="3">
        <f>ROUND(G60*H60*K60/366,0)</f>
        <v>15669</v>
      </c>
      <c r="M60" s="3">
        <v>37000000</v>
      </c>
    </row>
    <row r="61" spans="1:13" s="18" customFormat="1" outlineLevel="2">
      <c r="A61" s="19" t="s">
        <v>50</v>
      </c>
      <c r="B61" s="20" t="s">
        <v>29</v>
      </c>
      <c r="C61" s="21" t="s">
        <v>57</v>
      </c>
      <c r="D61" s="20" t="s">
        <v>56</v>
      </c>
      <c r="E61" s="3">
        <v>17276700</v>
      </c>
      <c r="F61" s="19">
        <v>43878</v>
      </c>
      <c r="G61" s="3">
        <v>17276700</v>
      </c>
      <c r="H61" s="2">
        <v>5.0000000000000001E-3</v>
      </c>
      <c r="I61" s="19">
        <v>43891</v>
      </c>
      <c r="J61" s="19">
        <v>43905</v>
      </c>
      <c r="K61" s="3">
        <f>J61-I61+1</f>
        <v>15</v>
      </c>
      <c r="L61" s="3">
        <f>ROUND(G61*H61*K61/366,0)</f>
        <v>3540</v>
      </c>
      <c r="M61" s="3">
        <v>16988755</v>
      </c>
    </row>
    <row r="62" spans="1:13" s="18" customFormat="1" outlineLevel="2">
      <c r="A62" s="19" t="s">
        <v>50</v>
      </c>
      <c r="B62" s="20" t="s">
        <v>29</v>
      </c>
      <c r="C62" s="21" t="s">
        <v>57</v>
      </c>
      <c r="D62" s="20"/>
      <c r="E62" s="3"/>
      <c r="F62" s="19"/>
      <c r="G62" s="3">
        <v>16988755</v>
      </c>
      <c r="H62" s="2">
        <v>5.0000000000000001E-3</v>
      </c>
      <c r="I62" s="19">
        <v>43906</v>
      </c>
      <c r="J62" s="19">
        <v>43921</v>
      </c>
      <c r="K62" s="3">
        <f>J62-I62+1</f>
        <v>16</v>
      </c>
      <c r="L62" s="3">
        <f>ROUND(G62*H62*K62/366,0)</f>
        <v>3713</v>
      </c>
      <c r="M62" s="3"/>
    </row>
    <row r="63" spans="1:13" s="18" customFormat="1" outlineLevel="2">
      <c r="A63" s="19" t="s">
        <v>50</v>
      </c>
      <c r="B63" s="20" t="s">
        <v>30</v>
      </c>
      <c r="C63" s="21" t="s">
        <v>21</v>
      </c>
      <c r="D63" s="20" t="s">
        <v>22</v>
      </c>
      <c r="E63" s="3">
        <v>73000000</v>
      </c>
      <c r="F63" s="19">
        <v>43896</v>
      </c>
      <c r="G63" s="3">
        <v>73000000</v>
      </c>
      <c r="H63" s="2">
        <v>5.0000000000000001E-3</v>
      </c>
      <c r="I63" s="19">
        <v>43896</v>
      </c>
      <c r="J63" s="19">
        <v>43921</v>
      </c>
      <c r="K63" s="3">
        <f>J63-I63+1</f>
        <v>26</v>
      </c>
      <c r="L63" s="3">
        <f>ROUND(G63*H63*K63/366,0)</f>
        <v>25929</v>
      </c>
      <c r="M63" s="3">
        <v>73000000</v>
      </c>
    </row>
    <row r="64" spans="1:13" s="18" customFormat="1" ht="13.5" outlineLevel="1">
      <c r="A64" s="22" t="s">
        <v>51</v>
      </c>
      <c r="B64" s="23"/>
      <c r="C64" s="24"/>
      <c r="D64" s="23"/>
      <c r="E64" s="25">
        <f>SUBTOTAL(9,E59:E63)</f>
        <v>317276700</v>
      </c>
      <c r="F64" s="26"/>
      <c r="G64" s="25"/>
      <c r="H64" s="27"/>
      <c r="I64" s="26"/>
      <c r="J64" s="26"/>
      <c r="K64" s="25"/>
      <c r="L64" s="25">
        <f>SUBTOTAL(9,L59:L63)</f>
        <v>129315</v>
      </c>
      <c r="M64" s="25">
        <f>SUBTOTAL(9,M59:M63)</f>
        <v>316988755</v>
      </c>
    </row>
    <row r="65" spans="1:16" s="34" customFormat="1" ht="13.5" outlineLevel="1">
      <c r="A65" s="28"/>
      <c r="B65" s="29"/>
      <c r="C65" s="30"/>
      <c r="D65" s="29"/>
      <c r="E65" s="31"/>
      <c r="F65" s="32"/>
      <c r="G65" s="31"/>
      <c r="H65" s="33"/>
      <c r="I65" s="32"/>
      <c r="J65" s="32"/>
      <c r="K65" s="31"/>
      <c r="L65" s="31"/>
      <c r="M65" s="31"/>
    </row>
    <row r="66" spans="1:16" s="18" customFormat="1" ht="13.5">
      <c r="A66" s="26" t="s">
        <v>52</v>
      </c>
      <c r="B66" s="23"/>
      <c r="C66" s="24"/>
      <c r="D66" s="23"/>
      <c r="E66" s="25">
        <f>SUBTOTAL(9,E4:E63)</f>
        <v>2842987062</v>
      </c>
      <c r="F66" s="26"/>
      <c r="G66" s="25"/>
      <c r="H66" s="27"/>
      <c r="I66" s="26"/>
      <c r="J66" s="26"/>
      <c r="K66" s="25"/>
      <c r="L66" s="25">
        <f>SUBTOTAL(9,L4:L63)</f>
        <v>906582</v>
      </c>
      <c r="M66" s="25">
        <f>SUBTOTAL(9,M4:M63)</f>
        <v>2821679116</v>
      </c>
    </row>
    <row r="67" spans="1:16" s="18" customForma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6">
      <c r="A68" s="35" t="s">
        <v>54</v>
      </c>
      <c r="B68" s="35"/>
      <c r="E68" s="36" t="s">
        <v>55</v>
      </c>
      <c r="G68" s="6"/>
      <c r="I68" s="37" t="s">
        <v>53</v>
      </c>
    </row>
    <row r="69" spans="1:16" s="18" customForma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s="18" customForma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s="18" customForma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 spans="1:16" s="18" customForma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spans="1:16" s="18" customForma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</row>
    <row r="74" spans="1:16" s="18" customForma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s="18" customForma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 spans="1:16" s="18" customForma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</row>
    <row r="77" spans="1:16" s="18" customForma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6" s="18" customForma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s="18" customForma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0" spans="1:16" s="18" customForma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16" s="18" customForma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s="18" customForma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 spans="1:16" s="18" customForma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spans="1:16" s="18" customForma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16" s="18" customForma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 s="18" customForma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1:16" s="18" customForma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6" s="18" customForma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16" s="18" customForma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s="18" customForma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spans="1:16" s="18" customForma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  <row r="92" spans="1:16" s="18" customForma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s="18" customForma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 spans="1:16" s="18" customForma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 spans="1:16" s="18" customForma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spans="1:16" s="18" customForma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s="18" customForma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spans="1:16" s="18" customForma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s="18" customForma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 s="18" customForma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spans="1:16" s="18" customForma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spans="1:16" s="18" customForma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spans="1:16" s="18" customForma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s="18" customForma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s="18" customForma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spans="1:16" s="18" customForma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6" s="18" customForma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6" s="18" customForma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 spans="1:16" s="18" customForma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spans="1:16" s="18" customForma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6" s="18" customForma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6" s="18" customForma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spans="1:16" s="18" customForma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 spans="1:16" s="18" customForma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</row>
    <row r="115" spans="1:16" s="18" customForma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 spans="1:16" s="18" customForma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 spans="1:16" s="18" customForma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 spans="1:16" s="18" customForma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 spans="1:16" s="18" customForma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 spans="1:16" s="18" customForma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 spans="1:16" s="18" customForma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 spans="1:16" s="18" customForma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 spans="1:16" s="18" customForma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 spans="1:16" s="18" customForma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spans="1:16" s="18" customForma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spans="1:16" s="18" customForma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 spans="1:16" s="18" customForma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spans="1:16" s="18" customForma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 spans="1:16" s="18" customForma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spans="1:16" s="18" customForma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spans="1:16" s="18" customForma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spans="1:16" s="18" customForma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s="18" customForma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spans="1:16" s="18" customForma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spans="1:16" s="18" customForma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spans="1:16" s="18" customForma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spans="1:16" s="18" customForma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spans="1:16" s="18" customForma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spans="1:16" s="18" customForma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spans="1:16" s="18" customForma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spans="1:16" s="18" customForma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spans="1:16" s="18" customForma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spans="1:16" s="18" customForma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s="18" customForma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spans="1:16" s="18" customForma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spans="1:16" s="18" customForma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spans="1:16" s="18" customForma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spans="1:16" s="18" customForma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spans="1:16" s="18" customForma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spans="1:16" s="18" customForma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spans="1:16" s="18" customForma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 spans="1:16" s="18" customForma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 spans="1:16" s="18" customForma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 spans="1:16" s="18" customForma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 spans="1:16" s="18" customForma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spans="1:16" s="18" customForma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spans="1:16" s="18" customForma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 spans="1:16" s="18" customForma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 spans="1:16" s="18" customForma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 spans="1:16" s="18" customForma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 spans="1:16" s="18" customForma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 spans="1:16" s="18" customForma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16" s="18" customForma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spans="1:16" s="18" customForma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6" s="18" customForma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spans="1:16" s="18" customForma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6" s="18" customForma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6" s="18" customForma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6" s="18" customForma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6" s="18" customForma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6" s="18" customForma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6" s="18" customForma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6" s="18" customForma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6" s="18" customForma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spans="1:16" s="18" customForma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spans="1:16" s="18" customForma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spans="1:16" s="18" customForma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spans="1:16" s="18" customForma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spans="1:16" s="18" customForma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spans="1:16" s="18" customForma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spans="1:16" s="18" customForma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spans="1:16" s="18" customForma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spans="1:16" s="18" customForma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spans="1:16" s="18" customForma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spans="1:16" s="18" customForma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spans="1:16" s="18" customForma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spans="1:16" s="18" customForma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6" s="18" customForma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6" s="18" customForma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6" s="18" customForma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6" s="18" customForma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6" s="18" customForma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s="18" customForma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s="18" customForma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s="18" customForma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s="18" customForma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s="18" customForma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s="18" customForma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s="18" customForma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s="18" customForma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s="18" customForma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spans="1:16" s="18" customForma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spans="1:16" s="18" customForma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s="18" customForma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spans="1:16" s="18" customForma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spans="1:16" s="18" customForma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spans="1:16" s="18" customForma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spans="1:16" s="18" customForma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spans="1:16" s="18" customForma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spans="1:16" s="18" customForma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spans="1:16" s="18" customForma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spans="1:16" s="18" customForma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spans="1:16" s="18" customForma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s="18" customForma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spans="1:16" s="18" customForma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spans="1:16" s="18" customForma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spans="1:16" s="18" customForma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 s="18" customForma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</sheetData>
  <autoFilter ref="A3:M64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B8A5-821C-42B4-B9E6-765B9B448C38}">
  <dimension ref="A1:P837"/>
  <sheetViews>
    <sheetView zoomScale="99" zoomScaleNormal="99" workbookViewId="0">
      <selection activeCell="C18" sqref="C18:C19"/>
    </sheetView>
  </sheetViews>
  <sheetFormatPr defaultColWidth="5.33203125" defaultRowHeight="13.15" outlineLevelRow="2"/>
  <cols>
    <col min="1" max="1" width="16.06640625" style="6" bestFit="1" customWidth="1"/>
    <col min="2" max="2" width="8.46484375" style="6" bestFit="1" customWidth="1"/>
    <col min="3" max="3" width="18" style="6" bestFit="1" customWidth="1"/>
    <col min="4" max="4" width="12.06640625" style="6" bestFit="1" customWidth="1"/>
    <col min="5" max="5" width="13.73046875" style="10" bestFit="1" customWidth="1"/>
    <col min="6" max="6" width="12.06640625" style="11" bestFit="1" customWidth="1"/>
    <col min="7" max="7" width="12.06640625" style="10" bestFit="1" customWidth="1"/>
    <col min="8" max="8" width="10.46484375" style="12" bestFit="1" customWidth="1"/>
    <col min="9" max="10" width="8.9296875" style="6" bestFit="1" customWidth="1"/>
    <col min="11" max="11" width="10.46484375" style="6" bestFit="1" customWidth="1"/>
    <col min="12" max="12" width="10.46484375" style="10" bestFit="1" customWidth="1"/>
    <col min="13" max="13" width="13.7304687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43951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43922</v>
      </c>
      <c r="J4" s="19">
        <v>43951</v>
      </c>
      <c r="K4" s="3">
        <f t="shared" ref="K4:K10" si="0">J4-I4+1</f>
        <v>30</v>
      </c>
      <c r="L4" s="3">
        <f t="shared" ref="L4:L10" si="1">ROUND(G4*H4*K4/366,0)</f>
        <v>66598</v>
      </c>
      <c r="M4" s="3">
        <v>162500000</v>
      </c>
    </row>
    <row r="5" spans="1:13" s="18" customFormat="1" outlineLevel="2">
      <c r="A5" s="19" t="s">
        <v>15</v>
      </c>
      <c r="B5" s="20" t="s">
        <v>23</v>
      </c>
      <c r="C5" s="21" t="s">
        <v>17</v>
      </c>
      <c r="D5" s="20" t="s">
        <v>18</v>
      </c>
      <c r="E5" s="3">
        <v>6430000</v>
      </c>
      <c r="F5" s="19">
        <v>43920</v>
      </c>
      <c r="G5" s="3">
        <v>6430000</v>
      </c>
      <c r="H5" s="2">
        <v>5.0000000000000001E-3</v>
      </c>
      <c r="I5" s="19">
        <v>43922</v>
      </c>
      <c r="J5" s="19">
        <v>43951</v>
      </c>
      <c r="K5" s="3">
        <f t="shared" si="0"/>
        <v>30</v>
      </c>
      <c r="L5" s="3">
        <f t="shared" si="1"/>
        <v>2635</v>
      </c>
      <c r="M5" s="3">
        <v>6430000</v>
      </c>
    </row>
    <row r="6" spans="1:13" s="18" customFormat="1" outlineLevel="2">
      <c r="A6" s="19" t="s">
        <v>15</v>
      </c>
      <c r="B6" s="20" t="s">
        <v>29</v>
      </c>
      <c r="C6" s="21" t="s">
        <v>57</v>
      </c>
      <c r="D6" s="20" t="s">
        <v>56</v>
      </c>
      <c r="E6" s="3">
        <v>28600000</v>
      </c>
      <c r="F6" s="19">
        <v>43921</v>
      </c>
      <c r="G6" s="3">
        <v>28600000</v>
      </c>
      <c r="H6" s="2">
        <v>5.0000000000000001E-3</v>
      </c>
      <c r="I6" s="19">
        <v>43922</v>
      </c>
      <c r="J6" s="19">
        <v>43951</v>
      </c>
      <c r="K6" s="3">
        <f t="shared" si="0"/>
        <v>30</v>
      </c>
      <c r="L6" s="3">
        <f t="shared" si="1"/>
        <v>11721</v>
      </c>
      <c r="M6" s="3">
        <v>28600000</v>
      </c>
    </row>
    <row r="7" spans="1:13" s="18" customFormat="1" outlineLevel="2">
      <c r="A7" s="19" t="s">
        <v>15</v>
      </c>
      <c r="B7" s="20" t="s">
        <v>30</v>
      </c>
      <c r="C7" s="21" t="s">
        <v>74</v>
      </c>
      <c r="D7" s="20" t="s">
        <v>73</v>
      </c>
      <c r="E7" s="3">
        <v>20000000</v>
      </c>
      <c r="F7" s="19">
        <v>43922</v>
      </c>
      <c r="G7" s="3">
        <v>20000000</v>
      </c>
      <c r="H7" s="2">
        <v>5.0000000000000001E-3</v>
      </c>
      <c r="I7" s="19">
        <v>43922</v>
      </c>
      <c r="J7" s="19">
        <v>43951</v>
      </c>
      <c r="K7" s="3">
        <f t="shared" si="0"/>
        <v>30</v>
      </c>
      <c r="L7" s="3">
        <f t="shared" si="1"/>
        <v>8197</v>
      </c>
      <c r="M7" s="3">
        <v>20000000</v>
      </c>
    </row>
    <row r="8" spans="1:13" s="18" customFormat="1" outlineLevel="2">
      <c r="A8" s="19" t="s">
        <v>15</v>
      </c>
      <c r="B8" s="20" t="s">
        <v>31</v>
      </c>
      <c r="C8" s="21" t="s">
        <v>57</v>
      </c>
      <c r="D8" s="20" t="s">
        <v>56</v>
      </c>
      <c r="E8" s="3">
        <v>10000000</v>
      </c>
      <c r="F8" s="19">
        <v>43934</v>
      </c>
      <c r="G8" s="3">
        <v>10000000</v>
      </c>
      <c r="H8" s="2">
        <v>5.0000000000000001E-3</v>
      </c>
      <c r="I8" s="19">
        <v>43934</v>
      </c>
      <c r="J8" s="19">
        <v>43951</v>
      </c>
      <c r="K8" s="3">
        <f t="shared" si="0"/>
        <v>18</v>
      </c>
      <c r="L8" s="3">
        <f t="shared" si="1"/>
        <v>2459</v>
      </c>
      <c r="M8" s="3">
        <v>10000000</v>
      </c>
    </row>
    <row r="9" spans="1:13" s="18" customFormat="1" outlineLevel="2">
      <c r="A9" s="19" t="s">
        <v>15</v>
      </c>
      <c r="B9" s="20" t="s">
        <v>32</v>
      </c>
      <c r="C9" s="21" t="s">
        <v>57</v>
      </c>
      <c r="D9" s="20" t="s">
        <v>56</v>
      </c>
      <c r="E9" s="3">
        <v>30000000</v>
      </c>
      <c r="F9" s="19">
        <v>43937</v>
      </c>
      <c r="G9" s="3">
        <v>30000000</v>
      </c>
      <c r="H9" s="2">
        <v>5.0000000000000001E-3</v>
      </c>
      <c r="I9" s="19">
        <v>43937</v>
      </c>
      <c r="J9" s="19">
        <v>43951</v>
      </c>
      <c r="K9" s="3">
        <f t="shared" si="0"/>
        <v>15</v>
      </c>
      <c r="L9" s="3">
        <f t="shared" si="1"/>
        <v>6148</v>
      </c>
      <c r="M9" s="3">
        <v>30000000</v>
      </c>
    </row>
    <row r="10" spans="1:13" s="18" customFormat="1" outlineLevel="2">
      <c r="A10" s="19" t="s">
        <v>15</v>
      </c>
      <c r="B10" s="20" t="s">
        <v>48</v>
      </c>
      <c r="C10" s="21" t="s">
        <v>57</v>
      </c>
      <c r="D10" s="20" t="s">
        <v>56</v>
      </c>
      <c r="E10" s="3">
        <v>58360000</v>
      </c>
      <c r="F10" s="19">
        <v>43929</v>
      </c>
      <c r="G10" s="3">
        <v>58360000</v>
      </c>
      <c r="H10" s="2">
        <v>5.0000000000000001E-3</v>
      </c>
      <c r="I10" s="19">
        <v>43929</v>
      </c>
      <c r="J10" s="19">
        <v>43951</v>
      </c>
      <c r="K10" s="3">
        <f t="shared" si="0"/>
        <v>23</v>
      </c>
      <c r="L10" s="3">
        <f t="shared" si="1"/>
        <v>18337</v>
      </c>
      <c r="M10" s="3">
        <v>58360000</v>
      </c>
    </row>
    <row r="11" spans="1:13" s="18" customFormat="1" ht="13.5" outlineLevel="1">
      <c r="A11" s="22" t="s">
        <v>19</v>
      </c>
      <c r="B11" s="23"/>
      <c r="C11" s="24"/>
      <c r="D11" s="23"/>
      <c r="E11" s="25">
        <f>SUBTOTAL(9,E4:E10)</f>
        <v>315890000</v>
      </c>
      <c r="F11" s="26"/>
      <c r="G11" s="25"/>
      <c r="H11" s="27"/>
      <c r="I11" s="26"/>
      <c r="J11" s="26"/>
      <c r="K11" s="25"/>
      <c r="L11" s="25">
        <f>SUBTOTAL(9,L4:L10)</f>
        <v>116095</v>
      </c>
      <c r="M11" s="25">
        <f>SUBTOTAL(9,M4:M10)</f>
        <v>315890000</v>
      </c>
    </row>
    <row r="12" spans="1:13" s="18" customFormat="1" outlineLevel="2">
      <c r="A12" s="19" t="s">
        <v>80</v>
      </c>
      <c r="B12" s="20" t="s">
        <v>16</v>
      </c>
      <c r="C12" s="21" t="s">
        <v>57</v>
      </c>
      <c r="D12" s="20" t="s">
        <v>56</v>
      </c>
      <c r="E12" s="3">
        <v>26500000</v>
      </c>
      <c r="F12" s="19">
        <v>43907</v>
      </c>
      <c r="G12" s="3">
        <v>26500000</v>
      </c>
      <c r="H12" s="2">
        <v>5.0000000000000001E-3</v>
      </c>
      <c r="I12" s="19">
        <v>43922</v>
      </c>
      <c r="J12" s="19">
        <v>43935</v>
      </c>
      <c r="K12" s="3">
        <f>J12-I12+1</f>
        <v>14</v>
      </c>
      <c r="L12" s="3">
        <f>ROUND(G12*H12*K12/366,0)</f>
        <v>5068</v>
      </c>
      <c r="M12" s="3">
        <v>26184524</v>
      </c>
    </row>
    <row r="13" spans="1:13" s="18" customFormat="1" outlineLevel="2">
      <c r="A13" s="19" t="s">
        <v>80</v>
      </c>
      <c r="B13" s="20" t="s">
        <v>16</v>
      </c>
      <c r="C13" s="21" t="s">
        <v>57</v>
      </c>
      <c r="D13" s="20"/>
      <c r="E13" s="3"/>
      <c r="F13" s="19"/>
      <c r="G13" s="3">
        <v>26184524</v>
      </c>
      <c r="H13" s="2">
        <v>5.0000000000000001E-3</v>
      </c>
      <c r="I13" s="19">
        <v>43936</v>
      </c>
      <c r="J13" s="19">
        <v>43951</v>
      </c>
      <c r="K13" s="3">
        <f>J13-I13+1</f>
        <v>16</v>
      </c>
      <c r="L13" s="3">
        <f>ROUND(G13*H13*K13/366,0)</f>
        <v>5723</v>
      </c>
      <c r="M13" s="3"/>
    </row>
    <row r="14" spans="1:13" s="18" customFormat="1" outlineLevel="2">
      <c r="A14" s="19" t="s">
        <v>80</v>
      </c>
      <c r="B14" s="20" t="s">
        <v>23</v>
      </c>
      <c r="C14" s="21" t="s">
        <v>74</v>
      </c>
      <c r="D14" s="20" t="s">
        <v>73</v>
      </c>
      <c r="E14" s="3">
        <v>90000000</v>
      </c>
      <c r="F14" s="19">
        <v>43913</v>
      </c>
      <c r="G14" s="3">
        <v>90000000</v>
      </c>
      <c r="H14" s="2">
        <v>5.0000000000000001E-3</v>
      </c>
      <c r="I14" s="19">
        <v>43922</v>
      </c>
      <c r="J14" s="19">
        <v>43951</v>
      </c>
      <c r="K14" s="3">
        <f>J14-I14+1</f>
        <v>30</v>
      </c>
      <c r="L14" s="3">
        <f>ROUND(G14*H14*K14/366,0)</f>
        <v>36885</v>
      </c>
      <c r="M14" s="3">
        <v>90000000</v>
      </c>
    </row>
    <row r="15" spans="1:13" s="18" customFormat="1" outlineLevel="2">
      <c r="A15" s="19" t="s">
        <v>80</v>
      </c>
      <c r="B15" s="20" t="s">
        <v>29</v>
      </c>
      <c r="C15" s="21" t="s">
        <v>57</v>
      </c>
      <c r="D15" s="20" t="s">
        <v>56</v>
      </c>
      <c r="E15" s="3">
        <v>23500000</v>
      </c>
      <c r="F15" s="19">
        <v>43928</v>
      </c>
      <c r="G15" s="3">
        <v>23500000</v>
      </c>
      <c r="H15" s="2">
        <v>5.0000000000000001E-3</v>
      </c>
      <c r="I15" s="19">
        <v>43928</v>
      </c>
      <c r="J15" s="19">
        <v>43935</v>
      </c>
      <c r="K15" s="3">
        <f>J15-I15+1</f>
        <v>8</v>
      </c>
      <c r="L15" s="3">
        <f>ROUND(G15*H15*K15/366,0)</f>
        <v>2568</v>
      </c>
      <c r="M15" s="3">
        <v>23220237</v>
      </c>
    </row>
    <row r="16" spans="1:13" s="18" customFormat="1" outlineLevel="2">
      <c r="A16" s="19" t="s">
        <v>80</v>
      </c>
      <c r="B16" s="20" t="s">
        <v>29</v>
      </c>
      <c r="C16" s="21" t="s">
        <v>57</v>
      </c>
      <c r="D16" s="20"/>
      <c r="E16" s="3"/>
      <c r="F16" s="19"/>
      <c r="G16" s="3">
        <v>23220237</v>
      </c>
      <c r="H16" s="2">
        <v>5.0000000000000001E-3</v>
      </c>
      <c r="I16" s="19">
        <v>43936</v>
      </c>
      <c r="J16" s="19">
        <v>43951</v>
      </c>
      <c r="K16" s="3">
        <f>J16-I16+1</f>
        <v>16</v>
      </c>
      <c r="L16" s="3">
        <f>ROUND(G16*H16*K16/366,0)</f>
        <v>5075</v>
      </c>
      <c r="M16" s="3"/>
    </row>
    <row r="17" spans="1:13" s="18" customFormat="1" ht="13.5" outlineLevel="1">
      <c r="A17" s="22" t="s">
        <v>79</v>
      </c>
      <c r="B17" s="23"/>
      <c r="C17" s="24"/>
      <c r="D17" s="23"/>
      <c r="E17" s="25">
        <f>SUBTOTAL(9,E12:E16)</f>
        <v>140000000</v>
      </c>
      <c r="F17" s="26"/>
      <c r="G17" s="25"/>
      <c r="H17" s="27"/>
      <c r="I17" s="26"/>
      <c r="J17" s="26"/>
      <c r="K17" s="25"/>
      <c r="L17" s="25">
        <f>SUBTOTAL(9,L12:L16)</f>
        <v>55319</v>
      </c>
      <c r="M17" s="25">
        <f>SUBTOTAL(9,M12:M16)</f>
        <v>139404761</v>
      </c>
    </row>
    <row r="18" spans="1:13" s="18" customFormat="1" outlineLevel="2">
      <c r="A18" s="19" t="s">
        <v>78</v>
      </c>
      <c r="B18" s="20" t="s">
        <v>16</v>
      </c>
      <c r="C18" s="21" t="s">
        <v>77</v>
      </c>
      <c r="D18" s="20" t="s">
        <v>76</v>
      </c>
      <c r="E18" s="3">
        <v>81465386</v>
      </c>
      <c r="F18" s="19">
        <v>43900</v>
      </c>
      <c r="G18" s="3">
        <v>81465386</v>
      </c>
      <c r="H18" s="2">
        <v>5.0000000000000001E-3</v>
      </c>
      <c r="I18" s="19">
        <v>43922</v>
      </c>
      <c r="J18" s="19">
        <v>43951</v>
      </c>
      <c r="K18" s="3">
        <f>J18-I18+1</f>
        <v>30</v>
      </c>
      <c r="L18" s="3">
        <f>ROUND(G18*H18*K18/366,0)</f>
        <v>33387</v>
      </c>
      <c r="M18" s="3">
        <v>81465386</v>
      </c>
    </row>
    <row r="19" spans="1:13" s="18" customFormat="1" outlineLevel="2">
      <c r="A19" s="19" t="s">
        <v>78</v>
      </c>
      <c r="B19" s="20" t="s">
        <v>23</v>
      </c>
      <c r="C19" s="21" t="s">
        <v>95</v>
      </c>
      <c r="D19" s="20" t="s">
        <v>94</v>
      </c>
      <c r="E19" s="3">
        <v>6200000</v>
      </c>
      <c r="F19" s="19">
        <v>43929</v>
      </c>
      <c r="G19" s="3">
        <v>6200000</v>
      </c>
      <c r="H19" s="2">
        <v>5.0000000000000001E-3</v>
      </c>
      <c r="I19" s="19">
        <v>43929</v>
      </c>
      <c r="J19" s="19">
        <v>43951</v>
      </c>
      <c r="K19" s="3">
        <f>J19-I19+1</f>
        <v>23</v>
      </c>
      <c r="L19" s="3">
        <f>ROUND(G19*H19*K19/366,0)</f>
        <v>1948</v>
      </c>
      <c r="M19" s="3">
        <v>6200000</v>
      </c>
    </row>
    <row r="20" spans="1:13" s="18" customFormat="1" outlineLevel="2">
      <c r="A20" s="19" t="s">
        <v>78</v>
      </c>
      <c r="B20" s="20" t="s">
        <v>29</v>
      </c>
      <c r="C20" s="21" t="s">
        <v>95</v>
      </c>
      <c r="D20" s="20" t="s">
        <v>94</v>
      </c>
      <c r="E20" s="3">
        <v>23630000</v>
      </c>
      <c r="F20" s="19">
        <v>43936</v>
      </c>
      <c r="G20" s="3">
        <v>23630000</v>
      </c>
      <c r="H20" s="2">
        <v>5.0000000000000001E-3</v>
      </c>
      <c r="I20" s="19">
        <v>43936</v>
      </c>
      <c r="J20" s="19">
        <v>43951</v>
      </c>
      <c r="K20" s="3">
        <f>J20-I20+1</f>
        <v>16</v>
      </c>
      <c r="L20" s="3">
        <f>ROUND(G20*H20*K20/366,0)</f>
        <v>5165</v>
      </c>
      <c r="M20" s="3">
        <v>23630000</v>
      </c>
    </row>
    <row r="21" spans="1:13" s="18" customFormat="1" outlineLevel="2">
      <c r="A21" s="19" t="s">
        <v>78</v>
      </c>
      <c r="B21" s="20" t="s">
        <v>30</v>
      </c>
      <c r="C21" s="21" t="s">
        <v>72</v>
      </c>
      <c r="D21" s="20" t="s">
        <v>71</v>
      </c>
      <c r="E21" s="3">
        <v>24000000</v>
      </c>
      <c r="F21" s="19">
        <v>43937</v>
      </c>
      <c r="G21" s="3">
        <v>24000000</v>
      </c>
      <c r="H21" s="2">
        <v>5.0000000000000001E-3</v>
      </c>
      <c r="I21" s="19">
        <v>43937</v>
      </c>
      <c r="J21" s="19">
        <v>43951</v>
      </c>
      <c r="K21" s="3">
        <f>J21-I21+1</f>
        <v>15</v>
      </c>
      <c r="L21" s="3">
        <f>ROUND(G21*H21*K21/366,0)</f>
        <v>4918</v>
      </c>
      <c r="M21" s="3">
        <v>24000000</v>
      </c>
    </row>
    <row r="22" spans="1:13" s="18" customFormat="1" outlineLevel="2">
      <c r="A22" s="19" t="s">
        <v>78</v>
      </c>
      <c r="B22" s="20" t="s">
        <v>31</v>
      </c>
      <c r="C22" s="21" t="s">
        <v>93</v>
      </c>
      <c r="D22" s="20" t="s">
        <v>92</v>
      </c>
      <c r="E22" s="3">
        <v>28240000</v>
      </c>
      <c r="F22" s="19">
        <v>43951</v>
      </c>
      <c r="G22" s="3">
        <v>28240000</v>
      </c>
      <c r="H22" s="2">
        <v>5.0000000000000001E-3</v>
      </c>
      <c r="I22" s="19">
        <v>43951</v>
      </c>
      <c r="J22" s="19">
        <v>43951</v>
      </c>
      <c r="K22" s="3">
        <f>J22-I22+1</f>
        <v>1</v>
      </c>
      <c r="L22" s="3">
        <f>ROUND(G22*H22*K22/366,0)</f>
        <v>386</v>
      </c>
      <c r="M22" s="3">
        <v>28240000</v>
      </c>
    </row>
    <row r="23" spans="1:13" s="18" customFormat="1" ht="13.5" outlineLevel="1">
      <c r="A23" s="22" t="s">
        <v>75</v>
      </c>
      <c r="B23" s="23"/>
      <c r="C23" s="24"/>
      <c r="D23" s="23"/>
      <c r="E23" s="25">
        <f>SUBTOTAL(9,E18:E22)</f>
        <v>163535386</v>
      </c>
      <c r="F23" s="26"/>
      <c r="G23" s="25"/>
      <c r="H23" s="27"/>
      <c r="I23" s="26"/>
      <c r="J23" s="26"/>
      <c r="K23" s="25"/>
      <c r="L23" s="25">
        <f>SUBTOTAL(9,L18:L22)</f>
        <v>45804</v>
      </c>
      <c r="M23" s="25">
        <f>SUBTOTAL(9,M18:M22)</f>
        <v>163535386</v>
      </c>
    </row>
    <row r="24" spans="1:13" s="18" customFormat="1" outlineLevel="2">
      <c r="A24" s="19" t="s">
        <v>20</v>
      </c>
      <c r="B24" s="20" t="s">
        <v>16</v>
      </c>
      <c r="C24" s="21" t="s">
        <v>21</v>
      </c>
      <c r="D24" s="20" t="s">
        <v>22</v>
      </c>
      <c r="E24" s="3">
        <v>69000000</v>
      </c>
      <c r="F24" s="19">
        <v>43822</v>
      </c>
      <c r="G24" s="3">
        <v>69000000</v>
      </c>
      <c r="H24" s="2">
        <v>5.0000000000000001E-3</v>
      </c>
      <c r="I24" s="19">
        <v>43922</v>
      </c>
      <c r="J24" s="19">
        <v>43951</v>
      </c>
      <c r="K24" s="3">
        <f>J24-I24+1</f>
        <v>30</v>
      </c>
      <c r="L24" s="3">
        <f>ROUND(G24*H24*K24/366,0)</f>
        <v>28279</v>
      </c>
      <c r="M24" s="3">
        <v>69000000</v>
      </c>
    </row>
    <row r="25" spans="1:13" s="18" customFormat="1" outlineLevel="2">
      <c r="A25" s="19" t="s">
        <v>20</v>
      </c>
      <c r="B25" s="20" t="s">
        <v>23</v>
      </c>
      <c r="C25" s="21" t="s">
        <v>24</v>
      </c>
      <c r="D25" s="20" t="s">
        <v>18</v>
      </c>
      <c r="E25" s="3">
        <v>162300000</v>
      </c>
      <c r="F25" s="19">
        <v>43829</v>
      </c>
      <c r="G25" s="3">
        <v>154185000</v>
      </c>
      <c r="H25" s="2">
        <v>5.0000000000000001E-3</v>
      </c>
      <c r="I25" s="19">
        <v>43922</v>
      </c>
      <c r="J25" s="19">
        <v>43935</v>
      </c>
      <c r="K25" s="3">
        <f>J25-I25+1</f>
        <v>14</v>
      </c>
      <c r="L25" s="3">
        <f>ROUND(G25*H25*K25/366,0)</f>
        <v>29489</v>
      </c>
      <c r="M25" s="3">
        <v>151480000</v>
      </c>
    </row>
    <row r="26" spans="1:13" s="18" customFormat="1" outlineLevel="2">
      <c r="A26" s="19" t="s">
        <v>20</v>
      </c>
      <c r="B26" s="20" t="s">
        <v>23</v>
      </c>
      <c r="C26" s="21" t="s">
        <v>24</v>
      </c>
      <c r="D26" s="20"/>
      <c r="E26" s="3"/>
      <c r="F26" s="19"/>
      <c r="G26" s="3">
        <v>151480000</v>
      </c>
      <c r="H26" s="2">
        <v>5.0000000000000001E-3</v>
      </c>
      <c r="I26" s="19">
        <v>43936</v>
      </c>
      <c r="J26" s="19">
        <v>43951</v>
      </c>
      <c r="K26" s="3">
        <f>J26-I26+1</f>
        <v>16</v>
      </c>
      <c r="L26" s="3">
        <f>ROUND(G26*H26*K26/366,0)</f>
        <v>33110</v>
      </c>
      <c r="M26" s="3"/>
    </row>
    <row r="27" spans="1:13" s="18" customFormat="1" outlineLevel="2">
      <c r="A27" s="19" t="s">
        <v>20</v>
      </c>
      <c r="B27" s="20" t="s">
        <v>29</v>
      </c>
      <c r="C27" s="21" t="s">
        <v>69</v>
      </c>
      <c r="D27" s="20" t="s">
        <v>68</v>
      </c>
      <c r="E27" s="3">
        <v>60000000</v>
      </c>
      <c r="F27" s="19">
        <v>43922</v>
      </c>
      <c r="G27" s="3">
        <v>60000000</v>
      </c>
      <c r="H27" s="2">
        <v>3.0000000000000001E-3</v>
      </c>
      <c r="I27" s="19">
        <v>43922</v>
      </c>
      <c r="J27" s="19">
        <v>43951</v>
      </c>
      <c r="K27" s="3">
        <f>J27-I27+1</f>
        <v>30</v>
      </c>
      <c r="L27" s="3">
        <f>ROUND(G27*H27*K27/366,0)</f>
        <v>14754</v>
      </c>
      <c r="M27" s="3">
        <v>60000000</v>
      </c>
    </row>
    <row r="28" spans="1:13" s="18" customFormat="1" outlineLevel="2">
      <c r="A28" s="19" t="s">
        <v>20</v>
      </c>
      <c r="B28" s="20" t="s">
        <v>30</v>
      </c>
      <c r="C28" s="21" t="s">
        <v>69</v>
      </c>
      <c r="D28" s="20" t="s">
        <v>68</v>
      </c>
      <c r="E28" s="3">
        <v>144000000</v>
      </c>
      <c r="F28" s="19">
        <v>43922</v>
      </c>
      <c r="G28" s="3">
        <v>144000000</v>
      </c>
      <c r="H28" s="2">
        <v>5.0000000000000001E-3</v>
      </c>
      <c r="I28" s="19">
        <v>43922</v>
      </c>
      <c r="J28" s="19">
        <v>43951</v>
      </c>
      <c r="K28" s="3">
        <f>J28-I28+1</f>
        <v>30</v>
      </c>
      <c r="L28" s="3">
        <f>ROUND(G28*H28*K28/366,0)</f>
        <v>59016</v>
      </c>
      <c r="M28" s="3">
        <v>144000000</v>
      </c>
    </row>
    <row r="29" spans="1:13" s="18" customFormat="1" ht="13.5" outlineLevel="1">
      <c r="A29" s="22" t="s">
        <v>25</v>
      </c>
      <c r="B29" s="23"/>
      <c r="C29" s="24"/>
      <c r="D29" s="23"/>
      <c r="E29" s="25">
        <f>SUBTOTAL(9,E24:E28)</f>
        <v>435300000</v>
      </c>
      <c r="F29" s="26"/>
      <c r="G29" s="25"/>
      <c r="H29" s="27"/>
      <c r="I29" s="26"/>
      <c r="J29" s="26"/>
      <c r="K29" s="25"/>
      <c r="L29" s="25">
        <f>SUBTOTAL(9,L24:L28)</f>
        <v>164648</v>
      </c>
      <c r="M29" s="25">
        <f>SUBTOTAL(9,M24:M28)</f>
        <v>424480000</v>
      </c>
    </row>
    <row r="30" spans="1:13" s="18" customFormat="1" outlineLevel="2">
      <c r="A30" s="19" t="s">
        <v>26</v>
      </c>
      <c r="B30" s="20" t="s">
        <v>16</v>
      </c>
      <c r="C30" s="21" t="s">
        <v>27</v>
      </c>
      <c r="D30" s="20" t="s">
        <v>28</v>
      </c>
      <c r="E30" s="3">
        <v>38000000</v>
      </c>
      <c r="F30" s="19">
        <v>43762</v>
      </c>
      <c r="G30" s="3">
        <v>38000000</v>
      </c>
      <c r="H30" s="2">
        <v>5.0000000000000001E-3</v>
      </c>
      <c r="I30" s="19">
        <v>43922</v>
      </c>
      <c r="J30" s="19">
        <v>43951</v>
      </c>
      <c r="K30" s="3">
        <f t="shared" ref="K30:K40" si="2">J30-I30+1</f>
        <v>30</v>
      </c>
      <c r="L30" s="3">
        <f t="shared" ref="L30:L40" si="3">ROUND(G30*H30*K30/366,0)</f>
        <v>15574</v>
      </c>
      <c r="M30" s="3">
        <v>38000000</v>
      </c>
    </row>
    <row r="31" spans="1:13" s="18" customFormat="1" outlineLevel="2">
      <c r="A31" s="19" t="s">
        <v>26</v>
      </c>
      <c r="B31" s="20" t="s">
        <v>61</v>
      </c>
      <c r="C31" s="21" t="s">
        <v>74</v>
      </c>
      <c r="D31" s="20" t="s">
        <v>73</v>
      </c>
      <c r="E31" s="3">
        <v>110000000</v>
      </c>
      <c r="F31" s="19">
        <v>43913</v>
      </c>
      <c r="G31" s="3">
        <v>110000000</v>
      </c>
      <c r="H31" s="2">
        <v>5.0000000000000001E-3</v>
      </c>
      <c r="I31" s="19">
        <v>43922</v>
      </c>
      <c r="J31" s="19">
        <v>43951</v>
      </c>
      <c r="K31" s="3">
        <f t="shared" si="2"/>
        <v>30</v>
      </c>
      <c r="L31" s="3">
        <f t="shared" si="3"/>
        <v>45082</v>
      </c>
      <c r="M31" s="3">
        <v>110000000</v>
      </c>
    </row>
    <row r="32" spans="1:13" s="18" customFormat="1" outlineLevel="2">
      <c r="A32" s="19" t="s">
        <v>26</v>
      </c>
      <c r="B32" s="20" t="s">
        <v>60</v>
      </c>
      <c r="C32" s="21" t="s">
        <v>33</v>
      </c>
      <c r="D32" s="20" t="s">
        <v>34</v>
      </c>
      <c r="E32" s="3">
        <v>95655336</v>
      </c>
      <c r="F32" s="19">
        <v>43951</v>
      </c>
      <c r="G32" s="3">
        <v>95655336</v>
      </c>
      <c r="H32" s="2">
        <v>5.0000000000000001E-3</v>
      </c>
      <c r="I32" s="19">
        <v>43951</v>
      </c>
      <c r="J32" s="19">
        <v>43951</v>
      </c>
      <c r="K32" s="3">
        <f t="shared" si="2"/>
        <v>1</v>
      </c>
      <c r="L32" s="3">
        <f t="shared" si="3"/>
        <v>1307</v>
      </c>
      <c r="M32" s="3">
        <v>95655336</v>
      </c>
    </row>
    <row r="33" spans="1:13" s="18" customFormat="1" outlineLevel="2">
      <c r="A33" s="19" t="s">
        <v>26</v>
      </c>
      <c r="B33" s="20" t="s">
        <v>23</v>
      </c>
      <c r="C33" s="21" t="s">
        <v>27</v>
      </c>
      <c r="D33" s="20" t="s">
        <v>28</v>
      </c>
      <c r="E33" s="3">
        <v>57000000</v>
      </c>
      <c r="F33" s="19">
        <v>43822</v>
      </c>
      <c r="G33" s="3">
        <v>57000000</v>
      </c>
      <c r="H33" s="2">
        <v>5.0000000000000001E-3</v>
      </c>
      <c r="I33" s="19">
        <v>43922</v>
      </c>
      <c r="J33" s="19">
        <v>43951</v>
      </c>
      <c r="K33" s="3">
        <f t="shared" si="2"/>
        <v>30</v>
      </c>
      <c r="L33" s="3">
        <f t="shared" si="3"/>
        <v>23361</v>
      </c>
      <c r="M33" s="3">
        <v>57000000</v>
      </c>
    </row>
    <row r="34" spans="1:13" s="18" customFormat="1" outlineLevel="2">
      <c r="A34" s="19" t="s">
        <v>26</v>
      </c>
      <c r="B34" s="20" t="s">
        <v>29</v>
      </c>
      <c r="C34" s="21" t="s">
        <v>21</v>
      </c>
      <c r="D34" s="20" t="s">
        <v>22</v>
      </c>
      <c r="E34" s="3">
        <v>171000000</v>
      </c>
      <c r="F34" s="19">
        <v>43822</v>
      </c>
      <c r="G34" s="3">
        <v>171000000</v>
      </c>
      <c r="H34" s="2">
        <v>5.0000000000000001E-3</v>
      </c>
      <c r="I34" s="19">
        <v>43922</v>
      </c>
      <c r="J34" s="19">
        <v>43951</v>
      </c>
      <c r="K34" s="3">
        <f t="shared" si="2"/>
        <v>30</v>
      </c>
      <c r="L34" s="3">
        <f t="shared" si="3"/>
        <v>70082</v>
      </c>
      <c r="M34" s="3">
        <v>171000000</v>
      </c>
    </row>
    <row r="35" spans="1:13" s="18" customFormat="1" outlineLevel="2">
      <c r="A35" s="19" t="s">
        <v>26</v>
      </c>
      <c r="B35" s="20" t="s">
        <v>30</v>
      </c>
      <c r="C35" s="21" t="s">
        <v>27</v>
      </c>
      <c r="D35" s="20" t="s">
        <v>28</v>
      </c>
      <c r="E35" s="3">
        <v>38000000</v>
      </c>
      <c r="F35" s="19">
        <v>43850</v>
      </c>
      <c r="G35" s="3">
        <v>38000000</v>
      </c>
      <c r="H35" s="2">
        <v>5.0000000000000001E-3</v>
      </c>
      <c r="I35" s="19">
        <v>43922</v>
      </c>
      <c r="J35" s="19">
        <v>43951</v>
      </c>
      <c r="K35" s="3">
        <f t="shared" si="2"/>
        <v>30</v>
      </c>
      <c r="L35" s="3">
        <f t="shared" si="3"/>
        <v>15574</v>
      </c>
      <c r="M35" s="3">
        <v>38000000</v>
      </c>
    </row>
    <row r="36" spans="1:13" s="18" customFormat="1" outlineLevel="2">
      <c r="A36" s="19" t="s">
        <v>26</v>
      </c>
      <c r="B36" s="20" t="s">
        <v>31</v>
      </c>
      <c r="C36" s="21" t="s">
        <v>27</v>
      </c>
      <c r="D36" s="20" t="s">
        <v>28</v>
      </c>
      <c r="E36" s="3">
        <v>10000000</v>
      </c>
      <c r="F36" s="19">
        <v>43850</v>
      </c>
      <c r="G36" s="3">
        <v>10000000</v>
      </c>
      <c r="H36" s="2">
        <v>5.0000000000000001E-3</v>
      </c>
      <c r="I36" s="19">
        <v>43922</v>
      </c>
      <c r="J36" s="19">
        <v>43951</v>
      </c>
      <c r="K36" s="3">
        <f t="shared" si="2"/>
        <v>30</v>
      </c>
      <c r="L36" s="3">
        <f t="shared" si="3"/>
        <v>4098</v>
      </c>
      <c r="M36" s="3">
        <v>10000000</v>
      </c>
    </row>
    <row r="37" spans="1:13" s="18" customFormat="1" outlineLevel="2">
      <c r="A37" s="19" t="s">
        <v>26</v>
      </c>
      <c r="B37" s="20" t="s">
        <v>32</v>
      </c>
      <c r="C37" s="21" t="s">
        <v>33</v>
      </c>
      <c r="D37" s="20" t="s">
        <v>34</v>
      </c>
      <c r="E37" s="3">
        <v>96176976</v>
      </c>
      <c r="F37" s="19">
        <v>43861</v>
      </c>
      <c r="G37" s="3">
        <v>96176976</v>
      </c>
      <c r="H37" s="2">
        <v>5.0000000000000001E-3</v>
      </c>
      <c r="I37" s="19">
        <v>43922</v>
      </c>
      <c r="J37" s="19">
        <v>43951</v>
      </c>
      <c r="K37" s="3">
        <f t="shared" si="2"/>
        <v>30</v>
      </c>
      <c r="L37" s="3">
        <f t="shared" si="3"/>
        <v>39417</v>
      </c>
      <c r="M37" s="3">
        <v>96176976</v>
      </c>
    </row>
    <row r="38" spans="1:13" s="18" customFormat="1" outlineLevel="2">
      <c r="A38" s="19" t="s">
        <v>26</v>
      </c>
      <c r="B38" s="20" t="s">
        <v>48</v>
      </c>
      <c r="C38" s="21" t="s">
        <v>27</v>
      </c>
      <c r="D38" s="20" t="s">
        <v>28</v>
      </c>
      <c r="E38" s="3">
        <v>1800000</v>
      </c>
      <c r="F38" s="19">
        <v>43876</v>
      </c>
      <c r="G38" s="3">
        <v>1800000</v>
      </c>
      <c r="H38" s="2">
        <v>5.0000000000000001E-3</v>
      </c>
      <c r="I38" s="19">
        <v>43922</v>
      </c>
      <c r="J38" s="19">
        <v>43951</v>
      </c>
      <c r="K38" s="3">
        <f t="shared" si="2"/>
        <v>30</v>
      </c>
      <c r="L38" s="3">
        <f t="shared" si="3"/>
        <v>738</v>
      </c>
      <c r="M38" s="3">
        <v>1800000</v>
      </c>
    </row>
    <row r="39" spans="1:13" s="18" customFormat="1" outlineLevel="2">
      <c r="A39" s="19" t="s">
        <v>26</v>
      </c>
      <c r="B39" s="20" t="s">
        <v>59</v>
      </c>
      <c r="C39" s="21" t="s">
        <v>72</v>
      </c>
      <c r="D39" s="20" t="s">
        <v>71</v>
      </c>
      <c r="E39" s="3">
        <v>30000000</v>
      </c>
      <c r="F39" s="19">
        <v>43906</v>
      </c>
      <c r="G39" s="3">
        <v>30000000</v>
      </c>
      <c r="H39" s="2">
        <v>5.0000000000000001E-3</v>
      </c>
      <c r="I39" s="19">
        <v>43922</v>
      </c>
      <c r="J39" s="19">
        <v>43951</v>
      </c>
      <c r="K39" s="3">
        <f t="shared" si="2"/>
        <v>30</v>
      </c>
      <c r="L39" s="3">
        <f t="shared" si="3"/>
        <v>12295</v>
      </c>
      <c r="M39" s="3">
        <v>30000000</v>
      </c>
    </row>
    <row r="40" spans="1:13" s="18" customFormat="1" outlineLevel="2">
      <c r="A40" s="19" t="s">
        <v>26</v>
      </c>
      <c r="B40" s="20" t="s">
        <v>58</v>
      </c>
      <c r="C40" s="21" t="s">
        <v>72</v>
      </c>
      <c r="D40" s="20" t="s">
        <v>71</v>
      </c>
      <c r="E40" s="3">
        <v>50000000</v>
      </c>
      <c r="F40" s="19">
        <v>43908</v>
      </c>
      <c r="G40" s="3">
        <v>50000000</v>
      </c>
      <c r="H40" s="2">
        <v>5.0000000000000001E-3</v>
      </c>
      <c r="I40" s="19">
        <v>43922</v>
      </c>
      <c r="J40" s="19">
        <v>43951</v>
      </c>
      <c r="K40" s="3">
        <f t="shared" si="2"/>
        <v>30</v>
      </c>
      <c r="L40" s="3">
        <f t="shared" si="3"/>
        <v>20492</v>
      </c>
      <c r="M40" s="3">
        <v>50000000</v>
      </c>
    </row>
    <row r="41" spans="1:13" s="18" customFormat="1" ht="13.5" outlineLevel="1">
      <c r="A41" s="22" t="s">
        <v>35</v>
      </c>
      <c r="B41" s="23"/>
      <c r="C41" s="24"/>
      <c r="D41" s="23"/>
      <c r="E41" s="25">
        <f>SUBTOTAL(9,E30:E40)</f>
        <v>697632312</v>
      </c>
      <c r="F41" s="26"/>
      <c r="G41" s="25"/>
      <c r="H41" s="27"/>
      <c r="I41" s="26"/>
      <c r="J41" s="26"/>
      <c r="K41" s="25"/>
      <c r="L41" s="25">
        <f>SUBTOTAL(9,L30:L40)</f>
        <v>248020</v>
      </c>
      <c r="M41" s="25">
        <f>SUBTOTAL(9,M30:M40)</f>
        <v>697632312</v>
      </c>
    </row>
    <row r="42" spans="1:13" s="18" customFormat="1" outlineLevel="2">
      <c r="A42" s="19" t="s">
        <v>36</v>
      </c>
      <c r="B42" s="20" t="s">
        <v>16</v>
      </c>
      <c r="C42" s="21" t="s">
        <v>17</v>
      </c>
      <c r="D42" s="20" t="s">
        <v>18</v>
      </c>
      <c r="E42" s="3">
        <v>150000000</v>
      </c>
      <c r="F42" s="19">
        <v>43829</v>
      </c>
      <c r="G42" s="3">
        <v>142500000</v>
      </c>
      <c r="H42" s="2">
        <v>5.0000000000000001E-3</v>
      </c>
      <c r="I42" s="19">
        <v>43922</v>
      </c>
      <c r="J42" s="19">
        <v>43935</v>
      </c>
      <c r="K42" s="3">
        <f t="shared" ref="K42:K48" si="4">J42-I42+1</f>
        <v>14</v>
      </c>
      <c r="L42" s="3">
        <f t="shared" ref="L42:L48" si="5">ROUND(G42*H42*K42/366,0)</f>
        <v>27254</v>
      </c>
      <c r="M42" s="3">
        <v>140000000</v>
      </c>
    </row>
    <row r="43" spans="1:13" s="18" customFormat="1" outlineLevel="2">
      <c r="A43" s="19" t="s">
        <v>36</v>
      </c>
      <c r="B43" s="20" t="s">
        <v>16</v>
      </c>
      <c r="C43" s="21" t="s">
        <v>17</v>
      </c>
      <c r="D43" s="20"/>
      <c r="E43" s="3"/>
      <c r="F43" s="19"/>
      <c r="G43" s="3">
        <v>140000000</v>
      </c>
      <c r="H43" s="2">
        <v>5.0000000000000001E-3</v>
      </c>
      <c r="I43" s="19">
        <v>43936</v>
      </c>
      <c r="J43" s="19">
        <v>43951</v>
      </c>
      <c r="K43" s="3">
        <f t="shared" si="4"/>
        <v>16</v>
      </c>
      <c r="L43" s="3">
        <f t="shared" si="5"/>
        <v>30601</v>
      </c>
      <c r="M43" s="3"/>
    </row>
    <row r="44" spans="1:13" s="18" customFormat="1" outlineLevel="2">
      <c r="A44" s="19" t="s">
        <v>36</v>
      </c>
      <c r="B44" s="20" t="s">
        <v>23</v>
      </c>
      <c r="C44" s="21" t="s">
        <v>17</v>
      </c>
      <c r="D44" s="20" t="s">
        <v>18</v>
      </c>
      <c r="E44" s="3">
        <v>32900000</v>
      </c>
      <c r="F44" s="19">
        <v>43829</v>
      </c>
      <c r="G44" s="3">
        <v>31255001</v>
      </c>
      <c r="H44" s="2">
        <v>5.0000000000000001E-3</v>
      </c>
      <c r="I44" s="19">
        <v>43922</v>
      </c>
      <c r="J44" s="19">
        <v>43935</v>
      </c>
      <c r="K44" s="3">
        <f t="shared" si="4"/>
        <v>14</v>
      </c>
      <c r="L44" s="3">
        <f t="shared" si="5"/>
        <v>5978</v>
      </c>
      <c r="M44" s="3">
        <v>30706668</v>
      </c>
    </row>
    <row r="45" spans="1:13" s="18" customFormat="1" outlineLevel="2">
      <c r="A45" s="19" t="s">
        <v>36</v>
      </c>
      <c r="B45" s="20" t="s">
        <v>23</v>
      </c>
      <c r="C45" s="21" t="s">
        <v>17</v>
      </c>
      <c r="D45" s="20"/>
      <c r="E45" s="3"/>
      <c r="F45" s="19"/>
      <c r="G45" s="3">
        <v>30706668</v>
      </c>
      <c r="H45" s="2">
        <v>5.0000000000000001E-3</v>
      </c>
      <c r="I45" s="19">
        <v>43936</v>
      </c>
      <c r="J45" s="19">
        <v>43951</v>
      </c>
      <c r="K45" s="3">
        <f t="shared" si="4"/>
        <v>16</v>
      </c>
      <c r="L45" s="3">
        <f t="shared" si="5"/>
        <v>6712</v>
      </c>
      <c r="M45" s="3"/>
    </row>
    <row r="46" spans="1:13" s="18" customFormat="1" outlineLevel="2">
      <c r="A46" s="19" t="s">
        <v>36</v>
      </c>
      <c r="B46" s="20" t="s">
        <v>29</v>
      </c>
      <c r="C46" s="21" t="s">
        <v>17</v>
      </c>
      <c r="D46" s="20" t="s">
        <v>18</v>
      </c>
      <c r="E46" s="3">
        <v>2790000</v>
      </c>
      <c r="F46" s="19">
        <v>43921</v>
      </c>
      <c r="G46" s="3">
        <v>2790000</v>
      </c>
      <c r="H46" s="2">
        <v>5.0000000000000001E-3</v>
      </c>
      <c r="I46" s="19">
        <v>43922</v>
      </c>
      <c r="J46" s="19">
        <v>43935</v>
      </c>
      <c r="K46" s="3">
        <f t="shared" si="4"/>
        <v>14</v>
      </c>
      <c r="L46" s="3">
        <f t="shared" si="5"/>
        <v>534</v>
      </c>
      <c r="M46" s="3">
        <v>2741053</v>
      </c>
    </row>
    <row r="47" spans="1:13" s="18" customFormat="1" outlineLevel="2">
      <c r="A47" s="19" t="s">
        <v>36</v>
      </c>
      <c r="B47" s="20" t="s">
        <v>29</v>
      </c>
      <c r="C47" s="21" t="s">
        <v>17</v>
      </c>
      <c r="D47" s="20"/>
      <c r="E47" s="3"/>
      <c r="F47" s="19"/>
      <c r="G47" s="3">
        <v>2741053</v>
      </c>
      <c r="H47" s="2">
        <v>5.0000000000000001E-3</v>
      </c>
      <c r="I47" s="19">
        <v>43936</v>
      </c>
      <c r="J47" s="19">
        <v>43951</v>
      </c>
      <c r="K47" s="3">
        <f t="shared" si="4"/>
        <v>16</v>
      </c>
      <c r="L47" s="3">
        <f t="shared" si="5"/>
        <v>599</v>
      </c>
      <c r="M47" s="3"/>
    </row>
    <row r="48" spans="1:13" s="18" customFormat="1" outlineLevel="2">
      <c r="A48" s="19" t="s">
        <v>36</v>
      </c>
      <c r="B48" s="20" t="s">
        <v>30</v>
      </c>
      <c r="C48" s="21" t="s">
        <v>57</v>
      </c>
      <c r="D48" s="20" t="s">
        <v>56</v>
      </c>
      <c r="E48" s="3">
        <v>12000000</v>
      </c>
      <c r="F48" s="19">
        <v>43948</v>
      </c>
      <c r="G48" s="3">
        <v>12000000</v>
      </c>
      <c r="H48" s="2">
        <v>5.0000000000000001E-3</v>
      </c>
      <c r="I48" s="19">
        <v>43948</v>
      </c>
      <c r="J48" s="19">
        <v>43951</v>
      </c>
      <c r="K48" s="3">
        <f t="shared" si="4"/>
        <v>4</v>
      </c>
      <c r="L48" s="3">
        <f t="shared" si="5"/>
        <v>656</v>
      </c>
      <c r="M48" s="3">
        <v>12000000</v>
      </c>
    </row>
    <row r="49" spans="1:13" s="18" customFormat="1" ht="13.5" outlineLevel="1">
      <c r="A49" s="22" t="s">
        <v>37</v>
      </c>
      <c r="B49" s="23"/>
      <c r="C49" s="24"/>
      <c r="D49" s="23"/>
      <c r="E49" s="25">
        <f>SUBTOTAL(9,E42:E48)</f>
        <v>197690000</v>
      </c>
      <c r="F49" s="26"/>
      <c r="G49" s="25"/>
      <c r="H49" s="27"/>
      <c r="I49" s="26"/>
      <c r="J49" s="26"/>
      <c r="K49" s="25"/>
      <c r="L49" s="25">
        <f>SUBTOTAL(9,L42:L48)</f>
        <v>72334</v>
      </c>
      <c r="M49" s="25">
        <f>SUBTOTAL(9,M42:M48)</f>
        <v>185447721</v>
      </c>
    </row>
    <row r="50" spans="1:13" s="18" customFormat="1" outlineLevel="2">
      <c r="A50" s="19" t="s">
        <v>38</v>
      </c>
      <c r="B50" s="20" t="s">
        <v>16</v>
      </c>
      <c r="C50" s="21" t="s">
        <v>17</v>
      </c>
      <c r="D50" s="20" t="s">
        <v>18</v>
      </c>
      <c r="E50" s="3">
        <v>50000000</v>
      </c>
      <c r="F50" s="19">
        <v>43829</v>
      </c>
      <c r="G50" s="3">
        <v>47499998</v>
      </c>
      <c r="H50" s="2">
        <v>5.0000000000000001E-3</v>
      </c>
      <c r="I50" s="19">
        <v>43922</v>
      </c>
      <c r="J50" s="19">
        <v>43935</v>
      </c>
      <c r="K50" s="3">
        <f t="shared" ref="K50:K55" si="6">J50-I50+1</f>
        <v>14</v>
      </c>
      <c r="L50" s="3">
        <f t="shared" ref="L50:L55" si="7">ROUND(G50*H50*K50/366,0)</f>
        <v>9085</v>
      </c>
      <c r="M50" s="3">
        <v>46666664</v>
      </c>
    </row>
    <row r="51" spans="1:13" s="18" customFormat="1" outlineLevel="2">
      <c r="A51" s="19" t="s">
        <v>38</v>
      </c>
      <c r="B51" s="20" t="s">
        <v>16</v>
      </c>
      <c r="C51" s="21" t="s">
        <v>17</v>
      </c>
      <c r="D51" s="20"/>
      <c r="E51" s="3"/>
      <c r="F51" s="19"/>
      <c r="G51" s="3">
        <v>46666664</v>
      </c>
      <c r="H51" s="2">
        <v>5.0000000000000001E-3</v>
      </c>
      <c r="I51" s="19">
        <v>43936</v>
      </c>
      <c r="J51" s="19">
        <v>43951</v>
      </c>
      <c r="K51" s="3">
        <f t="shared" si="6"/>
        <v>16</v>
      </c>
      <c r="L51" s="3">
        <f t="shared" si="7"/>
        <v>10200</v>
      </c>
      <c r="M51" s="3"/>
    </row>
    <row r="52" spans="1:13" s="18" customFormat="1" outlineLevel="2">
      <c r="A52" s="19" t="s">
        <v>38</v>
      </c>
      <c r="B52" s="20" t="s">
        <v>23</v>
      </c>
      <c r="C52" s="21" t="s">
        <v>17</v>
      </c>
      <c r="D52" s="20" t="s">
        <v>18</v>
      </c>
      <c r="E52" s="3">
        <v>25200000</v>
      </c>
      <c r="F52" s="19">
        <v>43829</v>
      </c>
      <c r="G52" s="3">
        <v>23940000</v>
      </c>
      <c r="H52" s="2">
        <v>5.0000000000000001E-3</v>
      </c>
      <c r="I52" s="19">
        <v>43922</v>
      </c>
      <c r="J52" s="19">
        <v>43935</v>
      </c>
      <c r="K52" s="3">
        <f t="shared" si="6"/>
        <v>14</v>
      </c>
      <c r="L52" s="3">
        <f t="shared" si="7"/>
        <v>4579</v>
      </c>
      <c r="M52" s="3">
        <v>23520000</v>
      </c>
    </row>
    <row r="53" spans="1:13" s="18" customFormat="1" outlineLevel="2">
      <c r="A53" s="19" t="s">
        <v>38</v>
      </c>
      <c r="B53" s="20" t="s">
        <v>23</v>
      </c>
      <c r="C53" s="21" t="s">
        <v>17</v>
      </c>
      <c r="D53" s="20"/>
      <c r="E53" s="3"/>
      <c r="F53" s="19"/>
      <c r="G53" s="3">
        <v>23520000</v>
      </c>
      <c r="H53" s="2">
        <v>5.0000000000000001E-3</v>
      </c>
      <c r="I53" s="19">
        <v>43936</v>
      </c>
      <c r="J53" s="19">
        <v>43951</v>
      </c>
      <c r="K53" s="3">
        <f t="shared" si="6"/>
        <v>16</v>
      </c>
      <c r="L53" s="3">
        <f t="shared" si="7"/>
        <v>5141</v>
      </c>
      <c r="M53" s="3"/>
    </row>
    <row r="54" spans="1:13" s="18" customFormat="1" outlineLevel="2">
      <c r="A54" s="19" t="s">
        <v>38</v>
      </c>
      <c r="B54" s="20" t="s">
        <v>29</v>
      </c>
      <c r="C54" s="21" t="s">
        <v>17</v>
      </c>
      <c r="D54" s="20" t="s">
        <v>18</v>
      </c>
      <c r="E54" s="3">
        <v>11310000</v>
      </c>
      <c r="F54" s="19">
        <v>43920</v>
      </c>
      <c r="G54" s="3">
        <v>11310000</v>
      </c>
      <c r="H54" s="2">
        <v>5.0000000000000001E-3</v>
      </c>
      <c r="I54" s="19">
        <v>43922</v>
      </c>
      <c r="J54" s="19">
        <v>43935</v>
      </c>
      <c r="K54" s="3">
        <f t="shared" si="6"/>
        <v>14</v>
      </c>
      <c r="L54" s="3">
        <f t="shared" si="7"/>
        <v>2163</v>
      </c>
      <c r="M54" s="3">
        <v>11111579</v>
      </c>
    </row>
    <row r="55" spans="1:13" s="18" customFormat="1" outlineLevel="2">
      <c r="A55" s="19" t="s">
        <v>38</v>
      </c>
      <c r="B55" s="20" t="s">
        <v>29</v>
      </c>
      <c r="C55" s="21" t="s">
        <v>17</v>
      </c>
      <c r="D55" s="20"/>
      <c r="E55" s="3"/>
      <c r="F55" s="19"/>
      <c r="G55" s="3">
        <v>11111579</v>
      </c>
      <c r="H55" s="2">
        <v>5.0000000000000001E-3</v>
      </c>
      <c r="I55" s="19">
        <v>43936</v>
      </c>
      <c r="J55" s="19">
        <v>43951</v>
      </c>
      <c r="K55" s="3">
        <f t="shared" si="6"/>
        <v>16</v>
      </c>
      <c r="L55" s="3">
        <f t="shared" si="7"/>
        <v>2429</v>
      </c>
      <c r="M55" s="3"/>
    </row>
    <row r="56" spans="1:13" s="18" customFormat="1" ht="13.5" outlineLevel="1">
      <c r="A56" s="22" t="s">
        <v>39</v>
      </c>
      <c r="B56" s="23"/>
      <c r="C56" s="24"/>
      <c r="D56" s="23"/>
      <c r="E56" s="25">
        <f>SUBTOTAL(9,E50:E55)</f>
        <v>86510000</v>
      </c>
      <c r="F56" s="26"/>
      <c r="G56" s="25"/>
      <c r="H56" s="27"/>
      <c r="I56" s="26"/>
      <c r="J56" s="26"/>
      <c r="K56" s="25"/>
      <c r="L56" s="25">
        <f>SUBTOTAL(9,L50:L55)</f>
        <v>33597</v>
      </c>
      <c r="M56" s="25">
        <f>SUBTOTAL(9,M50:M55)</f>
        <v>81298243</v>
      </c>
    </row>
    <row r="57" spans="1:13" s="18" customFormat="1" outlineLevel="2">
      <c r="A57" s="19" t="s">
        <v>70</v>
      </c>
      <c r="B57" s="20" t="s">
        <v>16</v>
      </c>
      <c r="C57" s="21" t="s">
        <v>69</v>
      </c>
      <c r="D57" s="20" t="s">
        <v>68</v>
      </c>
      <c r="E57" s="3">
        <v>330000000</v>
      </c>
      <c r="F57" s="19">
        <v>43915</v>
      </c>
      <c r="G57" s="3">
        <v>330000000</v>
      </c>
      <c r="H57" s="2">
        <v>5.0000000000000001E-3</v>
      </c>
      <c r="I57" s="19">
        <v>43922</v>
      </c>
      <c r="J57" s="19">
        <v>43951</v>
      </c>
      <c r="K57" s="3">
        <f>J57-I57+1</f>
        <v>30</v>
      </c>
      <c r="L57" s="3">
        <f>ROUND(G57*H57*K57/366,0)</f>
        <v>135246</v>
      </c>
      <c r="M57" s="3">
        <v>330000000</v>
      </c>
    </row>
    <row r="58" spans="1:13" s="18" customFormat="1" ht="13.5" outlineLevel="1">
      <c r="A58" s="22" t="s">
        <v>67</v>
      </c>
      <c r="B58" s="23"/>
      <c r="C58" s="24"/>
      <c r="D58" s="23"/>
      <c r="E58" s="25">
        <f>SUBTOTAL(9,E57:E57)</f>
        <v>330000000</v>
      </c>
      <c r="F58" s="26"/>
      <c r="G58" s="25"/>
      <c r="H58" s="27"/>
      <c r="I58" s="26"/>
      <c r="J58" s="26"/>
      <c r="K58" s="25"/>
      <c r="L58" s="25">
        <f>SUBTOTAL(9,L57:L57)</f>
        <v>135246</v>
      </c>
      <c r="M58" s="25">
        <f>SUBTOTAL(9,M57:M57)</f>
        <v>330000000</v>
      </c>
    </row>
    <row r="59" spans="1:13" s="18" customFormat="1" outlineLevel="2">
      <c r="A59" s="19" t="s">
        <v>91</v>
      </c>
      <c r="B59" s="20" t="s">
        <v>16</v>
      </c>
      <c r="C59" s="21" t="s">
        <v>90</v>
      </c>
      <c r="D59" s="20" t="s">
        <v>89</v>
      </c>
      <c r="E59" s="3">
        <v>3400000</v>
      </c>
      <c r="F59" s="19">
        <v>43927</v>
      </c>
      <c r="G59" s="3">
        <v>3400000</v>
      </c>
      <c r="H59" s="2">
        <v>5.0000000000000001E-3</v>
      </c>
      <c r="I59" s="19">
        <v>43927</v>
      </c>
      <c r="J59" s="19">
        <v>43951</v>
      </c>
      <c r="K59" s="3">
        <f>J59-I59+1</f>
        <v>25</v>
      </c>
      <c r="L59" s="3">
        <f>ROUND(G59*H59*K59/366,0)</f>
        <v>1161</v>
      </c>
      <c r="M59" s="3">
        <v>3400000</v>
      </c>
    </row>
    <row r="60" spans="1:13" s="18" customFormat="1" outlineLevel="2">
      <c r="A60" s="19" t="s">
        <v>91</v>
      </c>
      <c r="B60" s="20" t="s">
        <v>23</v>
      </c>
      <c r="C60" s="21" t="s">
        <v>90</v>
      </c>
      <c r="D60" s="20" t="s">
        <v>89</v>
      </c>
      <c r="E60" s="3">
        <v>70440000</v>
      </c>
      <c r="F60" s="19">
        <v>43951</v>
      </c>
      <c r="G60" s="3">
        <v>70440000</v>
      </c>
      <c r="H60" s="2">
        <v>5.0000000000000001E-3</v>
      </c>
      <c r="I60" s="19">
        <v>43951</v>
      </c>
      <c r="J60" s="19">
        <v>43951</v>
      </c>
      <c r="K60" s="3">
        <f>J60-I60+1</f>
        <v>1</v>
      </c>
      <c r="L60" s="3">
        <f>ROUND(G60*H60*K60/366,0)</f>
        <v>962</v>
      </c>
      <c r="M60" s="3">
        <v>70440000</v>
      </c>
    </row>
    <row r="61" spans="1:13" s="18" customFormat="1" ht="13.5" outlineLevel="1">
      <c r="A61" s="22" t="s">
        <v>88</v>
      </c>
      <c r="B61" s="23"/>
      <c r="C61" s="24"/>
      <c r="D61" s="23"/>
      <c r="E61" s="25">
        <f>SUBTOTAL(9,E59:E60)</f>
        <v>73840000</v>
      </c>
      <c r="F61" s="26"/>
      <c r="G61" s="25"/>
      <c r="H61" s="27"/>
      <c r="I61" s="26"/>
      <c r="J61" s="26"/>
      <c r="K61" s="25"/>
      <c r="L61" s="25">
        <f>SUBTOTAL(9,L59:L60)</f>
        <v>2123</v>
      </c>
      <c r="M61" s="25">
        <f>SUBTOTAL(9,M59:M60)</f>
        <v>73840000</v>
      </c>
    </row>
    <row r="62" spans="1:13" s="18" customFormat="1" outlineLevel="2">
      <c r="A62" s="19" t="s">
        <v>87</v>
      </c>
      <c r="B62" s="20" t="s">
        <v>16</v>
      </c>
      <c r="C62" s="21" t="s">
        <v>69</v>
      </c>
      <c r="D62" s="20" t="s">
        <v>68</v>
      </c>
      <c r="E62" s="3">
        <v>43200000</v>
      </c>
      <c r="F62" s="19">
        <v>43937</v>
      </c>
      <c r="G62" s="3">
        <v>43200000</v>
      </c>
      <c r="H62" s="2">
        <v>3.0000000000000001E-3</v>
      </c>
      <c r="I62" s="19">
        <v>43937</v>
      </c>
      <c r="J62" s="19">
        <v>43951</v>
      </c>
      <c r="K62" s="3">
        <f>J62-I62+1</f>
        <v>15</v>
      </c>
      <c r="L62" s="3">
        <f>ROUND(G62*H62*K62/366,0)</f>
        <v>5311</v>
      </c>
      <c r="M62" s="3">
        <v>43200000</v>
      </c>
    </row>
    <row r="63" spans="1:13" s="18" customFormat="1" ht="13.5" outlineLevel="1">
      <c r="A63" s="22" t="s">
        <v>86</v>
      </c>
      <c r="B63" s="23"/>
      <c r="C63" s="24"/>
      <c r="D63" s="23"/>
      <c r="E63" s="25">
        <f>SUBTOTAL(9,E62:E62)</f>
        <v>43200000</v>
      </c>
      <c r="F63" s="26"/>
      <c r="G63" s="25"/>
      <c r="H63" s="27"/>
      <c r="I63" s="26"/>
      <c r="J63" s="26"/>
      <c r="K63" s="25"/>
      <c r="L63" s="25">
        <f>SUBTOTAL(9,L62:L62)</f>
        <v>5311</v>
      </c>
      <c r="M63" s="25">
        <f>SUBTOTAL(9,M62:M62)</f>
        <v>43200000</v>
      </c>
    </row>
    <row r="64" spans="1:13" s="18" customFormat="1" outlineLevel="2">
      <c r="A64" s="19" t="s">
        <v>40</v>
      </c>
      <c r="B64" s="20" t="s">
        <v>16</v>
      </c>
      <c r="C64" s="21" t="s">
        <v>41</v>
      </c>
      <c r="D64" s="20" t="s">
        <v>42</v>
      </c>
      <c r="E64" s="3">
        <v>126000000</v>
      </c>
      <c r="F64" s="19">
        <v>43804</v>
      </c>
      <c r="G64" s="3">
        <v>126000000</v>
      </c>
      <c r="H64" s="2">
        <v>5.0000000000000001E-3</v>
      </c>
      <c r="I64" s="19">
        <v>43922</v>
      </c>
      <c r="J64" s="19">
        <v>43951</v>
      </c>
      <c r="K64" s="3">
        <f t="shared" ref="K64:K80" si="8">J64-I64+1</f>
        <v>30</v>
      </c>
      <c r="L64" s="3">
        <f t="shared" ref="L64:L80" si="9">ROUND(G64*H64*K64/366,0)</f>
        <v>51639</v>
      </c>
      <c r="M64" s="3">
        <v>126000000</v>
      </c>
    </row>
    <row r="65" spans="1:13" s="18" customFormat="1" outlineLevel="2">
      <c r="A65" s="19" t="s">
        <v>40</v>
      </c>
      <c r="B65" s="20" t="s">
        <v>61</v>
      </c>
      <c r="C65" s="21" t="s">
        <v>47</v>
      </c>
      <c r="D65" s="20" t="s">
        <v>42</v>
      </c>
      <c r="E65" s="3">
        <v>46600000</v>
      </c>
      <c r="F65" s="19">
        <v>43866</v>
      </c>
      <c r="G65" s="3">
        <v>46600000</v>
      </c>
      <c r="H65" s="2">
        <v>5.0000000000000001E-3</v>
      </c>
      <c r="I65" s="19">
        <v>43922</v>
      </c>
      <c r="J65" s="19">
        <v>43951</v>
      </c>
      <c r="K65" s="3">
        <f t="shared" si="8"/>
        <v>30</v>
      </c>
      <c r="L65" s="3">
        <f t="shared" si="9"/>
        <v>19098</v>
      </c>
      <c r="M65" s="3">
        <v>46600000</v>
      </c>
    </row>
    <row r="66" spans="1:13" s="18" customFormat="1" outlineLevel="2">
      <c r="A66" s="19" t="s">
        <v>40</v>
      </c>
      <c r="B66" s="20" t="s">
        <v>60</v>
      </c>
      <c r="C66" s="21" t="s">
        <v>47</v>
      </c>
      <c r="D66" s="20" t="s">
        <v>42</v>
      </c>
      <c r="E66" s="3">
        <v>1300000</v>
      </c>
      <c r="F66" s="19">
        <v>43866</v>
      </c>
      <c r="G66" s="3">
        <v>1300000</v>
      </c>
      <c r="H66" s="2">
        <v>5.0000000000000001E-3</v>
      </c>
      <c r="I66" s="19">
        <v>43922</v>
      </c>
      <c r="J66" s="19">
        <v>43951</v>
      </c>
      <c r="K66" s="3">
        <f t="shared" si="8"/>
        <v>30</v>
      </c>
      <c r="L66" s="3">
        <f t="shared" si="9"/>
        <v>533</v>
      </c>
      <c r="M66" s="3">
        <v>1300000</v>
      </c>
    </row>
    <row r="67" spans="1:13" s="18" customFormat="1" outlineLevel="2">
      <c r="A67" s="19" t="s">
        <v>40</v>
      </c>
      <c r="B67" s="20" t="s">
        <v>66</v>
      </c>
      <c r="C67" s="21" t="s">
        <v>43</v>
      </c>
      <c r="D67" s="20" t="s">
        <v>44</v>
      </c>
      <c r="E67" s="3">
        <v>9087600</v>
      </c>
      <c r="F67" s="19">
        <v>43901</v>
      </c>
      <c r="G67" s="3">
        <v>9087600</v>
      </c>
      <c r="H67" s="2">
        <v>5.0000000000000001E-3</v>
      </c>
      <c r="I67" s="19">
        <v>43922</v>
      </c>
      <c r="J67" s="19">
        <v>43951</v>
      </c>
      <c r="K67" s="3">
        <f t="shared" si="8"/>
        <v>30</v>
      </c>
      <c r="L67" s="3">
        <f t="shared" si="9"/>
        <v>3724</v>
      </c>
      <c r="M67" s="3">
        <v>9087600</v>
      </c>
    </row>
    <row r="68" spans="1:13" s="18" customFormat="1" outlineLevel="2">
      <c r="A68" s="19" t="s">
        <v>40</v>
      </c>
      <c r="B68" s="20" t="s">
        <v>65</v>
      </c>
      <c r="C68" s="21" t="s">
        <v>43</v>
      </c>
      <c r="D68" s="20" t="s">
        <v>44</v>
      </c>
      <c r="E68" s="3">
        <v>7270080</v>
      </c>
      <c r="F68" s="19">
        <v>43901</v>
      </c>
      <c r="G68" s="3">
        <v>7270080</v>
      </c>
      <c r="H68" s="2">
        <v>5.0000000000000001E-3</v>
      </c>
      <c r="I68" s="19">
        <v>43922</v>
      </c>
      <c r="J68" s="19">
        <v>43951</v>
      </c>
      <c r="K68" s="3">
        <f t="shared" si="8"/>
        <v>30</v>
      </c>
      <c r="L68" s="3">
        <f t="shared" si="9"/>
        <v>2980</v>
      </c>
      <c r="M68" s="3">
        <v>7270080</v>
      </c>
    </row>
    <row r="69" spans="1:13" s="18" customFormat="1" outlineLevel="2">
      <c r="A69" s="19" t="s">
        <v>40</v>
      </c>
      <c r="B69" s="20" t="s">
        <v>64</v>
      </c>
      <c r="C69" s="21" t="s">
        <v>47</v>
      </c>
      <c r="D69" s="20" t="s">
        <v>42</v>
      </c>
      <c r="E69" s="3">
        <v>99400000</v>
      </c>
      <c r="F69" s="19">
        <v>43917</v>
      </c>
      <c r="G69" s="3">
        <v>99400000</v>
      </c>
      <c r="H69" s="2">
        <v>5.0000000000000001E-3</v>
      </c>
      <c r="I69" s="19">
        <v>43922</v>
      </c>
      <c r="J69" s="19">
        <v>43951</v>
      </c>
      <c r="K69" s="3">
        <f t="shared" si="8"/>
        <v>30</v>
      </c>
      <c r="L69" s="3">
        <f t="shared" si="9"/>
        <v>40738</v>
      </c>
      <c r="M69" s="3">
        <v>99400000</v>
      </c>
    </row>
    <row r="70" spans="1:13" s="18" customFormat="1" outlineLevel="2">
      <c r="A70" s="19" t="s">
        <v>40</v>
      </c>
      <c r="B70" s="20" t="s">
        <v>85</v>
      </c>
      <c r="C70" s="21" t="s">
        <v>43</v>
      </c>
      <c r="D70" s="20" t="s">
        <v>44</v>
      </c>
      <c r="E70" s="3">
        <v>9087600</v>
      </c>
      <c r="F70" s="19">
        <v>43929</v>
      </c>
      <c r="G70" s="3">
        <v>9087600</v>
      </c>
      <c r="H70" s="2">
        <v>5.0000000000000001E-3</v>
      </c>
      <c r="I70" s="19">
        <v>43929</v>
      </c>
      <c r="J70" s="19">
        <v>43951</v>
      </c>
      <c r="K70" s="3">
        <f t="shared" si="8"/>
        <v>23</v>
      </c>
      <c r="L70" s="3">
        <f t="shared" si="9"/>
        <v>2855</v>
      </c>
      <c r="M70" s="3">
        <v>9087600</v>
      </c>
    </row>
    <row r="71" spans="1:13" s="18" customFormat="1" outlineLevel="2">
      <c r="A71" s="19" t="s">
        <v>40</v>
      </c>
      <c r="B71" s="20" t="s">
        <v>84</v>
      </c>
      <c r="C71" s="21" t="s">
        <v>43</v>
      </c>
      <c r="D71" s="20" t="s">
        <v>44</v>
      </c>
      <c r="E71" s="3">
        <v>13007640</v>
      </c>
      <c r="F71" s="19">
        <v>43929</v>
      </c>
      <c r="G71" s="3">
        <v>13007640</v>
      </c>
      <c r="H71" s="2">
        <v>5.0000000000000001E-3</v>
      </c>
      <c r="I71" s="19">
        <v>43929</v>
      </c>
      <c r="J71" s="19">
        <v>43951</v>
      </c>
      <c r="K71" s="3">
        <f t="shared" si="8"/>
        <v>23</v>
      </c>
      <c r="L71" s="3">
        <f t="shared" si="9"/>
        <v>4087</v>
      </c>
      <c r="M71" s="3">
        <v>13007640</v>
      </c>
    </row>
    <row r="72" spans="1:13" s="18" customFormat="1" outlineLevel="2">
      <c r="A72" s="19" t="s">
        <v>40</v>
      </c>
      <c r="B72" s="20" t="s">
        <v>83</v>
      </c>
      <c r="C72" s="21" t="s">
        <v>82</v>
      </c>
      <c r="D72" s="20" t="s">
        <v>81</v>
      </c>
      <c r="E72" s="3">
        <v>61668037</v>
      </c>
      <c r="F72" s="19">
        <v>43949</v>
      </c>
      <c r="G72" s="3">
        <v>61668037</v>
      </c>
      <c r="H72" s="2">
        <v>5.0000000000000001E-3</v>
      </c>
      <c r="I72" s="19">
        <v>43949</v>
      </c>
      <c r="J72" s="19">
        <v>43951</v>
      </c>
      <c r="K72" s="3">
        <f t="shared" si="8"/>
        <v>3</v>
      </c>
      <c r="L72" s="3">
        <f t="shared" si="9"/>
        <v>2527</v>
      </c>
      <c r="M72" s="3">
        <v>61668037</v>
      </c>
    </row>
    <row r="73" spans="1:13" s="18" customFormat="1" outlineLevel="2">
      <c r="A73" s="19" t="s">
        <v>40</v>
      </c>
      <c r="B73" s="20" t="s">
        <v>23</v>
      </c>
      <c r="C73" s="21" t="s">
        <v>43</v>
      </c>
      <c r="D73" s="20" t="s">
        <v>44</v>
      </c>
      <c r="E73" s="3">
        <v>5452560</v>
      </c>
      <c r="F73" s="19">
        <v>43810</v>
      </c>
      <c r="G73" s="3">
        <v>5452560</v>
      </c>
      <c r="H73" s="2">
        <v>5.0000000000000001E-3</v>
      </c>
      <c r="I73" s="19">
        <v>43922</v>
      </c>
      <c r="J73" s="19">
        <v>43951</v>
      </c>
      <c r="K73" s="3">
        <f t="shared" si="8"/>
        <v>30</v>
      </c>
      <c r="L73" s="3">
        <f t="shared" si="9"/>
        <v>2235</v>
      </c>
      <c r="M73" s="3">
        <v>5452560</v>
      </c>
    </row>
    <row r="74" spans="1:13" s="18" customFormat="1" outlineLevel="2">
      <c r="A74" s="19" t="s">
        <v>40</v>
      </c>
      <c r="B74" s="20" t="s">
        <v>29</v>
      </c>
      <c r="C74" s="21" t="s">
        <v>45</v>
      </c>
      <c r="D74" s="20" t="s">
        <v>46</v>
      </c>
      <c r="E74" s="3">
        <v>220000000</v>
      </c>
      <c r="F74" s="19">
        <v>43815</v>
      </c>
      <c r="G74" s="3">
        <v>220000000</v>
      </c>
      <c r="H74" s="2">
        <v>5.0000000000000001E-3</v>
      </c>
      <c r="I74" s="19">
        <v>43922</v>
      </c>
      <c r="J74" s="19">
        <v>43951</v>
      </c>
      <c r="K74" s="3">
        <f t="shared" si="8"/>
        <v>30</v>
      </c>
      <c r="L74" s="3">
        <f t="shared" si="9"/>
        <v>90164</v>
      </c>
      <c r="M74" s="3">
        <v>220000000</v>
      </c>
    </row>
    <row r="75" spans="1:13" s="18" customFormat="1" outlineLevel="2">
      <c r="A75" s="19" t="s">
        <v>40</v>
      </c>
      <c r="B75" s="20" t="s">
        <v>30</v>
      </c>
      <c r="C75" s="21" t="s">
        <v>43</v>
      </c>
      <c r="D75" s="20" t="s">
        <v>44</v>
      </c>
      <c r="E75" s="3">
        <v>5452560</v>
      </c>
      <c r="F75" s="19">
        <v>43838</v>
      </c>
      <c r="G75" s="3">
        <v>5452560</v>
      </c>
      <c r="H75" s="2">
        <v>5.0000000000000001E-3</v>
      </c>
      <c r="I75" s="19">
        <v>43922</v>
      </c>
      <c r="J75" s="19">
        <v>43951</v>
      </c>
      <c r="K75" s="3">
        <f t="shared" si="8"/>
        <v>30</v>
      </c>
      <c r="L75" s="3">
        <f t="shared" si="9"/>
        <v>2235</v>
      </c>
      <c r="M75" s="3">
        <v>5452560</v>
      </c>
    </row>
    <row r="76" spans="1:13" s="18" customFormat="1" outlineLevel="2">
      <c r="A76" s="19" t="s">
        <v>40</v>
      </c>
      <c r="B76" s="20" t="s">
        <v>31</v>
      </c>
      <c r="C76" s="21" t="s">
        <v>43</v>
      </c>
      <c r="D76" s="20" t="s">
        <v>44</v>
      </c>
      <c r="E76" s="3">
        <v>5452560</v>
      </c>
      <c r="F76" s="19">
        <v>43838</v>
      </c>
      <c r="G76" s="3">
        <v>5452560</v>
      </c>
      <c r="H76" s="2">
        <v>5.0000000000000001E-3</v>
      </c>
      <c r="I76" s="19">
        <v>43922</v>
      </c>
      <c r="J76" s="19">
        <v>43951</v>
      </c>
      <c r="K76" s="3">
        <f t="shared" si="8"/>
        <v>30</v>
      </c>
      <c r="L76" s="3">
        <f t="shared" si="9"/>
        <v>2235</v>
      </c>
      <c r="M76" s="3">
        <v>5452560</v>
      </c>
    </row>
    <row r="77" spans="1:13" s="18" customFormat="1" outlineLevel="2">
      <c r="A77" s="19" t="s">
        <v>40</v>
      </c>
      <c r="B77" s="20" t="s">
        <v>32</v>
      </c>
      <c r="C77" s="21" t="s">
        <v>47</v>
      </c>
      <c r="D77" s="20" t="s">
        <v>42</v>
      </c>
      <c r="E77" s="3">
        <v>55600000</v>
      </c>
      <c r="F77" s="19">
        <v>43833</v>
      </c>
      <c r="G77" s="3">
        <v>55600000</v>
      </c>
      <c r="H77" s="2">
        <v>5.0000000000000001E-3</v>
      </c>
      <c r="I77" s="19">
        <v>43922</v>
      </c>
      <c r="J77" s="19">
        <v>43951</v>
      </c>
      <c r="K77" s="3">
        <f t="shared" si="8"/>
        <v>30</v>
      </c>
      <c r="L77" s="3">
        <f t="shared" si="9"/>
        <v>22787</v>
      </c>
      <c r="M77" s="3">
        <v>55600000</v>
      </c>
    </row>
    <row r="78" spans="1:13" s="18" customFormat="1" outlineLevel="2">
      <c r="A78" s="19" t="s">
        <v>40</v>
      </c>
      <c r="B78" s="20" t="s">
        <v>48</v>
      </c>
      <c r="C78" s="21" t="s">
        <v>47</v>
      </c>
      <c r="D78" s="20" t="s">
        <v>42</v>
      </c>
      <c r="E78" s="3">
        <v>28400000</v>
      </c>
      <c r="F78" s="19">
        <v>43833</v>
      </c>
      <c r="G78" s="3">
        <v>28400000</v>
      </c>
      <c r="H78" s="2">
        <v>5.0000000000000001E-3</v>
      </c>
      <c r="I78" s="19">
        <v>43922</v>
      </c>
      <c r="J78" s="19">
        <v>43951</v>
      </c>
      <c r="K78" s="3">
        <f t="shared" si="8"/>
        <v>30</v>
      </c>
      <c r="L78" s="3">
        <f t="shared" si="9"/>
        <v>11639</v>
      </c>
      <c r="M78" s="3">
        <v>28400000</v>
      </c>
    </row>
    <row r="79" spans="1:13" s="18" customFormat="1" outlineLevel="2">
      <c r="A79" s="19" t="s">
        <v>40</v>
      </c>
      <c r="B79" s="20" t="s">
        <v>59</v>
      </c>
      <c r="C79" s="21" t="s">
        <v>43</v>
      </c>
      <c r="D79" s="20" t="s">
        <v>44</v>
      </c>
      <c r="E79" s="3">
        <v>5452560</v>
      </c>
      <c r="F79" s="19">
        <v>43873</v>
      </c>
      <c r="G79" s="3">
        <v>5452560</v>
      </c>
      <c r="H79" s="2">
        <v>5.0000000000000001E-3</v>
      </c>
      <c r="I79" s="19">
        <v>43922</v>
      </c>
      <c r="J79" s="19">
        <v>43951</v>
      </c>
      <c r="K79" s="3">
        <f t="shared" si="8"/>
        <v>30</v>
      </c>
      <c r="L79" s="3">
        <f t="shared" si="9"/>
        <v>2235</v>
      </c>
      <c r="M79" s="3">
        <v>5452560</v>
      </c>
    </row>
    <row r="80" spans="1:13" s="18" customFormat="1" outlineLevel="2">
      <c r="A80" s="19" t="s">
        <v>40</v>
      </c>
      <c r="B80" s="20" t="s">
        <v>58</v>
      </c>
      <c r="C80" s="21" t="s">
        <v>43</v>
      </c>
      <c r="D80" s="20" t="s">
        <v>44</v>
      </c>
      <c r="E80" s="3">
        <v>7270080</v>
      </c>
      <c r="F80" s="19">
        <v>43873</v>
      </c>
      <c r="G80" s="3">
        <v>7270080</v>
      </c>
      <c r="H80" s="2">
        <v>5.0000000000000001E-3</v>
      </c>
      <c r="I80" s="19">
        <v>43922</v>
      </c>
      <c r="J80" s="19">
        <v>43951</v>
      </c>
      <c r="K80" s="3">
        <f t="shared" si="8"/>
        <v>30</v>
      </c>
      <c r="L80" s="3">
        <f t="shared" si="9"/>
        <v>2980</v>
      </c>
      <c r="M80" s="3">
        <v>7270080</v>
      </c>
    </row>
    <row r="81" spans="1:16" s="18" customFormat="1" ht="13.5" outlineLevel="1">
      <c r="A81" s="22" t="s">
        <v>49</v>
      </c>
      <c r="B81" s="23"/>
      <c r="C81" s="24"/>
      <c r="D81" s="23"/>
      <c r="E81" s="25">
        <f>SUBTOTAL(9,E64:E80)</f>
        <v>706501277</v>
      </c>
      <c r="F81" s="26"/>
      <c r="G81" s="25"/>
      <c r="H81" s="27"/>
      <c r="I81" s="26"/>
      <c r="J81" s="26"/>
      <c r="K81" s="25"/>
      <c r="L81" s="25">
        <f>SUBTOTAL(9,L64:L80)</f>
        <v>264691</v>
      </c>
      <c r="M81" s="25">
        <f>SUBTOTAL(9,M64:M80)</f>
        <v>706501277</v>
      </c>
    </row>
    <row r="82" spans="1:16" s="18" customFormat="1" outlineLevel="2">
      <c r="A82" s="19" t="s">
        <v>63</v>
      </c>
      <c r="B82" s="20" t="s">
        <v>16</v>
      </c>
      <c r="C82" s="21" t="s">
        <v>21</v>
      </c>
      <c r="D82" s="20" t="s">
        <v>22</v>
      </c>
      <c r="E82" s="3">
        <v>72000000</v>
      </c>
      <c r="F82" s="19">
        <v>43917</v>
      </c>
      <c r="G82" s="3">
        <v>72000000</v>
      </c>
      <c r="H82" s="2">
        <v>5.0000000000000001E-3</v>
      </c>
      <c r="I82" s="19">
        <v>43922</v>
      </c>
      <c r="J82" s="19">
        <v>43951</v>
      </c>
      <c r="K82" s="3">
        <f>J82-I82+1</f>
        <v>30</v>
      </c>
      <c r="L82" s="3">
        <f>ROUND(G82*H82*K82/366,0)</f>
        <v>29508</v>
      </c>
      <c r="M82" s="3">
        <v>72000000</v>
      </c>
    </row>
    <row r="83" spans="1:16" s="18" customFormat="1" ht="13.5" outlineLevel="1">
      <c r="A83" s="22" t="s">
        <v>62</v>
      </c>
      <c r="B83" s="23"/>
      <c r="C83" s="24"/>
      <c r="D83" s="23"/>
      <c r="E83" s="25">
        <f>SUBTOTAL(9,E82:E82)</f>
        <v>72000000</v>
      </c>
      <c r="F83" s="26"/>
      <c r="G83" s="25"/>
      <c r="H83" s="27"/>
      <c r="I83" s="26"/>
      <c r="J83" s="26"/>
      <c r="K83" s="25"/>
      <c r="L83" s="25">
        <f>SUBTOTAL(9,L82:L82)</f>
        <v>29508</v>
      </c>
      <c r="M83" s="25">
        <f>SUBTOTAL(9,M82:M82)</f>
        <v>72000000</v>
      </c>
    </row>
    <row r="84" spans="1:16" s="18" customFormat="1" outlineLevel="2">
      <c r="A84" s="19" t="s">
        <v>50</v>
      </c>
      <c r="B84" s="20" t="s">
        <v>16</v>
      </c>
      <c r="C84" s="21" t="s">
        <v>21</v>
      </c>
      <c r="D84" s="20" t="s">
        <v>22</v>
      </c>
      <c r="E84" s="3">
        <v>190000000</v>
      </c>
      <c r="F84" s="19">
        <v>43797</v>
      </c>
      <c r="G84" s="3">
        <v>190000000</v>
      </c>
      <c r="H84" s="2">
        <v>5.0000000000000001E-3</v>
      </c>
      <c r="I84" s="19">
        <v>43922</v>
      </c>
      <c r="J84" s="19">
        <v>43951</v>
      </c>
      <c r="K84" s="3">
        <f t="shared" ref="K84:K90" si="10">J84-I84+1</f>
        <v>30</v>
      </c>
      <c r="L84" s="3">
        <f t="shared" ref="L84:L90" si="11">ROUND(G84*H84*K84/366,0)</f>
        <v>77869</v>
      </c>
      <c r="M84" s="3">
        <v>190000000</v>
      </c>
    </row>
    <row r="85" spans="1:16" s="18" customFormat="1" outlineLevel="2">
      <c r="A85" s="19" t="s">
        <v>50</v>
      </c>
      <c r="B85" s="20" t="s">
        <v>23</v>
      </c>
      <c r="C85" s="21" t="s">
        <v>21</v>
      </c>
      <c r="D85" s="20" t="s">
        <v>22</v>
      </c>
      <c r="E85" s="3">
        <v>37000000</v>
      </c>
      <c r="F85" s="19">
        <v>43829</v>
      </c>
      <c r="G85" s="3">
        <v>37000000</v>
      </c>
      <c r="H85" s="2">
        <v>5.0000000000000001E-3</v>
      </c>
      <c r="I85" s="19">
        <v>43922</v>
      </c>
      <c r="J85" s="19">
        <v>43951</v>
      </c>
      <c r="K85" s="3">
        <f t="shared" si="10"/>
        <v>30</v>
      </c>
      <c r="L85" s="3">
        <f t="shared" si="11"/>
        <v>15164</v>
      </c>
      <c r="M85" s="3">
        <v>37000000</v>
      </c>
    </row>
    <row r="86" spans="1:16" s="18" customFormat="1" outlineLevel="2">
      <c r="A86" s="19" t="s">
        <v>50</v>
      </c>
      <c r="B86" s="20" t="s">
        <v>29</v>
      </c>
      <c r="C86" s="21" t="s">
        <v>57</v>
      </c>
      <c r="D86" s="20" t="s">
        <v>56</v>
      </c>
      <c r="E86" s="3">
        <v>17276700</v>
      </c>
      <c r="F86" s="19">
        <v>43878</v>
      </c>
      <c r="G86" s="3">
        <v>16988755</v>
      </c>
      <c r="H86" s="2">
        <v>5.0000000000000001E-3</v>
      </c>
      <c r="I86" s="19">
        <v>43922</v>
      </c>
      <c r="J86" s="19">
        <v>43935</v>
      </c>
      <c r="K86" s="3">
        <f t="shared" si="10"/>
        <v>14</v>
      </c>
      <c r="L86" s="3">
        <f t="shared" si="11"/>
        <v>3249</v>
      </c>
      <c r="M86" s="3">
        <v>16700810</v>
      </c>
    </row>
    <row r="87" spans="1:16" s="18" customFormat="1" outlineLevel="2">
      <c r="A87" s="19" t="s">
        <v>50</v>
      </c>
      <c r="B87" s="20" t="s">
        <v>29</v>
      </c>
      <c r="C87" s="21" t="s">
        <v>57</v>
      </c>
      <c r="D87" s="20"/>
      <c r="E87" s="3"/>
      <c r="F87" s="19"/>
      <c r="G87" s="3">
        <v>16700810</v>
      </c>
      <c r="H87" s="2">
        <v>5.0000000000000001E-3</v>
      </c>
      <c r="I87" s="19">
        <v>43936</v>
      </c>
      <c r="J87" s="19">
        <v>43951</v>
      </c>
      <c r="K87" s="3">
        <f t="shared" si="10"/>
        <v>16</v>
      </c>
      <c r="L87" s="3">
        <f t="shared" si="11"/>
        <v>3650</v>
      </c>
      <c r="M87" s="3"/>
    </row>
    <row r="88" spans="1:16" s="18" customFormat="1" outlineLevel="2">
      <c r="A88" s="19" t="s">
        <v>50</v>
      </c>
      <c r="B88" s="20" t="s">
        <v>30</v>
      </c>
      <c r="C88" s="21" t="s">
        <v>21</v>
      </c>
      <c r="D88" s="20" t="s">
        <v>22</v>
      </c>
      <c r="E88" s="3">
        <v>73000000</v>
      </c>
      <c r="F88" s="19">
        <v>43896</v>
      </c>
      <c r="G88" s="3">
        <v>73000000</v>
      </c>
      <c r="H88" s="2">
        <v>5.0000000000000001E-3</v>
      </c>
      <c r="I88" s="19">
        <v>43922</v>
      </c>
      <c r="J88" s="19">
        <v>43951</v>
      </c>
      <c r="K88" s="3">
        <f t="shared" si="10"/>
        <v>30</v>
      </c>
      <c r="L88" s="3">
        <f t="shared" si="11"/>
        <v>29918</v>
      </c>
      <c r="M88" s="3">
        <v>73000000</v>
      </c>
    </row>
    <row r="89" spans="1:16" s="18" customFormat="1" outlineLevel="2">
      <c r="A89" s="19" t="s">
        <v>50</v>
      </c>
      <c r="B89" s="20" t="s">
        <v>31</v>
      </c>
      <c r="C89" s="21" t="s">
        <v>57</v>
      </c>
      <c r="D89" s="20" t="s">
        <v>56</v>
      </c>
      <c r="E89" s="3">
        <v>19997321</v>
      </c>
      <c r="F89" s="19">
        <v>43948</v>
      </c>
      <c r="G89" s="3">
        <v>19997321</v>
      </c>
      <c r="H89" s="2">
        <v>5.0000000000000001E-3</v>
      </c>
      <c r="I89" s="19">
        <v>43948</v>
      </c>
      <c r="J89" s="19">
        <v>43951</v>
      </c>
      <c r="K89" s="3">
        <f t="shared" si="10"/>
        <v>4</v>
      </c>
      <c r="L89" s="3">
        <f t="shared" si="11"/>
        <v>1093</v>
      </c>
      <c r="M89" s="3">
        <v>19997321</v>
      </c>
    </row>
    <row r="90" spans="1:16" s="18" customFormat="1" outlineLevel="2">
      <c r="A90" s="19" t="s">
        <v>50</v>
      </c>
      <c r="B90" s="20" t="s">
        <v>32</v>
      </c>
      <c r="C90" s="21" t="s">
        <v>69</v>
      </c>
      <c r="D90" s="20" t="s">
        <v>68</v>
      </c>
      <c r="E90" s="3">
        <v>242400000</v>
      </c>
      <c r="F90" s="19">
        <v>43930</v>
      </c>
      <c r="G90" s="3">
        <v>242400000</v>
      </c>
      <c r="H90" s="2">
        <v>3.0000000000000001E-3</v>
      </c>
      <c r="I90" s="19">
        <v>43930</v>
      </c>
      <c r="J90" s="19">
        <v>43951</v>
      </c>
      <c r="K90" s="3">
        <f t="shared" si="10"/>
        <v>22</v>
      </c>
      <c r="L90" s="3">
        <f t="shared" si="11"/>
        <v>43711</v>
      </c>
      <c r="M90" s="3">
        <v>242400000</v>
      </c>
    </row>
    <row r="91" spans="1:16" s="18" customFormat="1" ht="13.5" outlineLevel="1">
      <c r="A91" s="22" t="s">
        <v>51</v>
      </c>
      <c r="B91" s="23"/>
      <c r="C91" s="24"/>
      <c r="D91" s="23"/>
      <c r="E91" s="25">
        <f>SUBTOTAL(9,E84:E90)</f>
        <v>579674021</v>
      </c>
      <c r="F91" s="26"/>
      <c r="G91" s="25"/>
      <c r="H91" s="27"/>
      <c r="I91" s="26"/>
      <c r="J91" s="26"/>
      <c r="K91" s="25"/>
      <c r="L91" s="25">
        <f>SUBTOTAL(9,L84:L90)</f>
        <v>174654</v>
      </c>
      <c r="M91" s="25">
        <f>SUBTOTAL(9,M84:M90)</f>
        <v>579098131</v>
      </c>
    </row>
    <row r="92" spans="1:16" s="34" customFormat="1" ht="13.5" outlineLevel="1">
      <c r="A92" s="28"/>
      <c r="B92" s="29"/>
      <c r="C92" s="30"/>
      <c r="D92" s="29"/>
      <c r="E92" s="31"/>
      <c r="F92" s="32"/>
      <c r="G92" s="31"/>
      <c r="H92" s="33"/>
      <c r="I92" s="32"/>
      <c r="J92" s="32"/>
      <c r="K92" s="31"/>
      <c r="L92" s="31"/>
      <c r="M92" s="31"/>
    </row>
    <row r="93" spans="1:16" s="18" customFormat="1" ht="13.5">
      <c r="A93" s="26" t="s">
        <v>52</v>
      </c>
      <c r="B93" s="23"/>
      <c r="C93" s="24"/>
      <c r="D93" s="23"/>
      <c r="E93" s="25">
        <f>SUBTOTAL(9,E4:E90)</f>
        <v>3841772996</v>
      </c>
      <c r="F93" s="26"/>
      <c r="G93" s="25"/>
      <c r="H93" s="27"/>
      <c r="I93" s="26"/>
      <c r="J93" s="26"/>
      <c r="K93" s="25"/>
      <c r="L93" s="25">
        <f>SUBTOTAL(9,L4:L90)</f>
        <v>1347350</v>
      </c>
      <c r="M93" s="25">
        <f>SUBTOTAL(9,M4:M90)</f>
        <v>3812327831</v>
      </c>
    </row>
    <row r="94" spans="1:16" s="18" customForma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</row>
    <row r="95" spans="1:16">
      <c r="A95" s="35" t="s">
        <v>54</v>
      </c>
      <c r="B95" s="35"/>
      <c r="E95" s="36" t="s">
        <v>55</v>
      </c>
      <c r="G95" s="6"/>
      <c r="I95" s="37" t="s">
        <v>53</v>
      </c>
    </row>
    <row r="96" spans="1:16" s="18" customForma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s="18" customForma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 spans="1:16" s="18" customForma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s="18" customForma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 s="18" customForma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 spans="1:16" s="18" customForma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</row>
    <row r="102" spans="1:16" s="18" customForma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</row>
    <row r="103" spans="1:16" s="18" customForma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s="18" customForma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s="18" customForma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spans="1:16" s="18" customForma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</row>
    <row r="107" spans="1:16" s="18" customForma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</row>
    <row r="108" spans="1:16" s="18" customForma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</row>
    <row r="109" spans="1:16" s="18" customForma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</row>
    <row r="110" spans="1:16" s="18" customForma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</row>
    <row r="111" spans="1:16" s="18" customForma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</row>
    <row r="112" spans="1:16" s="18" customForma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</row>
    <row r="113" spans="1:16" s="18" customForma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</row>
    <row r="114" spans="1:16" s="18" customForma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</row>
    <row r="115" spans="1:16" s="18" customForma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</row>
    <row r="116" spans="1:16" s="18" customForma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</row>
    <row r="117" spans="1:16" s="18" customForma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</row>
    <row r="118" spans="1:16" s="18" customForma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</row>
    <row r="119" spans="1:16" s="18" customForma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</row>
    <row r="120" spans="1:16" s="18" customForma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</row>
    <row r="121" spans="1:16" s="18" customForma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</row>
    <row r="122" spans="1:16" s="18" customForma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</row>
    <row r="123" spans="1:16" s="18" customForma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</row>
    <row r="124" spans="1:16" s="18" customForma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</row>
    <row r="125" spans="1:16" s="18" customForma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</row>
    <row r="126" spans="1:16" s="18" customForma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</row>
    <row r="127" spans="1:16" s="18" customForma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spans="1:16" s="18" customForma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</row>
    <row r="129" spans="1:16" s="18" customForma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spans="1:16" s="18" customForma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spans="1:16" s="18" customForma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spans="1:16" s="18" customForma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s="18" customForma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spans="1:16" s="18" customForma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spans="1:16" s="18" customForma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spans="1:16" s="18" customForma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spans="1:16" s="18" customForma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spans="1:16" s="18" customForma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spans="1:16" s="18" customForma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spans="1:16" s="18" customForma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spans="1:16" s="18" customForma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spans="1:16" s="18" customForma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spans="1:16" s="18" customForma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s="18" customForma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spans="1:16" s="18" customForma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spans="1:16" s="18" customForma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spans="1:16" s="18" customForma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spans="1:16" s="18" customForma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spans="1:16" s="18" customForma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spans="1:16" s="18" customForma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spans="1:16" s="18" customForma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 spans="1:16" s="18" customForma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 spans="1:16" s="18" customForma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 spans="1:16" s="18" customForma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 spans="1:16" s="18" customForma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spans="1:16" s="18" customForma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spans="1:16" s="18" customForma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 spans="1:16" s="18" customForma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 spans="1:16" s="18" customForma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 spans="1:16" s="18" customForma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 spans="1:16" s="18" customForma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 spans="1:16" s="18" customForma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16" s="18" customForma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spans="1:16" s="18" customForma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6" s="18" customForma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spans="1:16" s="18" customForma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6" s="18" customForma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6" s="18" customForma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6" s="18" customForma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6" s="18" customForma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6" s="18" customForma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6" s="18" customForma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6" s="18" customForma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6" s="18" customForma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spans="1:16" s="18" customForma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spans="1:16" s="18" customForma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spans="1:16" s="18" customForma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spans="1:16" s="18" customForma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spans="1:16" s="18" customForma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spans="1:16" s="18" customForma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spans="1:16" s="18" customForma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spans="1:16" s="18" customForma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spans="1:16" s="18" customForma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spans="1:16" s="18" customForma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spans="1:16" s="18" customForma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spans="1:16" s="18" customForma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spans="1:16" s="18" customForma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6" s="18" customForma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6" s="18" customForma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6" s="18" customForma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6" s="18" customForma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6" s="18" customForma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s="18" customForma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s="18" customForma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s="18" customForma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s="18" customForma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s="18" customForma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s="18" customForma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s="18" customForma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s="18" customForma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s="18" customForma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spans="1:16" s="18" customForma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spans="1:16" s="18" customForma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s="18" customForma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spans="1:16" s="18" customForma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spans="1:16" s="18" customForma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spans="1:16" s="18" customForma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spans="1:16" s="18" customForma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spans="1:16" s="18" customForma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spans="1:16" s="18" customForma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spans="1:16" s="18" customForma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spans="1:16" s="18" customForma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spans="1:16" s="18" customForma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s="18" customForma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spans="1:16" s="18" customForma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spans="1:16" s="18" customForma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spans="1:16" s="18" customForma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 s="18" customForma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</sheetData>
  <autoFilter ref="A3:M91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9772-DF8E-4A2D-848D-EB998B53C24E}">
  <dimension ref="A1:P838"/>
  <sheetViews>
    <sheetView zoomScaleNormal="100" workbookViewId="0">
      <selection activeCell="C18" sqref="C18:C19"/>
    </sheetView>
  </sheetViews>
  <sheetFormatPr defaultColWidth="10.59765625" defaultRowHeight="13.15" outlineLevelRow="2"/>
  <cols>
    <col min="1" max="1" width="17.73046875" style="6" bestFit="1" customWidth="1"/>
    <col min="2" max="2" width="8.73046875" style="6" bestFit="1" customWidth="1"/>
    <col min="3" max="3" width="21.46484375" style="6" bestFit="1" customWidth="1"/>
    <col min="4" max="4" width="12" style="6" bestFit="1" customWidth="1"/>
    <col min="5" max="5" width="13.59765625" style="10" bestFit="1" customWidth="1"/>
    <col min="6" max="6" width="12" style="11" bestFit="1" customWidth="1"/>
    <col min="7" max="7" width="12" style="10" bestFit="1" customWidth="1"/>
    <col min="8" max="8" width="10.33203125" style="12" bestFit="1" customWidth="1"/>
    <col min="9" max="10" width="8.73046875" style="6" bestFit="1" customWidth="1"/>
    <col min="11" max="11" width="10.33203125" style="6" bestFit="1" customWidth="1"/>
    <col min="12" max="12" width="10.33203125" style="10" bestFit="1" customWidth="1"/>
    <col min="13" max="13" width="13.59765625" style="6" bestFit="1" customWidth="1"/>
    <col min="14" max="16384" width="10.597656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43982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43952</v>
      </c>
      <c r="J4" s="19">
        <v>43982</v>
      </c>
      <c r="K4" s="3">
        <f t="shared" ref="K4:K13" si="0">J4-I4+1</f>
        <v>31</v>
      </c>
      <c r="L4" s="3">
        <f t="shared" ref="L4:L13" si="1">ROUND(G4*H4*K4/366,0)</f>
        <v>68818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43958</v>
      </c>
      <c r="J5" s="19">
        <v>43982</v>
      </c>
      <c r="K5" s="3">
        <f t="shared" si="0"/>
        <v>25</v>
      </c>
      <c r="L5" s="3">
        <f t="shared" si="1"/>
        <v>492</v>
      </c>
      <c r="M5" s="3">
        <v>2400000</v>
      </c>
    </row>
    <row r="6" spans="1:13" s="18" customFormat="1" outlineLevel="2">
      <c r="A6" s="19" t="s">
        <v>15</v>
      </c>
      <c r="B6" s="20" t="s">
        <v>23</v>
      </c>
      <c r="C6" s="21" t="s">
        <v>17</v>
      </c>
      <c r="D6" s="20" t="s">
        <v>18</v>
      </c>
      <c r="E6" s="3">
        <v>6430000</v>
      </c>
      <c r="F6" s="19">
        <v>43920</v>
      </c>
      <c r="G6" s="3">
        <v>6430000</v>
      </c>
      <c r="H6" s="2">
        <v>5.0000000000000001E-3</v>
      </c>
      <c r="I6" s="19">
        <v>43952</v>
      </c>
      <c r="J6" s="19">
        <v>43982</v>
      </c>
      <c r="K6" s="3">
        <f t="shared" si="0"/>
        <v>31</v>
      </c>
      <c r="L6" s="3">
        <f t="shared" si="1"/>
        <v>2723</v>
      </c>
      <c r="M6" s="3">
        <v>6430000</v>
      </c>
    </row>
    <row r="7" spans="1:13" s="18" customFormat="1" outlineLevel="2">
      <c r="A7" s="19" t="s">
        <v>15</v>
      </c>
      <c r="B7" s="20" t="s">
        <v>29</v>
      </c>
      <c r="C7" s="21" t="s">
        <v>57</v>
      </c>
      <c r="D7" s="20" t="s">
        <v>56</v>
      </c>
      <c r="E7" s="3">
        <v>28600000</v>
      </c>
      <c r="F7" s="19">
        <v>43921</v>
      </c>
      <c r="G7" s="3">
        <v>28600000</v>
      </c>
      <c r="H7" s="2">
        <v>5.0000000000000001E-3</v>
      </c>
      <c r="I7" s="19">
        <v>43952</v>
      </c>
      <c r="J7" s="19">
        <v>43982</v>
      </c>
      <c r="K7" s="3">
        <f t="shared" si="0"/>
        <v>31</v>
      </c>
      <c r="L7" s="3">
        <f t="shared" si="1"/>
        <v>12112</v>
      </c>
      <c r="M7" s="3">
        <v>28600000</v>
      </c>
    </row>
    <row r="8" spans="1:13" s="18" customFormat="1" outlineLevel="2">
      <c r="A8" s="19" t="s">
        <v>15</v>
      </c>
      <c r="B8" s="20" t="s">
        <v>30</v>
      </c>
      <c r="C8" s="21" t="s">
        <v>74</v>
      </c>
      <c r="D8" s="20" t="s">
        <v>73</v>
      </c>
      <c r="E8" s="3">
        <v>20000000</v>
      </c>
      <c r="F8" s="19">
        <v>43922</v>
      </c>
      <c r="G8" s="3">
        <v>20000000</v>
      </c>
      <c r="H8" s="2">
        <v>5.0000000000000001E-3</v>
      </c>
      <c r="I8" s="19">
        <v>43952</v>
      </c>
      <c r="J8" s="19">
        <v>43982</v>
      </c>
      <c r="K8" s="3">
        <f t="shared" si="0"/>
        <v>31</v>
      </c>
      <c r="L8" s="3">
        <f t="shared" si="1"/>
        <v>8470</v>
      </c>
      <c r="M8" s="3">
        <v>20000000</v>
      </c>
    </row>
    <row r="9" spans="1:13" s="18" customFormat="1" outlineLevel="2">
      <c r="A9" s="19" t="s">
        <v>15</v>
      </c>
      <c r="B9" s="20" t="s">
        <v>31</v>
      </c>
      <c r="C9" s="21" t="s">
        <v>57</v>
      </c>
      <c r="D9" s="20" t="s">
        <v>56</v>
      </c>
      <c r="E9" s="3">
        <v>10000000</v>
      </c>
      <c r="F9" s="19">
        <v>43934</v>
      </c>
      <c r="G9" s="3">
        <v>10000000</v>
      </c>
      <c r="H9" s="2">
        <v>5.0000000000000001E-3</v>
      </c>
      <c r="I9" s="19">
        <v>43952</v>
      </c>
      <c r="J9" s="19">
        <v>43982</v>
      </c>
      <c r="K9" s="3">
        <f t="shared" si="0"/>
        <v>31</v>
      </c>
      <c r="L9" s="3">
        <f t="shared" si="1"/>
        <v>4235</v>
      </c>
      <c r="M9" s="3">
        <v>10000000</v>
      </c>
    </row>
    <row r="10" spans="1:13" s="18" customFormat="1" outlineLevel="2">
      <c r="A10" s="19" t="s">
        <v>15</v>
      </c>
      <c r="B10" s="20" t="s">
        <v>32</v>
      </c>
      <c r="C10" s="21" t="s">
        <v>57</v>
      </c>
      <c r="D10" s="20" t="s">
        <v>56</v>
      </c>
      <c r="E10" s="3">
        <v>30000000</v>
      </c>
      <c r="F10" s="19">
        <v>43937</v>
      </c>
      <c r="G10" s="3">
        <v>30000000</v>
      </c>
      <c r="H10" s="2">
        <v>5.0000000000000001E-3</v>
      </c>
      <c r="I10" s="19">
        <v>43952</v>
      </c>
      <c r="J10" s="19">
        <v>43982</v>
      </c>
      <c r="K10" s="3">
        <f t="shared" si="0"/>
        <v>31</v>
      </c>
      <c r="L10" s="3">
        <f t="shared" si="1"/>
        <v>12705</v>
      </c>
      <c r="M10" s="3">
        <v>30000000</v>
      </c>
    </row>
    <row r="11" spans="1:13" s="18" customFormat="1" outlineLevel="2">
      <c r="A11" s="19" t="s">
        <v>15</v>
      </c>
      <c r="B11" s="20" t="s">
        <v>48</v>
      </c>
      <c r="C11" s="21" t="s">
        <v>57</v>
      </c>
      <c r="D11" s="20" t="s">
        <v>56</v>
      </c>
      <c r="E11" s="3">
        <v>58360000</v>
      </c>
      <c r="F11" s="19">
        <v>43929</v>
      </c>
      <c r="G11" s="3">
        <v>58360000</v>
      </c>
      <c r="H11" s="2">
        <v>5.0000000000000001E-3</v>
      </c>
      <c r="I11" s="19">
        <v>43952</v>
      </c>
      <c r="J11" s="19">
        <v>43982</v>
      </c>
      <c r="K11" s="3">
        <f t="shared" si="0"/>
        <v>31</v>
      </c>
      <c r="L11" s="3">
        <f t="shared" si="1"/>
        <v>24715</v>
      </c>
      <c r="M11" s="3">
        <v>58360000</v>
      </c>
    </row>
    <row r="12" spans="1:13" s="18" customFormat="1" outlineLevel="2">
      <c r="A12" s="19" t="s">
        <v>15</v>
      </c>
      <c r="B12" s="20" t="s">
        <v>59</v>
      </c>
      <c r="C12" s="21" t="s">
        <v>113</v>
      </c>
      <c r="D12" s="20" t="s">
        <v>112</v>
      </c>
      <c r="E12" s="3">
        <v>64000000</v>
      </c>
      <c r="F12" s="19">
        <v>43966</v>
      </c>
      <c r="G12" s="3">
        <v>64000000</v>
      </c>
      <c r="H12" s="2">
        <v>5.0000000000000001E-3</v>
      </c>
      <c r="I12" s="19">
        <v>43966</v>
      </c>
      <c r="J12" s="19">
        <v>43982</v>
      </c>
      <c r="K12" s="3">
        <f t="shared" si="0"/>
        <v>17</v>
      </c>
      <c r="L12" s="3">
        <f t="shared" si="1"/>
        <v>14863</v>
      </c>
      <c r="M12" s="3">
        <v>64000000</v>
      </c>
    </row>
    <row r="13" spans="1:13" s="18" customFormat="1" outlineLevel="2">
      <c r="A13" s="19" t="s">
        <v>15</v>
      </c>
      <c r="B13" s="20" t="s">
        <v>58</v>
      </c>
      <c r="C13" s="21" t="s">
        <v>57</v>
      </c>
      <c r="D13" s="20" t="s">
        <v>56</v>
      </c>
      <c r="E13" s="3">
        <v>11400000</v>
      </c>
      <c r="F13" s="19">
        <v>43962</v>
      </c>
      <c r="G13" s="3">
        <v>11400000</v>
      </c>
      <c r="H13" s="2">
        <v>5.0000000000000001E-3</v>
      </c>
      <c r="I13" s="19">
        <v>43962</v>
      </c>
      <c r="J13" s="19">
        <v>43982</v>
      </c>
      <c r="K13" s="3">
        <f t="shared" si="0"/>
        <v>21</v>
      </c>
      <c r="L13" s="3">
        <f t="shared" si="1"/>
        <v>3270</v>
      </c>
      <c r="M13" s="3">
        <v>11400000</v>
      </c>
    </row>
    <row r="14" spans="1:13" s="18" customFormat="1" ht="13.5" outlineLevel="1">
      <c r="A14" s="22" t="s">
        <v>19</v>
      </c>
      <c r="B14" s="23"/>
      <c r="C14" s="24"/>
      <c r="D14" s="23"/>
      <c r="E14" s="25">
        <f>SUBTOTAL(9,E4:E13)</f>
        <v>393690000</v>
      </c>
      <c r="F14" s="26"/>
      <c r="G14" s="25"/>
      <c r="H14" s="27"/>
      <c r="I14" s="26"/>
      <c r="J14" s="26"/>
      <c r="K14" s="25"/>
      <c r="L14" s="25">
        <f>SUBTOTAL(9,L4:L13)</f>
        <v>152403</v>
      </c>
      <c r="M14" s="25">
        <f>SUBTOTAL(9,M4:M13)</f>
        <v>393690000</v>
      </c>
    </row>
    <row r="15" spans="1:13" s="18" customFormat="1" outlineLevel="2">
      <c r="A15" s="19" t="s">
        <v>80</v>
      </c>
      <c r="B15" s="20" t="s">
        <v>16</v>
      </c>
      <c r="C15" s="21" t="s">
        <v>57</v>
      </c>
      <c r="D15" s="20" t="s">
        <v>56</v>
      </c>
      <c r="E15" s="3">
        <v>26500000</v>
      </c>
      <c r="F15" s="19">
        <v>43907</v>
      </c>
      <c r="G15" s="3">
        <v>26184524</v>
      </c>
      <c r="H15" s="2">
        <v>5.0000000000000001E-3</v>
      </c>
      <c r="I15" s="19">
        <v>43952</v>
      </c>
      <c r="J15" s="19">
        <v>43965</v>
      </c>
      <c r="K15" s="3">
        <f>J15-I15+1</f>
        <v>14</v>
      </c>
      <c r="L15" s="3">
        <f>ROUND(G15*H15*K15/366,0)</f>
        <v>5008</v>
      </c>
      <c r="M15" s="3">
        <v>25869048</v>
      </c>
    </row>
    <row r="16" spans="1:13" s="18" customFormat="1" outlineLevel="2">
      <c r="A16" s="19" t="s">
        <v>80</v>
      </c>
      <c r="B16" s="20" t="s">
        <v>16</v>
      </c>
      <c r="C16" s="21" t="s">
        <v>57</v>
      </c>
      <c r="D16" s="20"/>
      <c r="E16" s="3"/>
      <c r="F16" s="19"/>
      <c r="G16" s="3">
        <v>25869048</v>
      </c>
      <c r="H16" s="2">
        <v>5.0000000000000001E-3</v>
      </c>
      <c r="I16" s="19">
        <v>43966</v>
      </c>
      <c r="J16" s="19">
        <v>43982</v>
      </c>
      <c r="K16" s="3">
        <f>J16-I16+1</f>
        <v>17</v>
      </c>
      <c r="L16" s="3">
        <f>ROUND(G16*H16*K16/366,0)</f>
        <v>6008</v>
      </c>
      <c r="M16" s="3"/>
    </row>
    <row r="17" spans="1:13" s="18" customFormat="1" outlineLevel="2">
      <c r="A17" s="19" t="s">
        <v>80</v>
      </c>
      <c r="B17" s="20" t="s">
        <v>23</v>
      </c>
      <c r="C17" s="21" t="s">
        <v>74</v>
      </c>
      <c r="D17" s="20" t="s">
        <v>73</v>
      </c>
      <c r="E17" s="3">
        <v>90000000</v>
      </c>
      <c r="F17" s="19">
        <v>43913</v>
      </c>
      <c r="G17" s="3">
        <v>90000000</v>
      </c>
      <c r="H17" s="2">
        <v>5.0000000000000001E-3</v>
      </c>
      <c r="I17" s="19">
        <v>43952</v>
      </c>
      <c r="J17" s="19">
        <v>43982</v>
      </c>
      <c r="K17" s="3">
        <f>J17-I17+1</f>
        <v>31</v>
      </c>
      <c r="L17" s="3">
        <f>ROUND(G17*H17*K17/366,0)</f>
        <v>38115</v>
      </c>
      <c r="M17" s="3">
        <v>90000000</v>
      </c>
    </row>
    <row r="18" spans="1:13" s="18" customFormat="1" outlineLevel="2">
      <c r="A18" s="19" t="s">
        <v>80</v>
      </c>
      <c r="B18" s="20" t="s">
        <v>29</v>
      </c>
      <c r="C18" s="21" t="s">
        <v>57</v>
      </c>
      <c r="D18" s="20" t="s">
        <v>56</v>
      </c>
      <c r="E18" s="3">
        <v>23500000</v>
      </c>
      <c r="F18" s="19">
        <v>43928</v>
      </c>
      <c r="G18" s="3">
        <v>23220237</v>
      </c>
      <c r="H18" s="2">
        <v>5.0000000000000001E-3</v>
      </c>
      <c r="I18" s="19">
        <v>43952</v>
      </c>
      <c r="J18" s="19">
        <v>43965</v>
      </c>
      <c r="K18" s="3">
        <f>J18-I18+1</f>
        <v>14</v>
      </c>
      <c r="L18" s="3">
        <f>ROUND(G18*H18*K18/366,0)</f>
        <v>4441</v>
      </c>
      <c r="M18" s="3">
        <v>22940474</v>
      </c>
    </row>
    <row r="19" spans="1:13" s="18" customFormat="1" outlineLevel="2">
      <c r="A19" s="19" t="s">
        <v>80</v>
      </c>
      <c r="B19" s="20" t="s">
        <v>29</v>
      </c>
      <c r="C19" s="21" t="s">
        <v>57</v>
      </c>
      <c r="D19" s="20"/>
      <c r="E19" s="3"/>
      <c r="F19" s="19"/>
      <c r="G19" s="3">
        <v>22940474</v>
      </c>
      <c r="H19" s="2">
        <v>5.0000000000000001E-3</v>
      </c>
      <c r="I19" s="19">
        <v>43966</v>
      </c>
      <c r="J19" s="19">
        <v>43982</v>
      </c>
      <c r="K19" s="3">
        <f>J19-I19+1</f>
        <v>17</v>
      </c>
      <c r="L19" s="3">
        <f>ROUND(G19*H19*K19/366,0)</f>
        <v>5328</v>
      </c>
      <c r="M19" s="3"/>
    </row>
    <row r="20" spans="1:13" s="18" customFormat="1" ht="13.5" outlineLevel="1">
      <c r="A20" s="22" t="s">
        <v>79</v>
      </c>
      <c r="B20" s="23"/>
      <c r="C20" s="24"/>
      <c r="D20" s="23"/>
      <c r="E20" s="25">
        <f>SUBTOTAL(9,E15:E19)</f>
        <v>140000000</v>
      </c>
      <c r="F20" s="26"/>
      <c r="G20" s="25"/>
      <c r="H20" s="27"/>
      <c r="I20" s="26"/>
      <c r="J20" s="26"/>
      <c r="K20" s="25"/>
      <c r="L20" s="25">
        <f>SUBTOTAL(9,L15:L19)</f>
        <v>58900</v>
      </c>
      <c r="M20" s="25">
        <f>SUBTOTAL(9,M15:M19)</f>
        <v>138809522</v>
      </c>
    </row>
    <row r="21" spans="1:13" s="18" customFormat="1" outlineLevel="2">
      <c r="A21" s="19" t="s">
        <v>78</v>
      </c>
      <c r="B21" s="20" t="s">
        <v>16</v>
      </c>
      <c r="C21" s="21" t="s">
        <v>77</v>
      </c>
      <c r="D21" s="20" t="s">
        <v>76</v>
      </c>
      <c r="E21" s="3">
        <v>81465386</v>
      </c>
      <c r="F21" s="19">
        <v>43900</v>
      </c>
      <c r="G21" s="3">
        <v>81465386</v>
      </c>
      <c r="H21" s="2">
        <v>5.0000000000000001E-3</v>
      </c>
      <c r="I21" s="19">
        <v>43952</v>
      </c>
      <c r="J21" s="19">
        <v>43982</v>
      </c>
      <c r="K21" s="3">
        <f t="shared" ref="K21:K32" si="2">J21-I21+1</f>
        <v>31</v>
      </c>
      <c r="L21" s="3">
        <f t="shared" ref="L21:L32" si="3">ROUND(G21*H21*K21/366,0)</f>
        <v>34500</v>
      </c>
      <c r="M21" s="3">
        <v>81465386</v>
      </c>
    </row>
    <row r="22" spans="1:13" s="18" customFormat="1" outlineLevel="2">
      <c r="A22" s="19" t="s">
        <v>78</v>
      </c>
      <c r="B22" s="20" t="s">
        <v>23</v>
      </c>
      <c r="C22" s="21" t="s">
        <v>95</v>
      </c>
      <c r="D22" s="20" t="s">
        <v>94</v>
      </c>
      <c r="E22" s="3">
        <v>6200000</v>
      </c>
      <c r="F22" s="19">
        <v>43929</v>
      </c>
      <c r="G22" s="3">
        <v>6200000</v>
      </c>
      <c r="H22" s="2">
        <v>5.0000000000000001E-3</v>
      </c>
      <c r="I22" s="19">
        <v>43952</v>
      </c>
      <c r="J22" s="19">
        <v>43982</v>
      </c>
      <c r="K22" s="3">
        <f t="shared" si="2"/>
        <v>31</v>
      </c>
      <c r="L22" s="3">
        <f t="shared" si="3"/>
        <v>2626</v>
      </c>
      <c r="M22" s="3">
        <v>6200000</v>
      </c>
    </row>
    <row r="23" spans="1:13" s="18" customFormat="1" outlineLevel="2">
      <c r="A23" s="19" t="s">
        <v>78</v>
      </c>
      <c r="B23" s="20" t="s">
        <v>29</v>
      </c>
      <c r="C23" s="21" t="s">
        <v>95</v>
      </c>
      <c r="D23" s="20" t="s">
        <v>94</v>
      </c>
      <c r="E23" s="3">
        <v>23630000</v>
      </c>
      <c r="F23" s="19">
        <v>43936</v>
      </c>
      <c r="G23" s="3">
        <v>23630000</v>
      </c>
      <c r="H23" s="2">
        <v>5.0000000000000001E-3</v>
      </c>
      <c r="I23" s="19">
        <v>43952</v>
      </c>
      <c r="J23" s="19">
        <v>43982</v>
      </c>
      <c r="K23" s="3">
        <f t="shared" si="2"/>
        <v>31</v>
      </c>
      <c r="L23" s="3">
        <f t="shared" si="3"/>
        <v>10007</v>
      </c>
      <c r="M23" s="3">
        <v>23630000</v>
      </c>
    </row>
    <row r="24" spans="1:13" s="18" customFormat="1" outlineLevel="2">
      <c r="A24" s="19" t="s">
        <v>78</v>
      </c>
      <c r="B24" s="20" t="s">
        <v>30</v>
      </c>
      <c r="C24" s="21" t="s">
        <v>72</v>
      </c>
      <c r="D24" s="20" t="s">
        <v>71</v>
      </c>
      <c r="E24" s="3">
        <v>24000000</v>
      </c>
      <c r="F24" s="19">
        <v>43937</v>
      </c>
      <c r="G24" s="3">
        <v>24000000</v>
      </c>
      <c r="H24" s="2">
        <v>5.0000000000000001E-3</v>
      </c>
      <c r="I24" s="19">
        <v>43952</v>
      </c>
      <c r="J24" s="19">
        <v>43965</v>
      </c>
      <c r="K24" s="3">
        <f t="shared" si="2"/>
        <v>14</v>
      </c>
      <c r="L24" s="3">
        <f t="shared" si="3"/>
        <v>4590</v>
      </c>
      <c r="M24" s="3">
        <v>23800000</v>
      </c>
    </row>
    <row r="25" spans="1:13" s="18" customFormat="1" outlineLevel="2">
      <c r="A25" s="19" t="s">
        <v>78</v>
      </c>
      <c r="B25" s="20" t="s">
        <v>30</v>
      </c>
      <c r="C25" s="21" t="s">
        <v>72</v>
      </c>
      <c r="D25" s="20"/>
      <c r="E25" s="3"/>
      <c r="F25" s="19"/>
      <c r="G25" s="3">
        <v>23800000</v>
      </c>
      <c r="H25" s="2">
        <v>5.0000000000000001E-3</v>
      </c>
      <c r="I25" s="19">
        <v>43966</v>
      </c>
      <c r="J25" s="19">
        <v>43982</v>
      </c>
      <c r="K25" s="3">
        <f t="shared" si="2"/>
        <v>17</v>
      </c>
      <c r="L25" s="3">
        <f t="shared" si="3"/>
        <v>5527</v>
      </c>
      <c r="M25" s="3"/>
    </row>
    <row r="26" spans="1:13" s="18" customFormat="1" outlineLevel="2">
      <c r="A26" s="19" t="s">
        <v>78</v>
      </c>
      <c r="B26" s="20" t="s">
        <v>31</v>
      </c>
      <c r="C26" s="21" t="s">
        <v>93</v>
      </c>
      <c r="D26" s="20" t="s">
        <v>92</v>
      </c>
      <c r="E26" s="3">
        <v>28240000</v>
      </c>
      <c r="F26" s="19">
        <v>43951</v>
      </c>
      <c r="G26" s="3">
        <v>28240000</v>
      </c>
      <c r="H26" s="2">
        <v>5.0000000000000001E-3</v>
      </c>
      <c r="I26" s="19">
        <v>43952</v>
      </c>
      <c r="J26" s="19">
        <v>43965</v>
      </c>
      <c r="K26" s="3">
        <f t="shared" si="2"/>
        <v>14</v>
      </c>
      <c r="L26" s="3">
        <f t="shared" si="3"/>
        <v>5401</v>
      </c>
      <c r="M26" s="3">
        <v>27903810</v>
      </c>
    </row>
    <row r="27" spans="1:13" s="18" customFormat="1" outlineLevel="2">
      <c r="A27" s="19" t="s">
        <v>78</v>
      </c>
      <c r="B27" s="20" t="s">
        <v>31</v>
      </c>
      <c r="C27" s="21" t="s">
        <v>93</v>
      </c>
      <c r="D27" s="20"/>
      <c r="E27" s="3"/>
      <c r="F27" s="19"/>
      <c r="G27" s="3">
        <v>27903810</v>
      </c>
      <c r="H27" s="2">
        <v>5.0000000000000001E-3</v>
      </c>
      <c r="I27" s="19">
        <v>43966</v>
      </c>
      <c r="J27" s="19">
        <v>43982</v>
      </c>
      <c r="K27" s="3">
        <f t="shared" si="2"/>
        <v>17</v>
      </c>
      <c r="L27" s="3">
        <f t="shared" si="3"/>
        <v>6480</v>
      </c>
      <c r="M27" s="3"/>
    </row>
    <row r="28" spans="1:13" s="18" customFormat="1" outlineLevel="2">
      <c r="A28" s="19" t="s">
        <v>78</v>
      </c>
      <c r="B28" s="20" t="s">
        <v>32</v>
      </c>
      <c r="C28" s="21" t="s">
        <v>95</v>
      </c>
      <c r="D28" s="20" t="s">
        <v>94</v>
      </c>
      <c r="E28" s="3">
        <v>8000000</v>
      </c>
      <c r="F28" s="19">
        <v>43957</v>
      </c>
      <c r="G28" s="3">
        <v>8000000</v>
      </c>
      <c r="H28" s="2">
        <v>5.0000000000000001E-3</v>
      </c>
      <c r="I28" s="19">
        <v>43957</v>
      </c>
      <c r="J28" s="19">
        <v>43965</v>
      </c>
      <c r="K28" s="3">
        <f t="shared" si="2"/>
        <v>9</v>
      </c>
      <c r="L28" s="3">
        <f t="shared" si="3"/>
        <v>984</v>
      </c>
      <c r="M28" s="3">
        <v>7866667</v>
      </c>
    </row>
    <row r="29" spans="1:13" s="18" customFormat="1" outlineLevel="2">
      <c r="A29" s="19" t="s">
        <v>78</v>
      </c>
      <c r="B29" s="20" t="s">
        <v>32</v>
      </c>
      <c r="C29" s="21" t="s">
        <v>95</v>
      </c>
      <c r="D29" s="20"/>
      <c r="E29" s="3"/>
      <c r="F29" s="19"/>
      <c r="G29" s="3">
        <v>7866667</v>
      </c>
      <c r="H29" s="2">
        <v>5.0000000000000001E-3</v>
      </c>
      <c r="I29" s="19">
        <v>43966</v>
      </c>
      <c r="J29" s="19">
        <v>43982</v>
      </c>
      <c r="K29" s="3">
        <f t="shared" si="2"/>
        <v>17</v>
      </c>
      <c r="L29" s="3">
        <f t="shared" si="3"/>
        <v>1827</v>
      </c>
      <c r="M29" s="3"/>
    </row>
    <row r="30" spans="1:13" s="18" customFormat="1" outlineLevel="2">
      <c r="A30" s="19" t="s">
        <v>78</v>
      </c>
      <c r="B30" s="20" t="s">
        <v>48</v>
      </c>
      <c r="C30" s="21" t="s">
        <v>95</v>
      </c>
      <c r="D30" s="20" t="s">
        <v>94</v>
      </c>
      <c r="E30" s="3">
        <v>5910000</v>
      </c>
      <c r="F30" s="19">
        <v>43966</v>
      </c>
      <c r="G30" s="3">
        <v>5910000</v>
      </c>
      <c r="H30" s="2">
        <v>5.0000000000000001E-3</v>
      </c>
      <c r="I30" s="19">
        <v>43966</v>
      </c>
      <c r="J30" s="19">
        <v>43982</v>
      </c>
      <c r="K30" s="3">
        <f t="shared" si="2"/>
        <v>17</v>
      </c>
      <c r="L30" s="3">
        <f t="shared" si="3"/>
        <v>1373</v>
      </c>
      <c r="M30" s="3">
        <v>5910000</v>
      </c>
    </row>
    <row r="31" spans="1:13" s="18" customFormat="1" outlineLevel="2">
      <c r="A31" s="19" t="s">
        <v>78</v>
      </c>
      <c r="B31" s="20" t="s">
        <v>59</v>
      </c>
      <c r="C31" s="21" t="s">
        <v>93</v>
      </c>
      <c r="D31" s="20" t="s">
        <v>92</v>
      </c>
      <c r="E31" s="3">
        <v>20510000</v>
      </c>
      <c r="F31" s="19">
        <v>43966</v>
      </c>
      <c r="G31" s="3">
        <v>20510000</v>
      </c>
      <c r="H31" s="2">
        <v>5.0000000000000001E-3</v>
      </c>
      <c r="I31" s="19">
        <v>43966</v>
      </c>
      <c r="J31" s="19">
        <v>43982</v>
      </c>
      <c r="K31" s="3">
        <f t="shared" si="2"/>
        <v>17</v>
      </c>
      <c r="L31" s="3">
        <f t="shared" si="3"/>
        <v>4763</v>
      </c>
      <c r="M31" s="3">
        <v>20510000</v>
      </c>
    </row>
    <row r="32" spans="1:13" s="18" customFormat="1" outlineLevel="2">
      <c r="A32" s="19" t="s">
        <v>78</v>
      </c>
      <c r="B32" s="20" t="s">
        <v>58</v>
      </c>
      <c r="C32" s="21" t="s">
        <v>77</v>
      </c>
      <c r="D32" s="20" t="s">
        <v>76</v>
      </c>
      <c r="E32" s="3">
        <v>33960000</v>
      </c>
      <c r="F32" s="19">
        <v>43978</v>
      </c>
      <c r="G32" s="3">
        <v>33960000</v>
      </c>
      <c r="H32" s="2">
        <v>5.0000000000000001E-3</v>
      </c>
      <c r="I32" s="19">
        <v>43978</v>
      </c>
      <c r="J32" s="19">
        <v>43982</v>
      </c>
      <c r="K32" s="3">
        <f t="shared" si="2"/>
        <v>5</v>
      </c>
      <c r="L32" s="3">
        <f t="shared" si="3"/>
        <v>2320</v>
      </c>
      <c r="M32" s="3">
        <v>33960000</v>
      </c>
    </row>
    <row r="33" spans="1:13" s="18" customFormat="1" ht="13.5" outlineLevel="1">
      <c r="A33" s="22" t="s">
        <v>75</v>
      </c>
      <c r="B33" s="23"/>
      <c r="C33" s="24"/>
      <c r="D33" s="23"/>
      <c r="E33" s="25">
        <f>SUBTOTAL(9,E21:E32)</f>
        <v>231915386</v>
      </c>
      <c r="F33" s="26"/>
      <c r="G33" s="25"/>
      <c r="H33" s="27"/>
      <c r="I33" s="26"/>
      <c r="J33" s="26"/>
      <c r="K33" s="25"/>
      <c r="L33" s="25">
        <f>SUBTOTAL(9,L21:L32)</f>
        <v>80398</v>
      </c>
      <c r="M33" s="25">
        <f>SUBTOTAL(9,M21:M32)</f>
        <v>231245863</v>
      </c>
    </row>
    <row r="34" spans="1:13" s="18" customFormat="1" outlineLevel="2">
      <c r="A34" s="19" t="s">
        <v>20</v>
      </c>
      <c r="B34" s="20" t="s">
        <v>16</v>
      </c>
      <c r="C34" s="21" t="s">
        <v>21</v>
      </c>
      <c r="D34" s="20" t="s">
        <v>22</v>
      </c>
      <c r="E34" s="3">
        <v>69000000</v>
      </c>
      <c r="F34" s="19">
        <v>43822</v>
      </c>
      <c r="G34" s="3">
        <v>69000000</v>
      </c>
      <c r="H34" s="2">
        <v>5.0000000000000001E-3</v>
      </c>
      <c r="I34" s="19">
        <v>43952</v>
      </c>
      <c r="J34" s="19">
        <v>43982</v>
      </c>
      <c r="K34" s="3">
        <f t="shared" ref="K34:K41" si="4">J34-I34+1</f>
        <v>31</v>
      </c>
      <c r="L34" s="3">
        <f t="shared" ref="L34:L41" si="5">ROUND(G34*H34*K34/366,0)</f>
        <v>29221</v>
      </c>
      <c r="M34" s="3">
        <v>69000000</v>
      </c>
    </row>
    <row r="35" spans="1:13" s="18" customFormat="1" outlineLevel="2">
      <c r="A35" s="19" t="s">
        <v>20</v>
      </c>
      <c r="B35" s="20" t="s">
        <v>23</v>
      </c>
      <c r="C35" s="21" t="s">
        <v>24</v>
      </c>
      <c r="D35" s="20" t="s">
        <v>18</v>
      </c>
      <c r="E35" s="3">
        <v>162300000</v>
      </c>
      <c r="F35" s="19">
        <v>43829</v>
      </c>
      <c r="G35" s="3">
        <v>151480000</v>
      </c>
      <c r="H35" s="2">
        <v>5.0000000000000001E-3</v>
      </c>
      <c r="I35" s="19">
        <v>43952</v>
      </c>
      <c r="J35" s="19">
        <v>43965</v>
      </c>
      <c r="K35" s="3">
        <f t="shared" si="4"/>
        <v>14</v>
      </c>
      <c r="L35" s="3">
        <f t="shared" si="5"/>
        <v>28972</v>
      </c>
      <c r="M35" s="3">
        <v>148775000</v>
      </c>
    </row>
    <row r="36" spans="1:13" s="18" customFormat="1" outlineLevel="2">
      <c r="A36" s="19" t="s">
        <v>20</v>
      </c>
      <c r="B36" s="20" t="s">
        <v>23</v>
      </c>
      <c r="C36" s="21" t="s">
        <v>24</v>
      </c>
      <c r="D36" s="20"/>
      <c r="E36" s="3"/>
      <c r="F36" s="19"/>
      <c r="G36" s="3">
        <v>148775000</v>
      </c>
      <c r="H36" s="2">
        <v>5.0000000000000001E-3</v>
      </c>
      <c r="I36" s="19">
        <v>43966</v>
      </c>
      <c r="J36" s="19">
        <v>43982</v>
      </c>
      <c r="K36" s="3">
        <f t="shared" si="4"/>
        <v>17</v>
      </c>
      <c r="L36" s="3">
        <f t="shared" si="5"/>
        <v>34552</v>
      </c>
      <c r="M36" s="3"/>
    </row>
    <row r="37" spans="1:13" s="18" customFormat="1" outlineLevel="2">
      <c r="A37" s="19" t="s">
        <v>20</v>
      </c>
      <c r="B37" s="20" t="s">
        <v>29</v>
      </c>
      <c r="C37" s="21" t="s">
        <v>69</v>
      </c>
      <c r="D37" s="20" t="s">
        <v>68</v>
      </c>
      <c r="E37" s="3">
        <v>60000000</v>
      </c>
      <c r="F37" s="19">
        <v>43922</v>
      </c>
      <c r="G37" s="3">
        <v>60000000</v>
      </c>
      <c r="H37" s="2">
        <v>3.0000000000000001E-3</v>
      </c>
      <c r="I37" s="19">
        <v>43952</v>
      </c>
      <c r="J37" s="19">
        <v>43982</v>
      </c>
      <c r="K37" s="3">
        <f t="shared" si="4"/>
        <v>31</v>
      </c>
      <c r="L37" s="3">
        <f t="shared" si="5"/>
        <v>15246</v>
      </c>
      <c r="M37" s="3">
        <v>60000000</v>
      </c>
    </row>
    <row r="38" spans="1:13" s="18" customFormat="1" outlineLevel="2">
      <c r="A38" s="19" t="s">
        <v>20</v>
      </c>
      <c r="B38" s="20" t="s">
        <v>30</v>
      </c>
      <c r="C38" s="21" t="s">
        <v>69</v>
      </c>
      <c r="D38" s="20" t="s">
        <v>68</v>
      </c>
      <c r="E38" s="3">
        <v>144000000</v>
      </c>
      <c r="F38" s="19">
        <v>43922</v>
      </c>
      <c r="G38" s="3">
        <v>144000000</v>
      </c>
      <c r="H38" s="2">
        <v>5.0000000000000001E-3</v>
      </c>
      <c r="I38" s="19">
        <v>43952</v>
      </c>
      <c r="J38" s="19">
        <v>43982</v>
      </c>
      <c r="K38" s="3">
        <f t="shared" si="4"/>
        <v>31</v>
      </c>
      <c r="L38" s="3">
        <f t="shared" si="5"/>
        <v>60984</v>
      </c>
      <c r="M38" s="3">
        <v>144000000</v>
      </c>
    </row>
    <row r="39" spans="1:13" s="18" customFormat="1" outlineLevel="2">
      <c r="A39" s="19" t="s">
        <v>20</v>
      </c>
      <c r="B39" s="20" t="s">
        <v>31</v>
      </c>
      <c r="C39" s="21" t="s">
        <v>115</v>
      </c>
      <c r="D39" s="20" t="s">
        <v>114</v>
      </c>
      <c r="E39" s="3">
        <v>34480000</v>
      </c>
      <c r="F39" s="19">
        <v>43980</v>
      </c>
      <c r="G39" s="3">
        <v>34480000</v>
      </c>
      <c r="H39" s="2">
        <v>5.0000000000000001E-3</v>
      </c>
      <c r="I39" s="19">
        <v>43980</v>
      </c>
      <c r="J39" s="19">
        <v>43982</v>
      </c>
      <c r="K39" s="3">
        <f t="shared" si="4"/>
        <v>3</v>
      </c>
      <c r="L39" s="3">
        <f t="shared" si="5"/>
        <v>1413</v>
      </c>
      <c r="M39" s="3">
        <v>34480000</v>
      </c>
    </row>
    <row r="40" spans="1:13" s="18" customFormat="1" outlineLevel="2">
      <c r="A40" s="19" t="s">
        <v>20</v>
      </c>
      <c r="B40" s="20" t="s">
        <v>32</v>
      </c>
      <c r="C40" s="21" t="s">
        <v>113</v>
      </c>
      <c r="D40" s="20" t="s">
        <v>112</v>
      </c>
      <c r="E40" s="3">
        <v>56000000</v>
      </c>
      <c r="F40" s="19">
        <v>43966</v>
      </c>
      <c r="G40" s="3">
        <v>56000000</v>
      </c>
      <c r="H40" s="2">
        <v>5.0000000000000001E-3</v>
      </c>
      <c r="I40" s="19">
        <v>43966</v>
      </c>
      <c r="J40" s="19">
        <v>43982</v>
      </c>
      <c r="K40" s="3">
        <f t="shared" si="4"/>
        <v>17</v>
      </c>
      <c r="L40" s="3">
        <f t="shared" si="5"/>
        <v>13005</v>
      </c>
      <c r="M40" s="3">
        <v>56000000</v>
      </c>
    </row>
    <row r="41" spans="1:13" s="18" customFormat="1" outlineLevel="2">
      <c r="A41" s="19" t="s">
        <v>20</v>
      </c>
      <c r="B41" s="20" t="s">
        <v>48</v>
      </c>
      <c r="C41" s="21" t="s">
        <v>69</v>
      </c>
      <c r="D41" s="20" t="s">
        <v>68</v>
      </c>
      <c r="E41" s="3">
        <v>150000000</v>
      </c>
      <c r="F41" s="19">
        <v>43958</v>
      </c>
      <c r="G41" s="3">
        <v>150000000</v>
      </c>
      <c r="H41" s="2">
        <v>5.0000000000000001E-3</v>
      </c>
      <c r="I41" s="19">
        <v>43958</v>
      </c>
      <c r="J41" s="19">
        <v>43982</v>
      </c>
      <c r="K41" s="3">
        <f t="shared" si="4"/>
        <v>25</v>
      </c>
      <c r="L41" s="3">
        <f t="shared" si="5"/>
        <v>51230</v>
      </c>
      <c r="M41" s="3">
        <v>150000000</v>
      </c>
    </row>
    <row r="42" spans="1:13" s="18" customFormat="1" ht="13.5" outlineLevel="1">
      <c r="A42" s="22" t="s">
        <v>25</v>
      </c>
      <c r="B42" s="23"/>
      <c r="C42" s="24"/>
      <c r="D42" s="23"/>
      <c r="E42" s="25">
        <f>SUBTOTAL(9,E34:E41)</f>
        <v>675780000</v>
      </c>
      <c r="F42" s="26"/>
      <c r="G42" s="25"/>
      <c r="H42" s="27"/>
      <c r="I42" s="26"/>
      <c r="J42" s="26"/>
      <c r="K42" s="25"/>
      <c r="L42" s="25">
        <f>SUBTOTAL(9,L34:L41)</f>
        <v>234623</v>
      </c>
      <c r="M42" s="25">
        <f>SUBTOTAL(9,M34:M41)</f>
        <v>662255000</v>
      </c>
    </row>
    <row r="43" spans="1:13" s="18" customFormat="1" outlineLevel="2">
      <c r="A43" s="19" t="s">
        <v>26</v>
      </c>
      <c r="B43" s="20" t="s">
        <v>16</v>
      </c>
      <c r="C43" s="21" t="s">
        <v>27</v>
      </c>
      <c r="D43" s="20" t="s">
        <v>28</v>
      </c>
      <c r="E43" s="3">
        <v>38000000</v>
      </c>
      <c r="F43" s="19">
        <v>43762</v>
      </c>
      <c r="G43" s="3">
        <v>38000000</v>
      </c>
      <c r="H43" s="2">
        <v>5.0000000000000001E-3</v>
      </c>
      <c r="I43" s="19">
        <v>43952</v>
      </c>
      <c r="J43" s="19">
        <v>43982</v>
      </c>
      <c r="K43" s="3">
        <f t="shared" ref="K43:K57" si="6">J43-I43+1</f>
        <v>31</v>
      </c>
      <c r="L43" s="3">
        <f t="shared" ref="L43:L57" si="7">ROUND(G43*H43*K43/366,0)</f>
        <v>16093</v>
      </c>
      <c r="M43" s="3">
        <v>38000000</v>
      </c>
    </row>
    <row r="44" spans="1:13" s="18" customFormat="1" outlineLevel="2">
      <c r="A44" s="19" t="s">
        <v>26</v>
      </c>
      <c r="B44" s="20" t="s">
        <v>61</v>
      </c>
      <c r="C44" s="21" t="s">
        <v>74</v>
      </c>
      <c r="D44" s="20" t="s">
        <v>73</v>
      </c>
      <c r="E44" s="3">
        <v>110000000</v>
      </c>
      <c r="F44" s="19">
        <v>43913</v>
      </c>
      <c r="G44" s="3">
        <v>110000000</v>
      </c>
      <c r="H44" s="2">
        <v>5.0000000000000001E-3</v>
      </c>
      <c r="I44" s="19">
        <v>43952</v>
      </c>
      <c r="J44" s="19">
        <v>43982</v>
      </c>
      <c r="K44" s="3">
        <f t="shared" si="6"/>
        <v>31</v>
      </c>
      <c r="L44" s="3">
        <f t="shared" si="7"/>
        <v>46585</v>
      </c>
      <c r="M44" s="3">
        <v>110000000</v>
      </c>
    </row>
    <row r="45" spans="1:13" s="18" customFormat="1" outlineLevel="2">
      <c r="A45" s="19" t="s">
        <v>26</v>
      </c>
      <c r="B45" s="20" t="s">
        <v>60</v>
      </c>
      <c r="C45" s="21" t="s">
        <v>33</v>
      </c>
      <c r="D45" s="20" t="s">
        <v>34</v>
      </c>
      <c r="E45" s="3">
        <v>95655336</v>
      </c>
      <c r="F45" s="19">
        <v>43951</v>
      </c>
      <c r="G45" s="3">
        <v>95655336</v>
      </c>
      <c r="H45" s="2">
        <v>5.0000000000000001E-3</v>
      </c>
      <c r="I45" s="19">
        <v>43952</v>
      </c>
      <c r="J45" s="19">
        <v>43982</v>
      </c>
      <c r="K45" s="3">
        <f t="shared" si="6"/>
        <v>31</v>
      </c>
      <c r="L45" s="3">
        <f t="shared" si="7"/>
        <v>40510</v>
      </c>
      <c r="M45" s="3">
        <v>95655336</v>
      </c>
    </row>
    <row r="46" spans="1:13" s="18" customFormat="1" outlineLevel="2">
      <c r="A46" s="19" t="s">
        <v>26</v>
      </c>
      <c r="B46" s="20" t="s">
        <v>66</v>
      </c>
      <c r="C46" s="21" t="s">
        <v>27</v>
      </c>
      <c r="D46" s="20" t="s">
        <v>28</v>
      </c>
      <c r="E46" s="3">
        <v>38000000</v>
      </c>
      <c r="F46" s="19">
        <v>43962</v>
      </c>
      <c r="G46" s="3">
        <v>38000000</v>
      </c>
      <c r="H46" s="2">
        <v>5.0000000000000001E-3</v>
      </c>
      <c r="I46" s="19">
        <v>43962</v>
      </c>
      <c r="J46" s="19">
        <v>43982</v>
      </c>
      <c r="K46" s="3">
        <f t="shared" si="6"/>
        <v>21</v>
      </c>
      <c r="L46" s="3">
        <f t="shared" si="7"/>
        <v>10902</v>
      </c>
      <c r="M46" s="3">
        <v>38000000</v>
      </c>
    </row>
    <row r="47" spans="1:13" s="18" customFormat="1" outlineLevel="2">
      <c r="A47" s="19" t="s">
        <v>26</v>
      </c>
      <c r="B47" s="20" t="s">
        <v>65</v>
      </c>
      <c r="C47" s="21" t="s">
        <v>27</v>
      </c>
      <c r="D47" s="20" t="s">
        <v>28</v>
      </c>
      <c r="E47" s="3">
        <v>10500000</v>
      </c>
      <c r="F47" s="19">
        <v>43962</v>
      </c>
      <c r="G47" s="3">
        <v>10500000</v>
      </c>
      <c r="H47" s="2">
        <v>5.0000000000000001E-3</v>
      </c>
      <c r="I47" s="19">
        <v>43962</v>
      </c>
      <c r="J47" s="19">
        <v>43982</v>
      </c>
      <c r="K47" s="3">
        <f t="shared" si="6"/>
        <v>21</v>
      </c>
      <c r="L47" s="3">
        <f t="shared" si="7"/>
        <v>3012</v>
      </c>
      <c r="M47" s="3">
        <v>10500000</v>
      </c>
    </row>
    <row r="48" spans="1:13" s="18" customFormat="1" outlineLevel="2">
      <c r="A48" s="19" t="s">
        <v>26</v>
      </c>
      <c r="B48" s="20" t="s">
        <v>64</v>
      </c>
      <c r="C48" s="21" t="s">
        <v>111</v>
      </c>
      <c r="D48" s="20" t="s">
        <v>110</v>
      </c>
      <c r="E48" s="3">
        <v>160000000</v>
      </c>
      <c r="F48" s="19">
        <v>43970</v>
      </c>
      <c r="G48" s="3">
        <v>160000000</v>
      </c>
      <c r="H48" s="2">
        <v>5.0000000000000001E-3</v>
      </c>
      <c r="I48" s="19">
        <v>43970</v>
      </c>
      <c r="J48" s="19">
        <v>43982</v>
      </c>
      <c r="K48" s="3">
        <f t="shared" si="6"/>
        <v>13</v>
      </c>
      <c r="L48" s="3">
        <f t="shared" si="7"/>
        <v>28415</v>
      </c>
      <c r="M48" s="3">
        <v>160000000</v>
      </c>
    </row>
    <row r="49" spans="1:13" s="18" customFormat="1" outlineLevel="2">
      <c r="A49" s="19" t="s">
        <v>26</v>
      </c>
      <c r="B49" s="20" t="s">
        <v>85</v>
      </c>
      <c r="C49" s="21" t="s">
        <v>109</v>
      </c>
      <c r="D49" s="20" t="s">
        <v>34</v>
      </c>
      <c r="E49" s="3">
        <v>13104000</v>
      </c>
      <c r="F49" s="19">
        <v>43979</v>
      </c>
      <c r="G49" s="3">
        <v>13104000</v>
      </c>
      <c r="H49" s="2">
        <v>5.0000000000000001E-3</v>
      </c>
      <c r="I49" s="19">
        <v>43979</v>
      </c>
      <c r="J49" s="19">
        <v>43982</v>
      </c>
      <c r="K49" s="3">
        <f t="shared" si="6"/>
        <v>4</v>
      </c>
      <c r="L49" s="3">
        <f t="shared" si="7"/>
        <v>716</v>
      </c>
      <c r="M49" s="3">
        <v>13104000</v>
      </c>
    </row>
    <row r="50" spans="1:13" s="18" customFormat="1" outlineLevel="2">
      <c r="A50" s="19" t="s">
        <v>26</v>
      </c>
      <c r="B50" s="20" t="s">
        <v>23</v>
      </c>
      <c r="C50" s="21" t="s">
        <v>27</v>
      </c>
      <c r="D50" s="20" t="s">
        <v>28</v>
      </c>
      <c r="E50" s="3">
        <v>57000000</v>
      </c>
      <c r="F50" s="19">
        <v>43822</v>
      </c>
      <c r="G50" s="3">
        <v>57000000</v>
      </c>
      <c r="H50" s="2">
        <v>5.0000000000000001E-3</v>
      </c>
      <c r="I50" s="19">
        <v>43952</v>
      </c>
      <c r="J50" s="19">
        <v>43982</v>
      </c>
      <c r="K50" s="3">
        <f t="shared" si="6"/>
        <v>31</v>
      </c>
      <c r="L50" s="3">
        <f t="shared" si="7"/>
        <v>24139</v>
      </c>
      <c r="M50" s="3">
        <v>57000000</v>
      </c>
    </row>
    <row r="51" spans="1:13" s="18" customFormat="1" outlineLevel="2">
      <c r="A51" s="19" t="s">
        <v>26</v>
      </c>
      <c r="B51" s="20" t="s">
        <v>29</v>
      </c>
      <c r="C51" s="21" t="s">
        <v>21</v>
      </c>
      <c r="D51" s="20" t="s">
        <v>22</v>
      </c>
      <c r="E51" s="3">
        <v>171000000</v>
      </c>
      <c r="F51" s="19">
        <v>43822</v>
      </c>
      <c r="G51" s="3">
        <v>171000000</v>
      </c>
      <c r="H51" s="2">
        <v>5.0000000000000001E-3</v>
      </c>
      <c r="I51" s="19">
        <v>43952</v>
      </c>
      <c r="J51" s="19">
        <v>43982</v>
      </c>
      <c r="K51" s="3">
        <f t="shared" si="6"/>
        <v>31</v>
      </c>
      <c r="L51" s="3">
        <f t="shared" si="7"/>
        <v>72418</v>
      </c>
      <c r="M51" s="3">
        <v>171000000</v>
      </c>
    </row>
    <row r="52" spans="1:13" s="18" customFormat="1" outlineLevel="2">
      <c r="A52" s="19" t="s">
        <v>26</v>
      </c>
      <c r="B52" s="20" t="s">
        <v>30</v>
      </c>
      <c r="C52" s="21" t="s">
        <v>27</v>
      </c>
      <c r="D52" s="20" t="s">
        <v>28</v>
      </c>
      <c r="E52" s="3">
        <v>38000000</v>
      </c>
      <c r="F52" s="19">
        <v>43850</v>
      </c>
      <c r="G52" s="3">
        <v>38000000</v>
      </c>
      <c r="H52" s="2">
        <v>5.0000000000000001E-3</v>
      </c>
      <c r="I52" s="19">
        <v>43952</v>
      </c>
      <c r="J52" s="19">
        <v>43982</v>
      </c>
      <c r="K52" s="3">
        <f t="shared" si="6"/>
        <v>31</v>
      </c>
      <c r="L52" s="3">
        <f t="shared" si="7"/>
        <v>16093</v>
      </c>
      <c r="M52" s="3">
        <v>38000000</v>
      </c>
    </row>
    <row r="53" spans="1:13" s="18" customFormat="1" outlineLevel="2">
      <c r="A53" s="19" t="s">
        <v>26</v>
      </c>
      <c r="B53" s="20" t="s">
        <v>31</v>
      </c>
      <c r="C53" s="21" t="s">
        <v>27</v>
      </c>
      <c r="D53" s="20" t="s">
        <v>28</v>
      </c>
      <c r="E53" s="3">
        <v>10000000</v>
      </c>
      <c r="F53" s="19">
        <v>43850</v>
      </c>
      <c r="G53" s="3">
        <v>10000000</v>
      </c>
      <c r="H53" s="2">
        <v>5.0000000000000001E-3</v>
      </c>
      <c r="I53" s="19">
        <v>43952</v>
      </c>
      <c r="J53" s="19">
        <v>43982</v>
      </c>
      <c r="K53" s="3">
        <f t="shared" si="6"/>
        <v>31</v>
      </c>
      <c r="L53" s="3">
        <f t="shared" si="7"/>
        <v>4235</v>
      </c>
      <c r="M53" s="3">
        <v>10000000</v>
      </c>
    </row>
    <row r="54" spans="1:13" s="18" customFormat="1" outlineLevel="2">
      <c r="A54" s="19" t="s">
        <v>26</v>
      </c>
      <c r="B54" s="20" t="s">
        <v>32</v>
      </c>
      <c r="C54" s="21" t="s">
        <v>33</v>
      </c>
      <c r="D54" s="20" t="s">
        <v>34</v>
      </c>
      <c r="E54" s="3">
        <v>96176976</v>
      </c>
      <c r="F54" s="19">
        <v>43861</v>
      </c>
      <c r="G54" s="3">
        <v>96176976</v>
      </c>
      <c r="H54" s="2">
        <v>5.0000000000000001E-3</v>
      </c>
      <c r="I54" s="19">
        <v>43952</v>
      </c>
      <c r="J54" s="19">
        <v>43982</v>
      </c>
      <c r="K54" s="3">
        <f t="shared" si="6"/>
        <v>31</v>
      </c>
      <c r="L54" s="3">
        <f t="shared" si="7"/>
        <v>40731</v>
      </c>
      <c r="M54" s="3">
        <v>96176976</v>
      </c>
    </row>
    <row r="55" spans="1:13" s="18" customFormat="1" outlineLevel="2">
      <c r="A55" s="19" t="s">
        <v>26</v>
      </c>
      <c r="B55" s="20" t="s">
        <v>48</v>
      </c>
      <c r="C55" s="21" t="s">
        <v>27</v>
      </c>
      <c r="D55" s="20" t="s">
        <v>28</v>
      </c>
      <c r="E55" s="3">
        <v>1800000</v>
      </c>
      <c r="F55" s="19">
        <v>43876</v>
      </c>
      <c r="G55" s="3">
        <v>1800000</v>
      </c>
      <c r="H55" s="2">
        <v>5.0000000000000001E-3</v>
      </c>
      <c r="I55" s="19">
        <v>43952</v>
      </c>
      <c r="J55" s="19">
        <v>43982</v>
      </c>
      <c r="K55" s="3">
        <f t="shared" si="6"/>
        <v>31</v>
      </c>
      <c r="L55" s="3">
        <f t="shared" si="7"/>
        <v>762</v>
      </c>
      <c r="M55" s="3">
        <v>1800000</v>
      </c>
    </row>
    <row r="56" spans="1:13" s="18" customFormat="1" outlineLevel="2">
      <c r="A56" s="19" t="s">
        <v>26</v>
      </c>
      <c r="B56" s="20" t="s">
        <v>59</v>
      </c>
      <c r="C56" s="21" t="s">
        <v>72</v>
      </c>
      <c r="D56" s="20" t="s">
        <v>71</v>
      </c>
      <c r="E56" s="3">
        <v>30000000</v>
      </c>
      <c r="F56" s="19">
        <v>43906</v>
      </c>
      <c r="G56" s="3">
        <v>30000000</v>
      </c>
      <c r="H56" s="2">
        <v>5.0000000000000001E-3</v>
      </c>
      <c r="I56" s="19">
        <v>43952</v>
      </c>
      <c r="J56" s="19">
        <v>43982</v>
      </c>
      <c r="K56" s="3">
        <f t="shared" si="6"/>
        <v>31</v>
      </c>
      <c r="L56" s="3">
        <f t="shared" si="7"/>
        <v>12705</v>
      </c>
      <c r="M56" s="3">
        <v>30000000</v>
      </c>
    </row>
    <row r="57" spans="1:13" s="18" customFormat="1" outlineLevel="2">
      <c r="A57" s="19" t="s">
        <v>26</v>
      </c>
      <c r="B57" s="20" t="s">
        <v>58</v>
      </c>
      <c r="C57" s="21" t="s">
        <v>72</v>
      </c>
      <c r="D57" s="20" t="s">
        <v>71</v>
      </c>
      <c r="E57" s="3">
        <v>50000000</v>
      </c>
      <c r="F57" s="19">
        <v>43908</v>
      </c>
      <c r="G57" s="3">
        <v>50000000</v>
      </c>
      <c r="H57" s="2">
        <v>5.0000000000000001E-3</v>
      </c>
      <c r="I57" s="19">
        <v>43952</v>
      </c>
      <c r="J57" s="19">
        <v>43982</v>
      </c>
      <c r="K57" s="3">
        <f t="shared" si="6"/>
        <v>31</v>
      </c>
      <c r="L57" s="3">
        <f t="shared" si="7"/>
        <v>21175</v>
      </c>
      <c r="M57" s="3">
        <v>50000000</v>
      </c>
    </row>
    <row r="58" spans="1:13" s="18" customFormat="1" ht="13.5" outlineLevel="1">
      <c r="A58" s="22" t="s">
        <v>35</v>
      </c>
      <c r="B58" s="23"/>
      <c r="C58" s="24"/>
      <c r="D58" s="23"/>
      <c r="E58" s="25">
        <f>SUBTOTAL(9,E43:E57)</f>
        <v>919236312</v>
      </c>
      <c r="F58" s="26"/>
      <c r="G58" s="25"/>
      <c r="H58" s="27"/>
      <c r="I58" s="26"/>
      <c r="J58" s="26"/>
      <c r="K58" s="25"/>
      <c r="L58" s="25">
        <f>SUBTOTAL(9,L43:L57)</f>
        <v>338491</v>
      </c>
      <c r="M58" s="25">
        <f>SUBTOTAL(9,M43:M57)</f>
        <v>919236312</v>
      </c>
    </row>
    <row r="59" spans="1:13" s="18" customFormat="1" outlineLevel="2">
      <c r="A59" s="19" t="s">
        <v>36</v>
      </c>
      <c r="B59" s="20" t="s">
        <v>16</v>
      </c>
      <c r="C59" s="21" t="s">
        <v>17</v>
      </c>
      <c r="D59" s="20" t="s">
        <v>18</v>
      </c>
      <c r="E59" s="3">
        <v>150000000</v>
      </c>
      <c r="F59" s="19">
        <v>43829</v>
      </c>
      <c r="G59" s="3">
        <v>140000000</v>
      </c>
      <c r="H59" s="2">
        <v>5.0000000000000001E-3</v>
      </c>
      <c r="I59" s="19">
        <v>43952</v>
      </c>
      <c r="J59" s="19">
        <v>43965</v>
      </c>
      <c r="K59" s="3">
        <f t="shared" ref="K59:K71" si="8">J59-I59+1</f>
        <v>14</v>
      </c>
      <c r="L59" s="3">
        <f t="shared" ref="L59:L71" si="9">ROUND(G59*H59*K59/366,0)</f>
        <v>26776</v>
      </c>
      <c r="M59" s="3">
        <v>137500000</v>
      </c>
    </row>
    <row r="60" spans="1:13" s="18" customFormat="1" outlineLevel="2">
      <c r="A60" s="19" t="s">
        <v>36</v>
      </c>
      <c r="B60" s="20" t="s">
        <v>16</v>
      </c>
      <c r="C60" s="21" t="s">
        <v>17</v>
      </c>
      <c r="D60" s="20"/>
      <c r="E60" s="3"/>
      <c r="F60" s="19"/>
      <c r="G60" s="3">
        <v>137500000</v>
      </c>
      <c r="H60" s="2">
        <v>5.0000000000000001E-3</v>
      </c>
      <c r="I60" s="19">
        <v>43966</v>
      </c>
      <c r="J60" s="19">
        <v>43982</v>
      </c>
      <c r="K60" s="3">
        <f t="shared" si="8"/>
        <v>17</v>
      </c>
      <c r="L60" s="3">
        <f t="shared" si="9"/>
        <v>31933</v>
      </c>
      <c r="M60" s="3"/>
    </row>
    <row r="61" spans="1:13" s="18" customFormat="1" outlineLevel="2">
      <c r="A61" s="19" t="s">
        <v>36</v>
      </c>
      <c r="B61" s="20" t="s">
        <v>23</v>
      </c>
      <c r="C61" s="21" t="s">
        <v>17</v>
      </c>
      <c r="D61" s="20" t="s">
        <v>18</v>
      </c>
      <c r="E61" s="3">
        <v>32900000</v>
      </c>
      <c r="F61" s="19">
        <v>43829</v>
      </c>
      <c r="G61" s="3">
        <v>30706668</v>
      </c>
      <c r="H61" s="2">
        <v>5.0000000000000001E-3</v>
      </c>
      <c r="I61" s="19">
        <v>43952</v>
      </c>
      <c r="J61" s="19">
        <v>43965</v>
      </c>
      <c r="K61" s="3">
        <f t="shared" si="8"/>
        <v>14</v>
      </c>
      <c r="L61" s="3">
        <f t="shared" si="9"/>
        <v>5873</v>
      </c>
      <c r="M61" s="3">
        <v>30158335</v>
      </c>
    </row>
    <row r="62" spans="1:13" s="18" customFormat="1" outlineLevel="2">
      <c r="A62" s="19" t="s">
        <v>36</v>
      </c>
      <c r="B62" s="20" t="s">
        <v>23</v>
      </c>
      <c r="C62" s="21" t="s">
        <v>17</v>
      </c>
      <c r="D62" s="20"/>
      <c r="E62" s="3"/>
      <c r="F62" s="19"/>
      <c r="G62" s="3">
        <v>30158335</v>
      </c>
      <c r="H62" s="2">
        <v>5.0000000000000001E-3</v>
      </c>
      <c r="I62" s="19">
        <v>43966</v>
      </c>
      <c r="J62" s="19">
        <v>43982</v>
      </c>
      <c r="K62" s="3">
        <f t="shared" si="8"/>
        <v>17</v>
      </c>
      <c r="L62" s="3">
        <f t="shared" si="9"/>
        <v>7004</v>
      </c>
      <c r="M62" s="3"/>
    </row>
    <row r="63" spans="1:13" s="18" customFormat="1" outlineLevel="2">
      <c r="A63" s="19" t="s">
        <v>36</v>
      </c>
      <c r="B63" s="20" t="s">
        <v>29</v>
      </c>
      <c r="C63" s="21" t="s">
        <v>17</v>
      </c>
      <c r="D63" s="20" t="s">
        <v>18</v>
      </c>
      <c r="E63" s="3">
        <v>2790000</v>
      </c>
      <c r="F63" s="19">
        <v>43921</v>
      </c>
      <c r="G63" s="3">
        <v>2741053</v>
      </c>
      <c r="H63" s="2">
        <v>5.0000000000000001E-3</v>
      </c>
      <c r="I63" s="19">
        <v>43952</v>
      </c>
      <c r="J63" s="19">
        <v>43965</v>
      </c>
      <c r="K63" s="3">
        <f t="shared" si="8"/>
        <v>14</v>
      </c>
      <c r="L63" s="3">
        <f t="shared" si="9"/>
        <v>524</v>
      </c>
      <c r="M63" s="3">
        <v>2692106</v>
      </c>
    </row>
    <row r="64" spans="1:13" s="18" customFormat="1" outlineLevel="2">
      <c r="A64" s="19" t="s">
        <v>36</v>
      </c>
      <c r="B64" s="20" t="s">
        <v>29</v>
      </c>
      <c r="C64" s="21" t="s">
        <v>17</v>
      </c>
      <c r="D64" s="20"/>
      <c r="E64" s="3"/>
      <c r="F64" s="19"/>
      <c r="G64" s="3">
        <v>2692106</v>
      </c>
      <c r="H64" s="2">
        <v>5.0000000000000001E-3</v>
      </c>
      <c r="I64" s="19">
        <v>43966</v>
      </c>
      <c r="J64" s="19">
        <v>43982</v>
      </c>
      <c r="K64" s="3">
        <f t="shared" si="8"/>
        <v>17</v>
      </c>
      <c r="L64" s="3">
        <f t="shared" si="9"/>
        <v>625</v>
      </c>
      <c r="M64" s="3"/>
    </row>
    <row r="65" spans="1:13" s="18" customFormat="1" outlineLevel="2">
      <c r="A65" s="19" t="s">
        <v>36</v>
      </c>
      <c r="B65" s="20" t="s">
        <v>30</v>
      </c>
      <c r="C65" s="21" t="s">
        <v>57</v>
      </c>
      <c r="D65" s="20" t="s">
        <v>56</v>
      </c>
      <c r="E65" s="3">
        <v>12000000</v>
      </c>
      <c r="F65" s="19">
        <v>43948</v>
      </c>
      <c r="G65" s="3">
        <v>12000000</v>
      </c>
      <c r="H65" s="2">
        <v>5.0000000000000001E-3</v>
      </c>
      <c r="I65" s="19">
        <v>43952</v>
      </c>
      <c r="J65" s="19">
        <v>43965</v>
      </c>
      <c r="K65" s="3">
        <f t="shared" si="8"/>
        <v>14</v>
      </c>
      <c r="L65" s="3">
        <f t="shared" si="9"/>
        <v>2295</v>
      </c>
      <c r="M65" s="3">
        <v>11800000</v>
      </c>
    </row>
    <row r="66" spans="1:13" s="18" customFormat="1" outlineLevel="2">
      <c r="A66" s="19" t="s">
        <v>36</v>
      </c>
      <c r="B66" s="20" t="s">
        <v>30</v>
      </c>
      <c r="C66" s="21" t="s">
        <v>57</v>
      </c>
      <c r="D66" s="20"/>
      <c r="E66" s="3"/>
      <c r="F66" s="19"/>
      <c r="G66" s="3">
        <v>11800000</v>
      </c>
      <c r="H66" s="2">
        <v>5.0000000000000001E-3</v>
      </c>
      <c r="I66" s="19">
        <v>43966</v>
      </c>
      <c r="J66" s="19">
        <v>43982</v>
      </c>
      <c r="K66" s="3">
        <f t="shared" si="8"/>
        <v>17</v>
      </c>
      <c r="L66" s="3">
        <f t="shared" si="9"/>
        <v>2740</v>
      </c>
      <c r="M66" s="3"/>
    </row>
    <row r="67" spans="1:13" s="18" customFormat="1" outlineLevel="2">
      <c r="A67" s="19" t="s">
        <v>36</v>
      </c>
      <c r="B67" s="20" t="s">
        <v>31</v>
      </c>
      <c r="C67" s="21" t="s">
        <v>97</v>
      </c>
      <c r="D67" s="20" t="s">
        <v>96</v>
      </c>
      <c r="E67" s="3">
        <v>71750000</v>
      </c>
      <c r="F67" s="19">
        <v>43955</v>
      </c>
      <c r="G67" s="3">
        <v>71750000</v>
      </c>
      <c r="H67" s="2">
        <v>5.0000000000000001E-3</v>
      </c>
      <c r="I67" s="19">
        <v>43955</v>
      </c>
      <c r="J67" s="19">
        <v>43982</v>
      </c>
      <c r="K67" s="3">
        <f t="shared" si="8"/>
        <v>28</v>
      </c>
      <c r="L67" s="3">
        <f t="shared" si="9"/>
        <v>27445</v>
      </c>
      <c r="M67" s="3">
        <v>71750000</v>
      </c>
    </row>
    <row r="68" spans="1:13" s="18" customFormat="1" outlineLevel="2">
      <c r="A68" s="19" t="s">
        <v>36</v>
      </c>
      <c r="B68" s="20" t="s">
        <v>32</v>
      </c>
      <c r="C68" s="21" t="s">
        <v>57</v>
      </c>
      <c r="D68" s="20" t="s">
        <v>56</v>
      </c>
      <c r="E68" s="3">
        <v>10000000</v>
      </c>
      <c r="F68" s="19">
        <v>43963</v>
      </c>
      <c r="G68" s="3">
        <v>10000000</v>
      </c>
      <c r="H68" s="2">
        <v>5.0000000000000001E-3</v>
      </c>
      <c r="I68" s="19">
        <v>43963</v>
      </c>
      <c r="J68" s="19">
        <v>43965</v>
      </c>
      <c r="K68" s="3">
        <f t="shared" si="8"/>
        <v>3</v>
      </c>
      <c r="L68" s="3">
        <f t="shared" si="9"/>
        <v>410</v>
      </c>
      <c r="M68" s="3">
        <v>9833333</v>
      </c>
    </row>
    <row r="69" spans="1:13" s="18" customFormat="1" outlineLevel="2">
      <c r="A69" s="19" t="s">
        <v>36</v>
      </c>
      <c r="B69" s="20" t="s">
        <v>32</v>
      </c>
      <c r="C69" s="21" t="s">
        <v>57</v>
      </c>
      <c r="D69" s="20"/>
      <c r="E69" s="3"/>
      <c r="F69" s="19"/>
      <c r="G69" s="3">
        <v>9833333</v>
      </c>
      <c r="H69" s="2">
        <v>5.0000000000000001E-3</v>
      </c>
      <c r="I69" s="19">
        <v>43966</v>
      </c>
      <c r="J69" s="19">
        <v>43982</v>
      </c>
      <c r="K69" s="3">
        <f t="shared" si="8"/>
        <v>17</v>
      </c>
      <c r="L69" s="3">
        <f t="shared" si="9"/>
        <v>2284</v>
      </c>
      <c r="M69" s="3"/>
    </row>
    <row r="70" spans="1:13" s="18" customFormat="1" outlineLevel="2">
      <c r="A70" s="19" t="s">
        <v>36</v>
      </c>
      <c r="B70" s="20" t="s">
        <v>48</v>
      </c>
      <c r="C70" s="21" t="s">
        <v>57</v>
      </c>
      <c r="D70" s="20" t="s">
        <v>56</v>
      </c>
      <c r="E70" s="3">
        <v>4000000</v>
      </c>
      <c r="F70" s="19">
        <v>43970</v>
      </c>
      <c r="G70" s="3">
        <v>4000000</v>
      </c>
      <c r="H70" s="2">
        <v>5.0000000000000001E-3</v>
      </c>
      <c r="I70" s="19">
        <v>43970</v>
      </c>
      <c r="J70" s="19">
        <v>43982</v>
      </c>
      <c r="K70" s="3">
        <f t="shared" si="8"/>
        <v>13</v>
      </c>
      <c r="L70" s="3">
        <f t="shared" si="9"/>
        <v>710</v>
      </c>
      <c r="M70" s="3">
        <v>4000000</v>
      </c>
    </row>
    <row r="71" spans="1:13" s="18" customFormat="1" outlineLevel="2">
      <c r="A71" s="19" t="s">
        <v>36</v>
      </c>
      <c r="B71" s="20" t="s">
        <v>59</v>
      </c>
      <c r="C71" s="21" t="s">
        <v>57</v>
      </c>
      <c r="D71" s="20" t="s">
        <v>56</v>
      </c>
      <c r="E71" s="3">
        <v>18000000</v>
      </c>
      <c r="F71" s="19">
        <v>43977</v>
      </c>
      <c r="G71" s="3">
        <v>18000000</v>
      </c>
      <c r="H71" s="2">
        <v>5.0000000000000001E-3</v>
      </c>
      <c r="I71" s="19">
        <v>43977</v>
      </c>
      <c r="J71" s="19">
        <v>43982</v>
      </c>
      <c r="K71" s="3">
        <f t="shared" si="8"/>
        <v>6</v>
      </c>
      <c r="L71" s="3">
        <f t="shared" si="9"/>
        <v>1475</v>
      </c>
      <c r="M71" s="3">
        <v>18000000</v>
      </c>
    </row>
    <row r="72" spans="1:13" s="18" customFormat="1" ht="13.5" outlineLevel="1">
      <c r="A72" s="22" t="s">
        <v>37</v>
      </c>
      <c r="B72" s="23"/>
      <c r="C72" s="24"/>
      <c r="D72" s="23"/>
      <c r="E72" s="25">
        <f>SUBTOTAL(9,E59:E71)</f>
        <v>301440000</v>
      </c>
      <c r="F72" s="26"/>
      <c r="G72" s="25"/>
      <c r="H72" s="27"/>
      <c r="I72" s="26"/>
      <c r="J72" s="26"/>
      <c r="K72" s="25"/>
      <c r="L72" s="25">
        <f>SUBTOTAL(9,L59:L71)</f>
        <v>110094</v>
      </c>
      <c r="M72" s="25">
        <f>SUBTOTAL(9,M59:M71)</f>
        <v>285733774</v>
      </c>
    </row>
    <row r="73" spans="1:13" s="18" customFormat="1" outlineLevel="2">
      <c r="A73" s="19" t="s">
        <v>38</v>
      </c>
      <c r="B73" s="20" t="s">
        <v>16</v>
      </c>
      <c r="C73" s="21" t="s">
        <v>17</v>
      </c>
      <c r="D73" s="20" t="s">
        <v>18</v>
      </c>
      <c r="E73" s="3">
        <v>50000000</v>
      </c>
      <c r="F73" s="19">
        <v>43829</v>
      </c>
      <c r="G73" s="3">
        <v>46666664</v>
      </c>
      <c r="H73" s="2">
        <v>5.0000000000000001E-3</v>
      </c>
      <c r="I73" s="19">
        <v>43952</v>
      </c>
      <c r="J73" s="19">
        <v>43965</v>
      </c>
      <c r="K73" s="3">
        <f t="shared" ref="K73:K78" si="10">J73-I73+1</f>
        <v>14</v>
      </c>
      <c r="L73" s="3">
        <f t="shared" ref="L73:L78" si="11">ROUND(G73*H73*K73/366,0)</f>
        <v>8925</v>
      </c>
      <c r="M73" s="3">
        <v>45833330</v>
      </c>
    </row>
    <row r="74" spans="1:13" s="18" customFormat="1" outlineLevel="2">
      <c r="A74" s="19" t="s">
        <v>38</v>
      </c>
      <c r="B74" s="20" t="s">
        <v>16</v>
      </c>
      <c r="C74" s="21" t="s">
        <v>17</v>
      </c>
      <c r="D74" s="20"/>
      <c r="E74" s="3"/>
      <c r="F74" s="19"/>
      <c r="G74" s="3">
        <v>45833330</v>
      </c>
      <c r="H74" s="2">
        <v>5.0000000000000001E-3</v>
      </c>
      <c r="I74" s="19">
        <v>43966</v>
      </c>
      <c r="J74" s="19">
        <v>43982</v>
      </c>
      <c r="K74" s="3">
        <f t="shared" si="10"/>
        <v>17</v>
      </c>
      <c r="L74" s="3">
        <f t="shared" si="11"/>
        <v>10644</v>
      </c>
      <c r="M74" s="3"/>
    </row>
    <row r="75" spans="1:13" s="18" customFormat="1" outlineLevel="2">
      <c r="A75" s="19" t="s">
        <v>38</v>
      </c>
      <c r="B75" s="20" t="s">
        <v>23</v>
      </c>
      <c r="C75" s="21" t="s">
        <v>17</v>
      </c>
      <c r="D75" s="20" t="s">
        <v>18</v>
      </c>
      <c r="E75" s="3">
        <v>25200000</v>
      </c>
      <c r="F75" s="19">
        <v>43829</v>
      </c>
      <c r="G75" s="3">
        <v>23520000</v>
      </c>
      <c r="H75" s="2">
        <v>5.0000000000000001E-3</v>
      </c>
      <c r="I75" s="19">
        <v>43952</v>
      </c>
      <c r="J75" s="19">
        <v>43965</v>
      </c>
      <c r="K75" s="3">
        <f t="shared" si="10"/>
        <v>14</v>
      </c>
      <c r="L75" s="3">
        <f t="shared" si="11"/>
        <v>4498</v>
      </c>
      <c r="M75" s="3">
        <v>23100000</v>
      </c>
    </row>
    <row r="76" spans="1:13" s="18" customFormat="1" outlineLevel="2">
      <c r="A76" s="19" t="s">
        <v>38</v>
      </c>
      <c r="B76" s="20" t="s">
        <v>23</v>
      </c>
      <c r="C76" s="21" t="s">
        <v>17</v>
      </c>
      <c r="D76" s="20"/>
      <c r="E76" s="3"/>
      <c r="F76" s="19"/>
      <c r="G76" s="3">
        <v>23100000</v>
      </c>
      <c r="H76" s="2">
        <v>5.0000000000000001E-3</v>
      </c>
      <c r="I76" s="19">
        <v>43966</v>
      </c>
      <c r="J76" s="19">
        <v>43982</v>
      </c>
      <c r="K76" s="3">
        <f t="shared" si="10"/>
        <v>17</v>
      </c>
      <c r="L76" s="3">
        <f t="shared" si="11"/>
        <v>5365</v>
      </c>
      <c r="M76" s="3"/>
    </row>
    <row r="77" spans="1:13" s="18" customFormat="1" outlineLevel="2">
      <c r="A77" s="19" t="s">
        <v>38</v>
      </c>
      <c r="B77" s="20" t="s">
        <v>29</v>
      </c>
      <c r="C77" s="21" t="s">
        <v>17</v>
      </c>
      <c r="D77" s="20" t="s">
        <v>18</v>
      </c>
      <c r="E77" s="3">
        <v>11310000</v>
      </c>
      <c r="F77" s="19">
        <v>43920</v>
      </c>
      <c r="G77" s="3">
        <v>11111579</v>
      </c>
      <c r="H77" s="2">
        <v>5.0000000000000001E-3</v>
      </c>
      <c r="I77" s="19">
        <v>43952</v>
      </c>
      <c r="J77" s="19">
        <v>43965</v>
      </c>
      <c r="K77" s="3">
        <f t="shared" si="10"/>
        <v>14</v>
      </c>
      <c r="L77" s="3">
        <f t="shared" si="11"/>
        <v>2125</v>
      </c>
      <c r="M77" s="3">
        <v>10913158</v>
      </c>
    </row>
    <row r="78" spans="1:13" s="18" customFormat="1" outlineLevel="2">
      <c r="A78" s="19" t="s">
        <v>38</v>
      </c>
      <c r="B78" s="20" t="s">
        <v>29</v>
      </c>
      <c r="C78" s="21" t="s">
        <v>17</v>
      </c>
      <c r="D78" s="20"/>
      <c r="E78" s="3"/>
      <c r="F78" s="19"/>
      <c r="G78" s="3">
        <v>10913158</v>
      </c>
      <c r="H78" s="2">
        <v>5.0000000000000001E-3</v>
      </c>
      <c r="I78" s="19">
        <v>43966</v>
      </c>
      <c r="J78" s="19">
        <v>43982</v>
      </c>
      <c r="K78" s="3">
        <f t="shared" si="10"/>
        <v>17</v>
      </c>
      <c r="L78" s="3">
        <f t="shared" si="11"/>
        <v>2534</v>
      </c>
      <c r="M78" s="3"/>
    </row>
    <row r="79" spans="1:13" s="18" customFormat="1" ht="13.5" outlineLevel="1">
      <c r="A79" s="22" t="s">
        <v>39</v>
      </c>
      <c r="B79" s="23"/>
      <c r="C79" s="24"/>
      <c r="D79" s="23"/>
      <c r="E79" s="25">
        <f>SUBTOTAL(9,E73:E78)</f>
        <v>86510000</v>
      </c>
      <c r="F79" s="26"/>
      <c r="G79" s="25"/>
      <c r="H79" s="27"/>
      <c r="I79" s="26"/>
      <c r="J79" s="26"/>
      <c r="K79" s="25"/>
      <c r="L79" s="25">
        <f>SUBTOTAL(9,L73:L78)</f>
        <v>34091</v>
      </c>
      <c r="M79" s="25">
        <f>SUBTOTAL(9,M73:M78)</f>
        <v>79846488</v>
      </c>
    </row>
    <row r="80" spans="1:13" s="18" customFormat="1" outlineLevel="2">
      <c r="A80" s="19" t="s">
        <v>108</v>
      </c>
      <c r="B80" s="20" t="s">
        <v>16</v>
      </c>
      <c r="C80" s="21" t="s">
        <v>107</v>
      </c>
      <c r="D80" s="20" t="s">
        <v>106</v>
      </c>
      <c r="E80" s="3">
        <v>4300000</v>
      </c>
      <c r="F80" s="19">
        <v>43966</v>
      </c>
      <c r="G80" s="3">
        <v>4300000</v>
      </c>
      <c r="H80" s="2">
        <v>5.0000000000000001E-3</v>
      </c>
      <c r="I80" s="19">
        <v>43966</v>
      </c>
      <c r="J80" s="19">
        <v>43982</v>
      </c>
      <c r="K80" s="3">
        <f>J80-I80+1</f>
        <v>17</v>
      </c>
      <c r="L80" s="3">
        <f>ROUND(G80*H80*K80/366,0)</f>
        <v>999</v>
      </c>
      <c r="M80" s="3">
        <v>4300000</v>
      </c>
    </row>
    <row r="81" spans="1:13" s="18" customFormat="1" ht="13.5" outlineLevel="1">
      <c r="A81" s="22" t="s">
        <v>105</v>
      </c>
      <c r="B81" s="23"/>
      <c r="C81" s="24"/>
      <c r="D81" s="23"/>
      <c r="E81" s="25">
        <f>SUBTOTAL(9,E80:E80)</f>
        <v>4300000</v>
      </c>
      <c r="F81" s="26"/>
      <c r="G81" s="25"/>
      <c r="H81" s="27"/>
      <c r="I81" s="26"/>
      <c r="J81" s="26"/>
      <c r="K81" s="25"/>
      <c r="L81" s="25">
        <f>SUBTOTAL(9,L80:L80)</f>
        <v>999</v>
      </c>
      <c r="M81" s="25">
        <f>SUBTOTAL(9,M80:M80)</f>
        <v>4300000</v>
      </c>
    </row>
    <row r="82" spans="1:13" s="18" customFormat="1" outlineLevel="2">
      <c r="A82" s="19" t="s">
        <v>70</v>
      </c>
      <c r="B82" s="20" t="s">
        <v>16</v>
      </c>
      <c r="C82" s="21" t="s">
        <v>69</v>
      </c>
      <c r="D82" s="20" t="s">
        <v>68</v>
      </c>
      <c r="E82" s="3">
        <v>330000000</v>
      </c>
      <c r="F82" s="19">
        <v>43915</v>
      </c>
      <c r="G82" s="3">
        <v>330000000</v>
      </c>
      <c r="H82" s="2">
        <v>5.0000000000000001E-3</v>
      </c>
      <c r="I82" s="19">
        <v>43952</v>
      </c>
      <c r="J82" s="19">
        <v>43982</v>
      </c>
      <c r="K82" s="3">
        <f>J82-I82+1</f>
        <v>31</v>
      </c>
      <c r="L82" s="3">
        <f>ROUND(G82*H82*K82/366,0)</f>
        <v>139754</v>
      </c>
      <c r="M82" s="3">
        <v>330000000</v>
      </c>
    </row>
    <row r="83" spans="1:13" s="18" customFormat="1" outlineLevel="2">
      <c r="A83" s="19" t="s">
        <v>70</v>
      </c>
      <c r="B83" s="20" t="s">
        <v>23</v>
      </c>
      <c r="C83" s="21" t="s">
        <v>69</v>
      </c>
      <c r="D83" s="20" t="s">
        <v>68</v>
      </c>
      <c r="E83" s="3">
        <v>93600000</v>
      </c>
      <c r="F83" s="19">
        <v>43955</v>
      </c>
      <c r="G83" s="3">
        <v>93600000</v>
      </c>
      <c r="H83" s="2">
        <v>5.0000000000000001E-3</v>
      </c>
      <c r="I83" s="19">
        <v>43955</v>
      </c>
      <c r="J83" s="19">
        <v>43982</v>
      </c>
      <c r="K83" s="3">
        <f>J83-I83+1</f>
        <v>28</v>
      </c>
      <c r="L83" s="3">
        <f>ROUND(G83*H83*K83/366,0)</f>
        <v>35803</v>
      </c>
      <c r="M83" s="3">
        <v>93600000</v>
      </c>
    </row>
    <row r="84" spans="1:13" s="18" customFormat="1" ht="13.5" outlineLevel="1">
      <c r="A84" s="22" t="s">
        <v>67</v>
      </c>
      <c r="B84" s="23"/>
      <c r="C84" s="24"/>
      <c r="D84" s="23"/>
      <c r="E84" s="25">
        <f>SUBTOTAL(9,E82:E83)</f>
        <v>423600000</v>
      </c>
      <c r="F84" s="26"/>
      <c r="G84" s="25"/>
      <c r="H84" s="27"/>
      <c r="I84" s="26"/>
      <c r="J84" s="26"/>
      <c r="K84" s="25"/>
      <c r="L84" s="25">
        <f>SUBTOTAL(9,L82:L83)</f>
        <v>175557</v>
      </c>
      <c r="M84" s="25">
        <f>SUBTOTAL(9,M82:M83)</f>
        <v>423600000</v>
      </c>
    </row>
    <row r="85" spans="1:13" s="18" customFormat="1" outlineLevel="2">
      <c r="A85" s="19" t="s">
        <v>91</v>
      </c>
      <c r="B85" s="20" t="s">
        <v>16</v>
      </c>
      <c r="C85" s="21" t="s">
        <v>90</v>
      </c>
      <c r="D85" s="20" t="s">
        <v>89</v>
      </c>
      <c r="E85" s="3">
        <v>3400000</v>
      </c>
      <c r="F85" s="19">
        <v>43927</v>
      </c>
      <c r="G85" s="3">
        <v>3400000</v>
      </c>
      <c r="H85" s="2">
        <v>5.0000000000000001E-3</v>
      </c>
      <c r="I85" s="19">
        <v>43952</v>
      </c>
      <c r="J85" s="19">
        <v>43982</v>
      </c>
      <c r="K85" s="3">
        <f>J85-I85+1</f>
        <v>31</v>
      </c>
      <c r="L85" s="3">
        <f>ROUND(G85*H85*K85/366,0)</f>
        <v>1440</v>
      </c>
      <c r="M85" s="3">
        <v>3400000</v>
      </c>
    </row>
    <row r="86" spans="1:13" s="18" customFormat="1" outlineLevel="2">
      <c r="A86" s="19" t="s">
        <v>91</v>
      </c>
      <c r="B86" s="20" t="s">
        <v>23</v>
      </c>
      <c r="C86" s="21" t="s">
        <v>90</v>
      </c>
      <c r="D86" s="20" t="s">
        <v>89</v>
      </c>
      <c r="E86" s="3">
        <v>70440000</v>
      </c>
      <c r="F86" s="19">
        <v>43951</v>
      </c>
      <c r="G86" s="3">
        <v>70440000</v>
      </c>
      <c r="H86" s="2">
        <v>5.0000000000000001E-3</v>
      </c>
      <c r="I86" s="19">
        <v>43952</v>
      </c>
      <c r="J86" s="19">
        <v>43982</v>
      </c>
      <c r="K86" s="3">
        <f>J86-I86+1</f>
        <v>31</v>
      </c>
      <c r="L86" s="3">
        <f>ROUND(G86*H86*K86/366,0)</f>
        <v>29831</v>
      </c>
      <c r="M86" s="3">
        <v>70440000</v>
      </c>
    </row>
    <row r="87" spans="1:13" s="18" customFormat="1" outlineLevel="2">
      <c r="A87" s="19" t="s">
        <v>91</v>
      </c>
      <c r="B87" s="20" t="s">
        <v>29</v>
      </c>
      <c r="C87" s="21" t="s">
        <v>104</v>
      </c>
      <c r="D87" s="20" t="s">
        <v>103</v>
      </c>
      <c r="E87" s="3">
        <v>182300000</v>
      </c>
      <c r="F87" s="19">
        <v>43959</v>
      </c>
      <c r="G87" s="3">
        <v>182300000</v>
      </c>
      <c r="H87" s="2">
        <v>5.0000000000000001E-3</v>
      </c>
      <c r="I87" s="19">
        <v>43959</v>
      </c>
      <c r="J87" s="19">
        <v>43982</v>
      </c>
      <c r="K87" s="3">
        <f>J87-I87+1</f>
        <v>24</v>
      </c>
      <c r="L87" s="3">
        <f>ROUND(G87*H87*K87/366,0)</f>
        <v>59770</v>
      </c>
      <c r="M87" s="3">
        <v>182300000</v>
      </c>
    </row>
    <row r="88" spans="1:13" s="18" customFormat="1" ht="13.5" outlineLevel="1">
      <c r="A88" s="22" t="s">
        <v>88</v>
      </c>
      <c r="B88" s="23"/>
      <c r="C88" s="24"/>
      <c r="D88" s="23"/>
      <c r="E88" s="25">
        <f>SUBTOTAL(9,E85:E87)</f>
        <v>256140000</v>
      </c>
      <c r="F88" s="26"/>
      <c r="G88" s="25"/>
      <c r="H88" s="27"/>
      <c r="I88" s="26"/>
      <c r="J88" s="26"/>
      <c r="K88" s="25"/>
      <c r="L88" s="25">
        <f>SUBTOTAL(9,L85:L87)</f>
        <v>91041</v>
      </c>
      <c r="M88" s="25">
        <f>SUBTOTAL(9,M85:M87)</f>
        <v>256140000</v>
      </c>
    </row>
    <row r="89" spans="1:13" s="18" customFormat="1" outlineLevel="2">
      <c r="A89" s="19" t="s">
        <v>87</v>
      </c>
      <c r="B89" s="20" t="s">
        <v>16</v>
      </c>
      <c r="C89" s="21" t="s">
        <v>69</v>
      </c>
      <c r="D89" s="20" t="s">
        <v>68</v>
      </c>
      <c r="E89" s="3">
        <v>43200000</v>
      </c>
      <c r="F89" s="19">
        <v>43937</v>
      </c>
      <c r="G89" s="3">
        <v>43200000</v>
      </c>
      <c r="H89" s="2">
        <v>3.0000000000000001E-3</v>
      </c>
      <c r="I89" s="19">
        <v>43952</v>
      </c>
      <c r="J89" s="19">
        <v>43982</v>
      </c>
      <c r="K89" s="3">
        <f>J89-I89+1</f>
        <v>31</v>
      </c>
      <c r="L89" s="3">
        <f>ROUND(G89*H89*K89/366,0)</f>
        <v>10977</v>
      </c>
      <c r="M89" s="3">
        <v>43200000</v>
      </c>
    </row>
    <row r="90" spans="1:13" s="18" customFormat="1" ht="13.5" outlineLevel="1">
      <c r="A90" s="22" t="s">
        <v>86</v>
      </c>
      <c r="B90" s="23"/>
      <c r="C90" s="24"/>
      <c r="D90" s="23"/>
      <c r="E90" s="25">
        <f>SUBTOTAL(9,E89:E89)</f>
        <v>43200000</v>
      </c>
      <c r="F90" s="26"/>
      <c r="G90" s="25"/>
      <c r="H90" s="27"/>
      <c r="I90" s="26"/>
      <c r="J90" s="26"/>
      <c r="K90" s="25"/>
      <c r="L90" s="25">
        <f>SUBTOTAL(9,L89:L89)</f>
        <v>10977</v>
      </c>
      <c r="M90" s="25">
        <f>SUBTOTAL(9,M89:M89)</f>
        <v>43200000</v>
      </c>
    </row>
    <row r="91" spans="1:13" s="18" customFormat="1" outlineLevel="2">
      <c r="A91" s="19" t="s">
        <v>40</v>
      </c>
      <c r="B91" s="20" t="s">
        <v>16</v>
      </c>
      <c r="C91" s="21" t="s">
        <v>41</v>
      </c>
      <c r="D91" s="20" t="s">
        <v>42</v>
      </c>
      <c r="E91" s="3">
        <v>126000000</v>
      </c>
      <c r="F91" s="19">
        <v>43804</v>
      </c>
      <c r="G91" s="3">
        <v>126000000</v>
      </c>
      <c r="H91" s="2">
        <v>5.0000000000000001E-3</v>
      </c>
      <c r="I91" s="19">
        <v>43952</v>
      </c>
      <c r="J91" s="19">
        <v>43982</v>
      </c>
      <c r="K91" s="3">
        <f t="shared" ref="K91:K112" si="12">J91-I91+1</f>
        <v>31</v>
      </c>
      <c r="L91" s="3">
        <f t="shared" ref="L91:L112" si="13">ROUND(G91*H91*K91/366,0)</f>
        <v>53361</v>
      </c>
      <c r="M91" s="3">
        <v>126000000</v>
      </c>
    </row>
    <row r="92" spans="1:13" s="18" customFormat="1" outlineLevel="2">
      <c r="A92" s="19" t="s">
        <v>40</v>
      </c>
      <c r="B92" s="20" t="s">
        <v>61</v>
      </c>
      <c r="C92" s="21" t="s">
        <v>47</v>
      </c>
      <c r="D92" s="20" t="s">
        <v>42</v>
      </c>
      <c r="E92" s="3">
        <v>46600000</v>
      </c>
      <c r="F92" s="19">
        <v>43866</v>
      </c>
      <c r="G92" s="3">
        <v>46600000</v>
      </c>
      <c r="H92" s="2">
        <v>5.0000000000000001E-3</v>
      </c>
      <c r="I92" s="19">
        <v>43952</v>
      </c>
      <c r="J92" s="19">
        <v>43982</v>
      </c>
      <c r="K92" s="3">
        <f t="shared" si="12"/>
        <v>31</v>
      </c>
      <c r="L92" s="3">
        <f t="shared" si="13"/>
        <v>19735</v>
      </c>
      <c r="M92" s="3">
        <v>46600000</v>
      </c>
    </row>
    <row r="93" spans="1:13" s="18" customFormat="1" outlineLevel="2">
      <c r="A93" s="19" t="s">
        <v>40</v>
      </c>
      <c r="B93" s="20" t="s">
        <v>60</v>
      </c>
      <c r="C93" s="21" t="s">
        <v>47</v>
      </c>
      <c r="D93" s="20" t="s">
        <v>42</v>
      </c>
      <c r="E93" s="3">
        <v>1300000</v>
      </c>
      <c r="F93" s="19">
        <v>43866</v>
      </c>
      <c r="G93" s="3">
        <v>1300000</v>
      </c>
      <c r="H93" s="2">
        <v>5.0000000000000001E-3</v>
      </c>
      <c r="I93" s="19">
        <v>43952</v>
      </c>
      <c r="J93" s="19">
        <v>43982</v>
      </c>
      <c r="K93" s="3">
        <f t="shared" si="12"/>
        <v>31</v>
      </c>
      <c r="L93" s="3">
        <f t="shared" si="13"/>
        <v>551</v>
      </c>
      <c r="M93" s="3">
        <v>1300000</v>
      </c>
    </row>
    <row r="94" spans="1:13" s="18" customFormat="1" outlineLevel="2">
      <c r="A94" s="19" t="s">
        <v>40</v>
      </c>
      <c r="B94" s="20" t="s">
        <v>66</v>
      </c>
      <c r="C94" s="21" t="s">
        <v>43</v>
      </c>
      <c r="D94" s="20" t="s">
        <v>44</v>
      </c>
      <c r="E94" s="3">
        <v>9087600</v>
      </c>
      <c r="F94" s="19">
        <v>43901</v>
      </c>
      <c r="G94" s="3">
        <v>9087600</v>
      </c>
      <c r="H94" s="2">
        <v>5.0000000000000001E-3</v>
      </c>
      <c r="I94" s="19">
        <v>43952</v>
      </c>
      <c r="J94" s="19">
        <v>43982</v>
      </c>
      <c r="K94" s="3">
        <f t="shared" si="12"/>
        <v>31</v>
      </c>
      <c r="L94" s="3">
        <f t="shared" si="13"/>
        <v>3849</v>
      </c>
      <c r="M94" s="3">
        <v>9087600</v>
      </c>
    </row>
    <row r="95" spans="1:13" s="18" customFormat="1" outlineLevel="2">
      <c r="A95" s="19" t="s">
        <v>40</v>
      </c>
      <c r="B95" s="20" t="s">
        <v>65</v>
      </c>
      <c r="C95" s="21" t="s">
        <v>43</v>
      </c>
      <c r="D95" s="20" t="s">
        <v>44</v>
      </c>
      <c r="E95" s="3">
        <v>7270080</v>
      </c>
      <c r="F95" s="19">
        <v>43901</v>
      </c>
      <c r="G95" s="3">
        <v>7270080</v>
      </c>
      <c r="H95" s="2">
        <v>5.0000000000000001E-3</v>
      </c>
      <c r="I95" s="19">
        <v>43952</v>
      </c>
      <c r="J95" s="19">
        <v>43982</v>
      </c>
      <c r="K95" s="3">
        <f t="shared" si="12"/>
        <v>31</v>
      </c>
      <c r="L95" s="3">
        <f t="shared" si="13"/>
        <v>3079</v>
      </c>
      <c r="M95" s="3">
        <v>7270080</v>
      </c>
    </row>
    <row r="96" spans="1:13" s="18" customFormat="1" outlineLevel="2">
      <c r="A96" s="19" t="s">
        <v>40</v>
      </c>
      <c r="B96" s="20" t="s">
        <v>64</v>
      </c>
      <c r="C96" s="21" t="s">
        <v>47</v>
      </c>
      <c r="D96" s="20" t="s">
        <v>42</v>
      </c>
      <c r="E96" s="3">
        <v>99400000</v>
      </c>
      <c r="F96" s="19">
        <v>43917</v>
      </c>
      <c r="G96" s="3">
        <v>99400000</v>
      </c>
      <c r="H96" s="2">
        <v>5.0000000000000001E-3</v>
      </c>
      <c r="I96" s="19">
        <v>43952</v>
      </c>
      <c r="J96" s="19">
        <v>43982</v>
      </c>
      <c r="K96" s="3">
        <f t="shared" si="12"/>
        <v>31</v>
      </c>
      <c r="L96" s="3">
        <f t="shared" si="13"/>
        <v>42096</v>
      </c>
      <c r="M96" s="3">
        <v>99400000</v>
      </c>
    </row>
    <row r="97" spans="1:13" s="18" customFormat="1" outlineLevel="2">
      <c r="A97" s="19" t="s">
        <v>40</v>
      </c>
      <c r="B97" s="20" t="s">
        <v>85</v>
      </c>
      <c r="C97" s="21" t="s">
        <v>43</v>
      </c>
      <c r="D97" s="20" t="s">
        <v>44</v>
      </c>
      <c r="E97" s="3">
        <v>9087600</v>
      </c>
      <c r="F97" s="19">
        <v>43929</v>
      </c>
      <c r="G97" s="3">
        <v>9087600</v>
      </c>
      <c r="H97" s="2">
        <v>5.0000000000000001E-3</v>
      </c>
      <c r="I97" s="19">
        <v>43952</v>
      </c>
      <c r="J97" s="19">
        <v>43982</v>
      </c>
      <c r="K97" s="3">
        <f t="shared" si="12"/>
        <v>31</v>
      </c>
      <c r="L97" s="3">
        <f t="shared" si="13"/>
        <v>3849</v>
      </c>
      <c r="M97" s="3">
        <v>9087600</v>
      </c>
    </row>
    <row r="98" spans="1:13" s="18" customFormat="1" outlineLevel="2">
      <c r="A98" s="19" t="s">
        <v>40</v>
      </c>
      <c r="B98" s="20" t="s">
        <v>84</v>
      </c>
      <c r="C98" s="21" t="s">
        <v>43</v>
      </c>
      <c r="D98" s="20" t="s">
        <v>44</v>
      </c>
      <c r="E98" s="3">
        <v>13007640</v>
      </c>
      <c r="F98" s="19">
        <v>43929</v>
      </c>
      <c r="G98" s="3">
        <v>13007640</v>
      </c>
      <c r="H98" s="2">
        <v>5.0000000000000001E-3</v>
      </c>
      <c r="I98" s="19">
        <v>43952</v>
      </c>
      <c r="J98" s="19">
        <v>43982</v>
      </c>
      <c r="K98" s="3">
        <f t="shared" si="12"/>
        <v>31</v>
      </c>
      <c r="L98" s="3">
        <f t="shared" si="13"/>
        <v>5509</v>
      </c>
      <c r="M98" s="3">
        <v>13007640</v>
      </c>
    </row>
    <row r="99" spans="1:13" s="18" customFormat="1" outlineLevel="2">
      <c r="A99" s="19" t="s">
        <v>40</v>
      </c>
      <c r="B99" s="20" t="s">
        <v>83</v>
      </c>
      <c r="C99" s="21" t="s">
        <v>82</v>
      </c>
      <c r="D99" s="20" t="s">
        <v>81</v>
      </c>
      <c r="E99" s="3">
        <v>61668037</v>
      </c>
      <c r="F99" s="19">
        <v>43949</v>
      </c>
      <c r="G99" s="3">
        <v>61668037</v>
      </c>
      <c r="H99" s="2">
        <v>5.0000000000000001E-3</v>
      </c>
      <c r="I99" s="19">
        <v>43952</v>
      </c>
      <c r="J99" s="19">
        <v>43982</v>
      </c>
      <c r="K99" s="3">
        <f t="shared" si="12"/>
        <v>31</v>
      </c>
      <c r="L99" s="3">
        <f t="shared" si="13"/>
        <v>26116</v>
      </c>
      <c r="M99" s="3">
        <v>61668037</v>
      </c>
    </row>
    <row r="100" spans="1:13" s="18" customFormat="1" outlineLevel="2">
      <c r="A100" s="19" t="s">
        <v>40</v>
      </c>
      <c r="B100" s="20" t="s">
        <v>102</v>
      </c>
      <c r="C100" s="21" t="s">
        <v>43</v>
      </c>
      <c r="D100" s="20" t="s">
        <v>44</v>
      </c>
      <c r="E100" s="3">
        <v>13007640</v>
      </c>
      <c r="F100" s="19">
        <v>43964</v>
      </c>
      <c r="G100" s="3">
        <v>13007640</v>
      </c>
      <c r="H100" s="2">
        <v>5.0000000000000001E-3</v>
      </c>
      <c r="I100" s="19">
        <v>43964</v>
      </c>
      <c r="J100" s="19">
        <v>43982</v>
      </c>
      <c r="K100" s="3">
        <f t="shared" si="12"/>
        <v>19</v>
      </c>
      <c r="L100" s="3">
        <f t="shared" si="13"/>
        <v>3376</v>
      </c>
      <c r="M100" s="3">
        <v>13007640</v>
      </c>
    </row>
    <row r="101" spans="1:13" s="18" customFormat="1" outlineLevel="2">
      <c r="A101" s="19" t="s">
        <v>40</v>
      </c>
      <c r="B101" s="20" t="s">
        <v>101</v>
      </c>
      <c r="C101" s="21" t="s">
        <v>43</v>
      </c>
      <c r="D101" s="20" t="s">
        <v>44</v>
      </c>
      <c r="E101" s="3">
        <v>6361320</v>
      </c>
      <c r="F101" s="19">
        <v>43964</v>
      </c>
      <c r="G101" s="3">
        <v>6361320</v>
      </c>
      <c r="H101" s="2">
        <v>5.0000000000000001E-3</v>
      </c>
      <c r="I101" s="19">
        <v>43964</v>
      </c>
      <c r="J101" s="19">
        <v>43982</v>
      </c>
      <c r="K101" s="3">
        <f t="shared" si="12"/>
        <v>19</v>
      </c>
      <c r="L101" s="3">
        <f t="shared" si="13"/>
        <v>1651</v>
      </c>
      <c r="M101" s="3">
        <v>6361320</v>
      </c>
    </row>
    <row r="102" spans="1:13" s="18" customFormat="1" outlineLevel="2">
      <c r="A102" s="19" t="s">
        <v>40</v>
      </c>
      <c r="B102" s="20" t="s">
        <v>23</v>
      </c>
      <c r="C102" s="21" t="s">
        <v>43</v>
      </c>
      <c r="D102" s="20" t="s">
        <v>44</v>
      </c>
      <c r="E102" s="3">
        <v>5452560</v>
      </c>
      <c r="F102" s="19">
        <v>43810</v>
      </c>
      <c r="G102" s="3">
        <v>5452560</v>
      </c>
      <c r="H102" s="2">
        <v>5.0000000000000001E-3</v>
      </c>
      <c r="I102" s="19">
        <v>43952</v>
      </c>
      <c r="J102" s="19">
        <v>43982</v>
      </c>
      <c r="K102" s="3">
        <f t="shared" si="12"/>
        <v>31</v>
      </c>
      <c r="L102" s="3">
        <f t="shared" si="13"/>
        <v>2309</v>
      </c>
      <c r="M102" s="3">
        <v>5452560</v>
      </c>
    </row>
    <row r="103" spans="1:13" s="18" customFormat="1" outlineLevel="2">
      <c r="A103" s="19" t="s">
        <v>40</v>
      </c>
      <c r="B103" s="20" t="s">
        <v>100</v>
      </c>
      <c r="C103" s="21" t="s">
        <v>47</v>
      </c>
      <c r="D103" s="20" t="s">
        <v>42</v>
      </c>
      <c r="E103" s="3">
        <v>69800000</v>
      </c>
      <c r="F103" s="19">
        <v>43956</v>
      </c>
      <c r="G103" s="3">
        <v>69800000</v>
      </c>
      <c r="H103" s="2">
        <v>5.0000000000000001E-3</v>
      </c>
      <c r="I103" s="19">
        <v>43956</v>
      </c>
      <c r="J103" s="19">
        <v>43982</v>
      </c>
      <c r="K103" s="3">
        <f t="shared" si="12"/>
        <v>27</v>
      </c>
      <c r="L103" s="3">
        <f t="shared" si="13"/>
        <v>25746</v>
      </c>
      <c r="M103" s="3">
        <v>69800000</v>
      </c>
    </row>
    <row r="104" spans="1:13" s="18" customFormat="1" outlineLevel="2">
      <c r="A104" s="19" t="s">
        <v>40</v>
      </c>
      <c r="B104" s="20" t="s">
        <v>99</v>
      </c>
      <c r="C104" s="21" t="s">
        <v>47</v>
      </c>
      <c r="D104" s="20" t="s">
        <v>42</v>
      </c>
      <c r="E104" s="3">
        <v>1500000</v>
      </c>
      <c r="F104" s="19">
        <v>43956</v>
      </c>
      <c r="G104" s="3">
        <v>1500000</v>
      </c>
      <c r="H104" s="2">
        <v>5.0000000000000001E-3</v>
      </c>
      <c r="I104" s="19">
        <v>43956</v>
      </c>
      <c r="J104" s="19">
        <v>43982</v>
      </c>
      <c r="K104" s="3">
        <f t="shared" si="12"/>
        <v>27</v>
      </c>
      <c r="L104" s="3">
        <f t="shared" si="13"/>
        <v>553</v>
      </c>
      <c r="M104" s="3">
        <v>1500000</v>
      </c>
    </row>
    <row r="105" spans="1:13" s="18" customFormat="1" outlineLevel="2">
      <c r="A105" s="19" t="s">
        <v>40</v>
      </c>
      <c r="B105" s="20" t="s">
        <v>98</v>
      </c>
      <c r="C105" s="21" t="s">
        <v>97</v>
      </c>
      <c r="D105" s="20" t="s">
        <v>96</v>
      </c>
      <c r="E105" s="3">
        <v>50000000</v>
      </c>
      <c r="F105" s="19">
        <v>43976</v>
      </c>
      <c r="G105" s="3">
        <v>50000000</v>
      </c>
      <c r="H105" s="2">
        <v>5.0000000000000001E-3</v>
      </c>
      <c r="I105" s="19">
        <v>43976</v>
      </c>
      <c r="J105" s="19">
        <v>43982</v>
      </c>
      <c r="K105" s="3">
        <f t="shared" si="12"/>
        <v>7</v>
      </c>
      <c r="L105" s="3">
        <f t="shared" si="13"/>
        <v>4781</v>
      </c>
      <c r="M105" s="3">
        <v>50000000</v>
      </c>
    </row>
    <row r="106" spans="1:13" s="18" customFormat="1" outlineLevel="2">
      <c r="A106" s="19" t="s">
        <v>40</v>
      </c>
      <c r="B106" s="20" t="s">
        <v>29</v>
      </c>
      <c r="C106" s="21" t="s">
        <v>45</v>
      </c>
      <c r="D106" s="20" t="s">
        <v>46</v>
      </c>
      <c r="E106" s="3">
        <v>220000000</v>
      </c>
      <c r="F106" s="19">
        <v>43815</v>
      </c>
      <c r="G106" s="3">
        <v>220000000</v>
      </c>
      <c r="H106" s="2">
        <v>5.0000000000000001E-3</v>
      </c>
      <c r="I106" s="19">
        <v>43952</v>
      </c>
      <c r="J106" s="19">
        <v>43982</v>
      </c>
      <c r="K106" s="3">
        <f t="shared" si="12"/>
        <v>31</v>
      </c>
      <c r="L106" s="3">
        <f t="shared" si="13"/>
        <v>93169</v>
      </c>
      <c r="M106" s="3">
        <v>220000000</v>
      </c>
    </row>
    <row r="107" spans="1:13" s="18" customFormat="1" outlineLevel="2">
      <c r="A107" s="19" t="s">
        <v>40</v>
      </c>
      <c r="B107" s="20" t="s">
        <v>30</v>
      </c>
      <c r="C107" s="21" t="s">
        <v>43</v>
      </c>
      <c r="D107" s="20" t="s">
        <v>44</v>
      </c>
      <c r="E107" s="3">
        <v>5452560</v>
      </c>
      <c r="F107" s="19">
        <v>43838</v>
      </c>
      <c r="G107" s="3">
        <v>5452560</v>
      </c>
      <c r="H107" s="2">
        <v>5.0000000000000001E-3</v>
      </c>
      <c r="I107" s="19">
        <v>43952</v>
      </c>
      <c r="J107" s="19">
        <v>43982</v>
      </c>
      <c r="K107" s="3">
        <f t="shared" si="12"/>
        <v>31</v>
      </c>
      <c r="L107" s="3">
        <f t="shared" si="13"/>
        <v>2309</v>
      </c>
      <c r="M107" s="3">
        <v>5452560</v>
      </c>
    </row>
    <row r="108" spans="1:13" s="18" customFormat="1" outlineLevel="2">
      <c r="A108" s="19" t="s">
        <v>40</v>
      </c>
      <c r="B108" s="20" t="s">
        <v>31</v>
      </c>
      <c r="C108" s="21" t="s">
        <v>43</v>
      </c>
      <c r="D108" s="20" t="s">
        <v>44</v>
      </c>
      <c r="E108" s="3">
        <v>5452560</v>
      </c>
      <c r="F108" s="19">
        <v>43838</v>
      </c>
      <c r="G108" s="3">
        <v>5452560</v>
      </c>
      <c r="H108" s="2">
        <v>5.0000000000000001E-3</v>
      </c>
      <c r="I108" s="19">
        <v>43952</v>
      </c>
      <c r="J108" s="19">
        <v>43982</v>
      </c>
      <c r="K108" s="3">
        <f t="shared" si="12"/>
        <v>31</v>
      </c>
      <c r="L108" s="3">
        <f t="shared" si="13"/>
        <v>2309</v>
      </c>
      <c r="M108" s="3">
        <v>5452560</v>
      </c>
    </row>
    <row r="109" spans="1:13" s="18" customFormat="1" outlineLevel="2">
      <c r="A109" s="19" t="s">
        <v>40</v>
      </c>
      <c r="B109" s="20" t="s">
        <v>32</v>
      </c>
      <c r="C109" s="21" t="s">
        <v>47</v>
      </c>
      <c r="D109" s="20" t="s">
        <v>42</v>
      </c>
      <c r="E109" s="3">
        <v>55600000</v>
      </c>
      <c r="F109" s="19">
        <v>43833</v>
      </c>
      <c r="G109" s="3">
        <v>55600000</v>
      </c>
      <c r="H109" s="2">
        <v>5.0000000000000001E-3</v>
      </c>
      <c r="I109" s="19">
        <v>43952</v>
      </c>
      <c r="J109" s="19">
        <v>43982</v>
      </c>
      <c r="K109" s="3">
        <f t="shared" si="12"/>
        <v>31</v>
      </c>
      <c r="L109" s="3">
        <f t="shared" si="13"/>
        <v>23546</v>
      </c>
      <c r="M109" s="3">
        <v>55600000</v>
      </c>
    </row>
    <row r="110" spans="1:13" s="18" customFormat="1" outlineLevel="2">
      <c r="A110" s="19" t="s">
        <v>40</v>
      </c>
      <c r="B110" s="20" t="s">
        <v>48</v>
      </c>
      <c r="C110" s="21" t="s">
        <v>47</v>
      </c>
      <c r="D110" s="20" t="s">
        <v>42</v>
      </c>
      <c r="E110" s="3">
        <v>28400000</v>
      </c>
      <c r="F110" s="19">
        <v>43833</v>
      </c>
      <c r="G110" s="3">
        <v>28400000</v>
      </c>
      <c r="H110" s="2">
        <v>5.0000000000000001E-3</v>
      </c>
      <c r="I110" s="19">
        <v>43952</v>
      </c>
      <c r="J110" s="19">
        <v>43982</v>
      </c>
      <c r="K110" s="3">
        <f t="shared" si="12"/>
        <v>31</v>
      </c>
      <c r="L110" s="3">
        <f t="shared" si="13"/>
        <v>12027</v>
      </c>
      <c r="M110" s="3">
        <v>28400000</v>
      </c>
    </row>
    <row r="111" spans="1:13" s="18" customFormat="1" outlineLevel="2">
      <c r="A111" s="19" t="s">
        <v>40</v>
      </c>
      <c r="B111" s="20" t="s">
        <v>59</v>
      </c>
      <c r="C111" s="21" t="s">
        <v>43</v>
      </c>
      <c r="D111" s="20" t="s">
        <v>44</v>
      </c>
      <c r="E111" s="3">
        <v>5452560</v>
      </c>
      <c r="F111" s="19">
        <v>43873</v>
      </c>
      <c r="G111" s="3">
        <v>5452560</v>
      </c>
      <c r="H111" s="2">
        <v>5.0000000000000001E-3</v>
      </c>
      <c r="I111" s="19">
        <v>43952</v>
      </c>
      <c r="J111" s="19">
        <v>43982</v>
      </c>
      <c r="K111" s="3">
        <f t="shared" si="12"/>
        <v>31</v>
      </c>
      <c r="L111" s="3">
        <f t="shared" si="13"/>
        <v>2309</v>
      </c>
      <c r="M111" s="3">
        <v>5452560</v>
      </c>
    </row>
    <row r="112" spans="1:13" s="18" customFormat="1" outlineLevel="2">
      <c r="A112" s="19" t="s">
        <v>40</v>
      </c>
      <c r="B112" s="20" t="s">
        <v>58</v>
      </c>
      <c r="C112" s="21" t="s">
        <v>43</v>
      </c>
      <c r="D112" s="20" t="s">
        <v>44</v>
      </c>
      <c r="E112" s="3">
        <v>7270080</v>
      </c>
      <c r="F112" s="19">
        <v>43873</v>
      </c>
      <c r="G112" s="3">
        <v>7270080</v>
      </c>
      <c r="H112" s="2">
        <v>5.0000000000000001E-3</v>
      </c>
      <c r="I112" s="19">
        <v>43952</v>
      </c>
      <c r="J112" s="19">
        <v>43982</v>
      </c>
      <c r="K112" s="3">
        <f t="shared" si="12"/>
        <v>31</v>
      </c>
      <c r="L112" s="3">
        <f t="shared" si="13"/>
        <v>3079</v>
      </c>
      <c r="M112" s="3">
        <v>7270080</v>
      </c>
    </row>
    <row r="113" spans="1:16" s="18" customFormat="1" ht="13.5" outlineLevel="1">
      <c r="A113" s="22" t="s">
        <v>49</v>
      </c>
      <c r="B113" s="23"/>
      <c r="C113" s="24"/>
      <c r="D113" s="23"/>
      <c r="E113" s="25">
        <f>SUBTOTAL(9,E91:E112)</f>
        <v>847170237</v>
      </c>
      <c r="F113" s="26"/>
      <c r="G113" s="25"/>
      <c r="H113" s="27"/>
      <c r="I113" s="26"/>
      <c r="J113" s="26"/>
      <c r="K113" s="25"/>
      <c r="L113" s="25">
        <f>SUBTOTAL(9,L91:L112)</f>
        <v>335309</v>
      </c>
      <c r="M113" s="25">
        <f>SUBTOTAL(9,M91:M112)</f>
        <v>847170237</v>
      </c>
    </row>
    <row r="114" spans="1:16" s="18" customFormat="1" outlineLevel="2">
      <c r="A114" s="19" t="s">
        <v>63</v>
      </c>
      <c r="B114" s="20" t="s">
        <v>16</v>
      </c>
      <c r="C114" s="21" t="s">
        <v>21</v>
      </c>
      <c r="D114" s="20" t="s">
        <v>22</v>
      </c>
      <c r="E114" s="3">
        <v>72000000</v>
      </c>
      <c r="F114" s="19">
        <v>43917</v>
      </c>
      <c r="G114" s="3">
        <v>72000000</v>
      </c>
      <c r="H114" s="2">
        <v>5.0000000000000001E-3</v>
      </c>
      <c r="I114" s="19">
        <v>43952</v>
      </c>
      <c r="J114" s="19">
        <v>43982</v>
      </c>
      <c r="K114" s="3">
        <f>J114-I114+1</f>
        <v>31</v>
      </c>
      <c r="L114" s="3">
        <f>ROUND(G114*H114*K114/366,0)</f>
        <v>30492</v>
      </c>
      <c r="M114" s="3">
        <v>72000000</v>
      </c>
    </row>
    <row r="115" spans="1:16" s="18" customFormat="1" ht="13.5" outlineLevel="1">
      <c r="A115" s="22" t="s">
        <v>62</v>
      </c>
      <c r="B115" s="23"/>
      <c r="C115" s="24"/>
      <c r="D115" s="23"/>
      <c r="E115" s="25">
        <f>SUBTOTAL(9,E114:E114)</f>
        <v>72000000</v>
      </c>
      <c r="F115" s="26"/>
      <c r="G115" s="25"/>
      <c r="H115" s="27"/>
      <c r="I115" s="26"/>
      <c r="J115" s="26"/>
      <c r="K115" s="25"/>
      <c r="L115" s="25">
        <f>SUBTOTAL(9,L114:L114)</f>
        <v>30492</v>
      </c>
      <c r="M115" s="25">
        <f>SUBTOTAL(9,M114:M114)</f>
        <v>72000000</v>
      </c>
    </row>
    <row r="116" spans="1:16" s="18" customFormat="1" outlineLevel="2">
      <c r="A116" s="19" t="s">
        <v>50</v>
      </c>
      <c r="B116" s="20" t="s">
        <v>16</v>
      </c>
      <c r="C116" s="21" t="s">
        <v>21</v>
      </c>
      <c r="D116" s="20" t="s">
        <v>22</v>
      </c>
      <c r="E116" s="3">
        <v>190000000</v>
      </c>
      <c r="F116" s="19">
        <v>43797</v>
      </c>
      <c r="G116" s="3">
        <v>190000000</v>
      </c>
      <c r="H116" s="2">
        <v>5.0000000000000001E-3</v>
      </c>
      <c r="I116" s="19">
        <v>43952</v>
      </c>
      <c r="J116" s="19">
        <v>43982</v>
      </c>
      <c r="K116" s="3">
        <f t="shared" ref="K116:K123" si="14">J116-I116+1</f>
        <v>31</v>
      </c>
      <c r="L116" s="3">
        <f t="shared" ref="L116:L123" si="15">ROUND(G116*H116*K116/366,0)</f>
        <v>80464</v>
      </c>
      <c r="M116" s="3">
        <v>190000000</v>
      </c>
    </row>
    <row r="117" spans="1:16" s="18" customFormat="1" outlineLevel="2">
      <c r="A117" s="19" t="s">
        <v>50</v>
      </c>
      <c r="B117" s="20" t="s">
        <v>23</v>
      </c>
      <c r="C117" s="21" t="s">
        <v>21</v>
      </c>
      <c r="D117" s="20" t="s">
        <v>22</v>
      </c>
      <c r="E117" s="3">
        <v>37000000</v>
      </c>
      <c r="F117" s="19">
        <v>43829</v>
      </c>
      <c r="G117" s="3">
        <v>37000000</v>
      </c>
      <c r="H117" s="2">
        <v>5.0000000000000001E-3</v>
      </c>
      <c r="I117" s="19">
        <v>43952</v>
      </c>
      <c r="J117" s="19">
        <v>43982</v>
      </c>
      <c r="K117" s="3">
        <f t="shared" si="14"/>
        <v>31</v>
      </c>
      <c r="L117" s="3">
        <f t="shared" si="15"/>
        <v>15669</v>
      </c>
      <c r="M117" s="3">
        <v>37000000</v>
      </c>
    </row>
    <row r="118" spans="1:16" s="18" customFormat="1" outlineLevel="2">
      <c r="A118" s="19" t="s">
        <v>50</v>
      </c>
      <c r="B118" s="20" t="s">
        <v>29</v>
      </c>
      <c r="C118" s="21" t="s">
        <v>57</v>
      </c>
      <c r="D118" s="20" t="s">
        <v>56</v>
      </c>
      <c r="E118" s="3">
        <v>17276700</v>
      </c>
      <c r="F118" s="19">
        <v>43878</v>
      </c>
      <c r="G118" s="3">
        <v>16700810</v>
      </c>
      <c r="H118" s="2">
        <v>5.0000000000000001E-3</v>
      </c>
      <c r="I118" s="19">
        <v>43952</v>
      </c>
      <c r="J118" s="19">
        <v>43965</v>
      </c>
      <c r="K118" s="3">
        <f t="shared" si="14"/>
        <v>14</v>
      </c>
      <c r="L118" s="3">
        <f t="shared" si="15"/>
        <v>3194</v>
      </c>
      <c r="M118" s="3">
        <v>16412865</v>
      </c>
    </row>
    <row r="119" spans="1:16" s="18" customFormat="1" outlineLevel="2">
      <c r="A119" s="19" t="s">
        <v>50</v>
      </c>
      <c r="B119" s="20" t="s">
        <v>29</v>
      </c>
      <c r="C119" s="21" t="s">
        <v>57</v>
      </c>
      <c r="D119" s="20"/>
      <c r="E119" s="3"/>
      <c r="F119" s="19"/>
      <c r="G119" s="3">
        <v>16412865</v>
      </c>
      <c r="H119" s="2">
        <v>5.0000000000000001E-3</v>
      </c>
      <c r="I119" s="19">
        <v>43966</v>
      </c>
      <c r="J119" s="19">
        <v>43982</v>
      </c>
      <c r="K119" s="3">
        <f t="shared" si="14"/>
        <v>17</v>
      </c>
      <c r="L119" s="3">
        <f t="shared" si="15"/>
        <v>3812</v>
      </c>
      <c r="M119" s="3"/>
    </row>
    <row r="120" spans="1:16" s="18" customFormat="1" outlineLevel="2">
      <c r="A120" s="19" t="s">
        <v>50</v>
      </c>
      <c r="B120" s="20" t="s">
        <v>30</v>
      </c>
      <c r="C120" s="21" t="s">
        <v>21</v>
      </c>
      <c r="D120" s="20" t="s">
        <v>22</v>
      </c>
      <c r="E120" s="3">
        <v>73000000</v>
      </c>
      <c r="F120" s="19">
        <v>43896</v>
      </c>
      <c r="G120" s="3">
        <v>73000000</v>
      </c>
      <c r="H120" s="2">
        <v>5.0000000000000001E-3</v>
      </c>
      <c r="I120" s="19">
        <v>43952</v>
      </c>
      <c r="J120" s="19">
        <v>43982</v>
      </c>
      <c r="K120" s="3">
        <f t="shared" si="14"/>
        <v>31</v>
      </c>
      <c r="L120" s="3">
        <f t="shared" si="15"/>
        <v>30915</v>
      </c>
      <c r="M120" s="3">
        <v>73000000</v>
      </c>
    </row>
    <row r="121" spans="1:16" s="18" customFormat="1" outlineLevel="2">
      <c r="A121" s="19" t="s">
        <v>50</v>
      </c>
      <c r="B121" s="20" t="s">
        <v>31</v>
      </c>
      <c r="C121" s="21" t="s">
        <v>57</v>
      </c>
      <c r="D121" s="20" t="s">
        <v>56</v>
      </c>
      <c r="E121" s="3">
        <v>19997321</v>
      </c>
      <c r="F121" s="19">
        <v>43948</v>
      </c>
      <c r="G121" s="3">
        <v>19997321</v>
      </c>
      <c r="H121" s="2">
        <v>5.0000000000000001E-3</v>
      </c>
      <c r="I121" s="19">
        <v>43952</v>
      </c>
      <c r="J121" s="19">
        <v>43982</v>
      </c>
      <c r="K121" s="3">
        <f t="shared" si="14"/>
        <v>31</v>
      </c>
      <c r="L121" s="3">
        <f t="shared" si="15"/>
        <v>8469</v>
      </c>
      <c r="M121" s="3">
        <v>19997321</v>
      </c>
    </row>
    <row r="122" spans="1:16" s="18" customFormat="1" outlineLevel="2">
      <c r="A122" s="19" t="s">
        <v>50</v>
      </c>
      <c r="B122" s="20" t="s">
        <v>32</v>
      </c>
      <c r="C122" s="21" t="s">
        <v>69</v>
      </c>
      <c r="D122" s="20" t="s">
        <v>68</v>
      </c>
      <c r="E122" s="3">
        <v>242400000</v>
      </c>
      <c r="F122" s="19">
        <v>43930</v>
      </c>
      <c r="G122" s="3">
        <v>242400000</v>
      </c>
      <c r="H122" s="2">
        <v>3.0000000000000001E-3</v>
      </c>
      <c r="I122" s="19">
        <v>43952</v>
      </c>
      <c r="J122" s="19">
        <v>43982</v>
      </c>
      <c r="K122" s="3">
        <f t="shared" si="14"/>
        <v>31</v>
      </c>
      <c r="L122" s="3">
        <f t="shared" si="15"/>
        <v>61593</v>
      </c>
      <c r="M122" s="3">
        <v>242400000</v>
      </c>
    </row>
    <row r="123" spans="1:16" s="18" customFormat="1" outlineLevel="2">
      <c r="A123" s="19" t="s">
        <v>50</v>
      </c>
      <c r="B123" s="20" t="s">
        <v>48</v>
      </c>
      <c r="C123" s="21" t="s">
        <v>69</v>
      </c>
      <c r="D123" s="20" t="s">
        <v>68</v>
      </c>
      <c r="E123" s="3">
        <v>156000000</v>
      </c>
      <c r="F123" s="19">
        <v>43958</v>
      </c>
      <c r="G123" s="3">
        <v>156000000</v>
      </c>
      <c r="H123" s="2">
        <v>3.0000000000000001E-3</v>
      </c>
      <c r="I123" s="19">
        <v>43958</v>
      </c>
      <c r="J123" s="19">
        <v>43982</v>
      </c>
      <c r="K123" s="3">
        <f t="shared" si="14"/>
        <v>25</v>
      </c>
      <c r="L123" s="3">
        <f t="shared" si="15"/>
        <v>31967</v>
      </c>
      <c r="M123" s="3">
        <v>156000000</v>
      </c>
    </row>
    <row r="124" spans="1:16" s="18" customFormat="1" ht="13.5" outlineLevel="1">
      <c r="A124" s="22" t="s">
        <v>51</v>
      </c>
      <c r="B124" s="23"/>
      <c r="C124" s="24"/>
      <c r="D124" s="23"/>
      <c r="E124" s="25">
        <f>SUBTOTAL(9,E116:E123)</f>
        <v>735674021</v>
      </c>
      <c r="F124" s="26"/>
      <c r="G124" s="25"/>
      <c r="H124" s="27"/>
      <c r="I124" s="26"/>
      <c r="J124" s="26"/>
      <c r="K124" s="25"/>
      <c r="L124" s="25">
        <f>SUBTOTAL(9,L116:L123)</f>
        <v>236083</v>
      </c>
      <c r="M124" s="25">
        <f>SUBTOTAL(9,M116:M123)</f>
        <v>734810186</v>
      </c>
    </row>
    <row r="125" spans="1:16" s="34" customFormat="1" ht="13.5" outlineLevel="1">
      <c r="A125" s="28"/>
      <c r="B125" s="29"/>
      <c r="C125" s="30"/>
      <c r="D125" s="29"/>
      <c r="E125" s="31"/>
      <c r="F125" s="32"/>
      <c r="G125" s="31"/>
      <c r="H125" s="33"/>
      <c r="I125" s="32"/>
      <c r="J125" s="32"/>
      <c r="K125" s="31"/>
      <c r="L125" s="31"/>
      <c r="M125" s="31"/>
    </row>
    <row r="126" spans="1:16" s="18" customFormat="1" ht="13.5">
      <c r="A126" s="26" t="s">
        <v>52</v>
      </c>
      <c r="B126" s="23"/>
      <c r="C126" s="24"/>
      <c r="D126" s="23"/>
      <c r="E126" s="25">
        <f>SUBTOTAL(9,E4:E123)</f>
        <v>5130655956</v>
      </c>
      <c r="F126" s="26"/>
      <c r="G126" s="25"/>
      <c r="H126" s="27"/>
      <c r="I126" s="26"/>
      <c r="J126" s="26"/>
      <c r="K126" s="25"/>
      <c r="L126" s="25">
        <f>SUBTOTAL(9,L4:L123)</f>
        <v>1889458</v>
      </c>
      <c r="M126" s="25">
        <f>SUBTOTAL(9,M4:M123)</f>
        <v>5092037382</v>
      </c>
    </row>
    <row r="127" spans="1:16" s="18" customForma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</row>
    <row r="128" spans="1:16">
      <c r="A128" s="35" t="s">
        <v>54</v>
      </c>
      <c r="B128" s="35"/>
      <c r="E128" s="36" t="s">
        <v>55</v>
      </c>
      <c r="G128" s="6"/>
      <c r="I128" s="37" t="s">
        <v>53</v>
      </c>
    </row>
    <row r="129" spans="1:16" s="18" customForma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</row>
    <row r="130" spans="1:16" s="18" customForma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</row>
    <row r="131" spans="1:16" s="18" customForma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</row>
    <row r="132" spans="1:16" s="18" customForma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</row>
    <row r="133" spans="1:16" s="18" customForma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</row>
    <row r="134" spans="1:16" s="18" customForma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</row>
    <row r="135" spans="1:16" s="18" customForma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</row>
    <row r="136" spans="1:16" s="18" customForma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</row>
    <row r="137" spans="1:16" s="18" customForma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</row>
    <row r="138" spans="1:16" s="18" customForma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</row>
    <row r="139" spans="1:16" s="18" customForma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</row>
    <row r="140" spans="1:16" s="18" customForma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</row>
    <row r="141" spans="1:16" s="18" customForma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</row>
    <row r="142" spans="1:16" s="18" customForma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</row>
    <row r="143" spans="1:16" s="18" customForma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s="18" customForma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</row>
    <row r="145" spans="1:16" s="18" customForma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 spans="1:16" s="18" customForma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</row>
    <row r="147" spans="1:16" s="18" customForma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</row>
    <row r="148" spans="1:16" s="18" customForma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 spans="1:16" s="18" customForma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</row>
    <row r="150" spans="1:16" s="18" customForma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</row>
    <row r="151" spans="1:16" s="18" customForma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 spans="1:16" s="18" customForma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</row>
    <row r="153" spans="1:16" s="18" customForma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</row>
    <row r="154" spans="1:16" s="18" customForma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</row>
    <row r="155" spans="1:16" s="18" customForma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</row>
    <row r="156" spans="1:16" s="18" customForma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</row>
    <row r="157" spans="1:16" s="18" customForma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</row>
    <row r="158" spans="1:16" s="18" customForma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</row>
    <row r="159" spans="1:16" s="18" customForma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</row>
    <row r="160" spans="1:16" s="18" customForma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</row>
    <row r="161" spans="1:16" s="18" customForma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</row>
    <row r="162" spans="1:16" s="18" customForma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</row>
    <row r="163" spans="1:16" s="18" customForma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</row>
    <row r="164" spans="1:16" s="18" customForma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6" s="18" customForma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</row>
    <row r="166" spans="1:16" s="18" customForma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6" s="18" customForma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6" s="18" customForma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6" s="18" customForma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6" s="18" customForma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6" s="18" customForma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6" s="18" customForma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6" s="18" customForma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6" s="18" customForma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spans="1:16" s="18" customForma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spans="1:16" s="18" customForma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spans="1:16" s="18" customForma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spans="1:16" s="18" customForma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spans="1:16" s="18" customForma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spans="1:16" s="18" customForma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spans="1:16" s="18" customForma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spans="1:16" s="18" customForma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spans="1:16" s="18" customForma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spans="1:16" s="18" customForma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spans="1:16" s="18" customForma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spans="1:16" s="18" customForma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spans="1:16" s="18" customForma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6" s="18" customForma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6" s="18" customForma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6" s="18" customForma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6" s="18" customForma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6" s="18" customForma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s="18" customForma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s="18" customForma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s="18" customForma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s="18" customForma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s="18" customForma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s="18" customForma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s="18" customForma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s="18" customForma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s="18" customForma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spans="1:16" s="18" customForma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spans="1:16" s="18" customForma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s="18" customForma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spans="1:16" s="18" customForma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spans="1:16" s="18" customForma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spans="1:16" s="18" customForma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spans="1:16" s="18" customForma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spans="1:16" s="18" customForma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spans="1:16" s="18" customForma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spans="1:16" s="18" customForma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spans="1:16" s="18" customForma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spans="1:16" s="18" customForma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s="18" customForma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spans="1:16" s="18" customForma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spans="1:16" s="18" customForma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spans="1:16" s="18" customForma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 s="18" customForma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</sheetData>
  <autoFilter ref="A3:M124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4B25-620D-4759-A56A-204295F7DD8E}">
  <dimension ref="A1:P840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8.46484375" style="6" bestFit="1" customWidth="1"/>
    <col min="2" max="2" width="8.73046875" style="6" bestFit="1" customWidth="1"/>
    <col min="3" max="3" width="22.46484375" style="6" bestFit="1" customWidth="1"/>
    <col min="4" max="4" width="12.265625" style="6" bestFit="1" customWidth="1"/>
    <col min="5" max="5" width="13.73046875" style="10" bestFit="1" customWidth="1"/>
    <col min="6" max="6" width="12.265625" style="11" bestFit="1" customWidth="1"/>
    <col min="7" max="7" width="12.265625" style="10" bestFit="1" customWidth="1"/>
    <col min="8" max="8" width="10.46484375" style="12" bestFit="1" customWidth="1"/>
    <col min="9" max="10" width="8.9296875" style="6" bestFit="1" customWidth="1"/>
    <col min="11" max="11" width="10.46484375" style="6" bestFit="1" customWidth="1"/>
    <col min="12" max="12" width="10.46484375" style="10" bestFit="1" customWidth="1"/>
    <col min="13" max="13" width="13.7304687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44012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43983</v>
      </c>
      <c r="J4" s="19">
        <v>44012</v>
      </c>
      <c r="K4" s="3">
        <f t="shared" ref="K4:K15" si="0">J4-I4+1</f>
        <v>30</v>
      </c>
      <c r="L4" s="3">
        <f t="shared" ref="L4:L15" si="1">ROUND(G4*H4*K4/366,0)</f>
        <v>66598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43983</v>
      </c>
      <c r="J5" s="19">
        <v>44012</v>
      </c>
      <c r="K5" s="3">
        <f t="shared" si="0"/>
        <v>30</v>
      </c>
      <c r="L5" s="3">
        <f t="shared" si="1"/>
        <v>590</v>
      </c>
      <c r="M5" s="3">
        <v>2400000</v>
      </c>
    </row>
    <row r="6" spans="1:13" s="18" customFormat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43997</v>
      </c>
      <c r="J6" s="19">
        <v>44012</v>
      </c>
      <c r="K6" s="3">
        <f t="shared" si="0"/>
        <v>16</v>
      </c>
      <c r="L6" s="3">
        <f t="shared" si="1"/>
        <v>1611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43990</v>
      </c>
      <c r="J7" s="19">
        <v>44012</v>
      </c>
      <c r="K7" s="3">
        <f t="shared" si="0"/>
        <v>23</v>
      </c>
      <c r="L7" s="3">
        <f t="shared" si="1"/>
        <v>1851</v>
      </c>
      <c r="M7" s="3">
        <v>5890000</v>
      </c>
    </row>
    <row r="8" spans="1:13" s="18" customFormat="1" outlineLevel="2">
      <c r="A8" s="19" t="s">
        <v>15</v>
      </c>
      <c r="B8" s="20" t="s">
        <v>23</v>
      </c>
      <c r="C8" s="21" t="s">
        <v>17</v>
      </c>
      <c r="D8" s="20" t="s">
        <v>18</v>
      </c>
      <c r="E8" s="3">
        <v>6430000</v>
      </c>
      <c r="F8" s="19">
        <v>43920</v>
      </c>
      <c r="G8" s="3">
        <v>6430000</v>
      </c>
      <c r="H8" s="2">
        <v>5.0000000000000001E-3</v>
      </c>
      <c r="I8" s="19">
        <v>43983</v>
      </c>
      <c r="J8" s="19">
        <v>44012</v>
      </c>
      <c r="K8" s="3">
        <f t="shared" si="0"/>
        <v>30</v>
      </c>
      <c r="L8" s="3">
        <f t="shared" si="1"/>
        <v>2635</v>
      </c>
      <c r="M8" s="3">
        <v>6430000</v>
      </c>
    </row>
    <row r="9" spans="1:13" s="18" customFormat="1" outlineLevel="2">
      <c r="A9" s="19" t="s">
        <v>15</v>
      </c>
      <c r="B9" s="20" t="s">
        <v>29</v>
      </c>
      <c r="C9" s="21" t="s">
        <v>57</v>
      </c>
      <c r="D9" s="20" t="s">
        <v>56</v>
      </c>
      <c r="E9" s="3">
        <v>28600000</v>
      </c>
      <c r="F9" s="19">
        <v>43921</v>
      </c>
      <c r="G9" s="3">
        <v>28600000</v>
      </c>
      <c r="H9" s="2">
        <v>5.0000000000000001E-3</v>
      </c>
      <c r="I9" s="19">
        <v>43983</v>
      </c>
      <c r="J9" s="19">
        <v>44012</v>
      </c>
      <c r="K9" s="3">
        <f t="shared" si="0"/>
        <v>30</v>
      </c>
      <c r="L9" s="3">
        <f t="shared" si="1"/>
        <v>11721</v>
      </c>
      <c r="M9" s="3">
        <v>28600000</v>
      </c>
    </row>
    <row r="10" spans="1:13" s="18" customFormat="1" outlineLevel="2">
      <c r="A10" s="19" t="s">
        <v>15</v>
      </c>
      <c r="B10" s="20" t="s">
        <v>30</v>
      </c>
      <c r="C10" s="21" t="s">
        <v>74</v>
      </c>
      <c r="D10" s="20" t="s">
        <v>73</v>
      </c>
      <c r="E10" s="3">
        <v>20000000</v>
      </c>
      <c r="F10" s="19">
        <v>43922</v>
      </c>
      <c r="G10" s="3">
        <v>20000000</v>
      </c>
      <c r="H10" s="2">
        <v>5.0000000000000001E-3</v>
      </c>
      <c r="I10" s="19">
        <v>43983</v>
      </c>
      <c r="J10" s="19">
        <v>44012</v>
      </c>
      <c r="K10" s="3">
        <f t="shared" si="0"/>
        <v>30</v>
      </c>
      <c r="L10" s="3">
        <f t="shared" si="1"/>
        <v>8197</v>
      </c>
      <c r="M10" s="3">
        <v>20000000</v>
      </c>
    </row>
    <row r="11" spans="1:13" s="18" customFormat="1" outlineLevel="2">
      <c r="A11" s="19" t="s">
        <v>15</v>
      </c>
      <c r="B11" s="20" t="s">
        <v>31</v>
      </c>
      <c r="C11" s="21" t="s">
        <v>57</v>
      </c>
      <c r="D11" s="20" t="s">
        <v>56</v>
      </c>
      <c r="E11" s="3">
        <v>10000000</v>
      </c>
      <c r="F11" s="19">
        <v>43934</v>
      </c>
      <c r="G11" s="3">
        <v>10000000</v>
      </c>
      <c r="H11" s="2">
        <v>5.0000000000000001E-3</v>
      </c>
      <c r="I11" s="19">
        <v>43983</v>
      </c>
      <c r="J11" s="19">
        <v>44012</v>
      </c>
      <c r="K11" s="3">
        <f t="shared" si="0"/>
        <v>30</v>
      </c>
      <c r="L11" s="3">
        <f t="shared" si="1"/>
        <v>4098</v>
      </c>
      <c r="M11" s="3">
        <v>10000000</v>
      </c>
    </row>
    <row r="12" spans="1:13" s="18" customFormat="1" outlineLevel="2">
      <c r="A12" s="19" t="s">
        <v>15</v>
      </c>
      <c r="B12" s="20" t="s">
        <v>32</v>
      </c>
      <c r="C12" s="21" t="s">
        <v>57</v>
      </c>
      <c r="D12" s="20" t="s">
        <v>56</v>
      </c>
      <c r="E12" s="3">
        <v>30000000</v>
      </c>
      <c r="F12" s="19">
        <v>43937</v>
      </c>
      <c r="G12" s="3">
        <v>30000000</v>
      </c>
      <c r="H12" s="2">
        <v>5.0000000000000001E-3</v>
      </c>
      <c r="I12" s="19">
        <v>43983</v>
      </c>
      <c r="J12" s="19">
        <v>44012</v>
      </c>
      <c r="K12" s="3">
        <f t="shared" si="0"/>
        <v>30</v>
      </c>
      <c r="L12" s="3">
        <f t="shared" si="1"/>
        <v>12295</v>
      </c>
      <c r="M12" s="3">
        <v>30000000</v>
      </c>
    </row>
    <row r="13" spans="1:13" s="18" customFormat="1" outlineLevel="2">
      <c r="A13" s="19" t="s">
        <v>15</v>
      </c>
      <c r="B13" s="20" t="s">
        <v>48</v>
      </c>
      <c r="C13" s="21" t="s">
        <v>57</v>
      </c>
      <c r="D13" s="20" t="s">
        <v>56</v>
      </c>
      <c r="E13" s="3">
        <v>58360000</v>
      </c>
      <c r="F13" s="19">
        <v>43929</v>
      </c>
      <c r="G13" s="3">
        <v>58360000</v>
      </c>
      <c r="H13" s="2">
        <v>5.0000000000000001E-3</v>
      </c>
      <c r="I13" s="19">
        <v>43983</v>
      </c>
      <c r="J13" s="19">
        <v>44012</v>
      </c>
      <c r="K13" s="3">
        <f t="shared" si="0"/>
        <v>30</v>
      </c>
      <c r="L13" s="3">
        <f t="shared" si="1"/>
        <v>23918</v>
      </c>
      <c r="M13" s="3">
        <v>58360000</v>
      </c>
    </row>
    <row r="14" spans="1:13" s="18" customFormat="1" outlineLevel="2">
      <c r="A14" s="19" t="s">
        <v>15</v>
      </c>
      <c r="B14" s="20" t="s">
        <v>59</v>
      </c>
      <c r="C14" s="21" t="s">
        <v>113</v>
      </c>
      <c r="D14" s="20" t="s">
        <v>112</v>
      </c>
      <c r="E14" s="3">
        <v>64000000</v>
      </c>
      <c r="F14" s="19">
        <v>43966</v>
      </c>
      <c r="G14" s="3">
        <v>64000000</v>
      </c>
      <c r="H14" s="2">
        <v>5.0000000000000001E-3</v>
      </c>
      <c r="I14" s="19">
        <v>43983</v>
      </c>
      <c r="J14" s="19">
        <v>44012</v>
      </c>
      <c r="K14" s="3">
        <f t="shared" si="0"/>
        <v>30</v>
      </c>
      <c r="L14" s="3">
        <f t="shared" si="1"/>
        <v>26230</v>
      </c>
      <c r="M14" s="3">
        <v>64000000</v>
      </c>
    </row>
    <row r="15" spans="1:13" s="18" customFormat="1" outlineLevel="2">
      <c r="A15" s="19" t="s">
        <v>15</v>
      </c>
      <c r="B15" s="20" t="s">
        <v>58</v>
      </c>
      <c r="C15" s="21" t="s">
        <v>57</v>
      </c>
      <c r="D15" s="20" t="s">
        <v>56</v>
      </c>
      <c r="E15" s="3">
        <v>11400000</v>
      </c>
      <c r="F15" s="19">
        <v>43962</v>
      </c>
      <c r="G15" s="3">
        <v>11400000</v>
      </c>
      <c r="H15" s="2">
        <v>5.0000000000000001E-3</v>
      </c>
      <c r="I15" s="19">
        <v>43983</v>
      </c>
      <c r="J15" s="19">
        <v>44012</v>
      </c>
      <c r="K15" s="3">
        <f t="shared" si="0"/>
        <v>30</v>
      </c>
      <c r="L15" s="3">
        <f t="shared" si="1"/>
        <v>4672</v>
      </c>
      <c r="M15" s="3">
        <v>11400000</v>
      </c>
    </row>
    <row r="16" spans="1:13" s="18" customFormat="1" ht="13.5" outlineLevel="1">
      <c r="A16" s="22" t="s">
        <v>19</v>
      </c>
      <c r="B16" s="23"/>
      <c r="C16" s="24"/>
      <c r="D16" s="23"/>
      <c r="E16" s="25">
        <f>SUBTOTAL(9,E4:E15)</f>
        <v>406950000</v>
      </c>
      <c r="F16" s="26"/>
      <c r="G16" s="25"/>
      <c r="H16" s="27"/>
      <c r="I16" s="26"/>
      <c r="J16" s="26"/>
      <c r="K16" s="25"/>
      <c r="L16" s="25">
        <f>SUBTOTAL(9,L4:L15)</f>
        <v>164416</v>
      </c>
      <c r="M16" s="25">
        <f>SUBTOTAL(9,M4:M15)</f>
        <v>406950000</v>
      </c>
    </row>
    <row r="17" spans="1:13" s="18" customFormat="1" outlineLevel="2">
      <c r="A17" s="19" t="s">
        <v>80</v>
      </c>
      <c r="B17" s="20" t="s">
        <v>16</v>
      </c>
      <c r="C17" s="21" t="s">
        <v>57</v>
      </c>
      <c r="D17" s="20" t="s">
        <v>56</v>
      </c>
      <c r="E17" s="3">
        <v>26500000</v>
      </c>
      <c r="F17" s="19">
        <v>43907</v>
      </c>
      <c r="G17" s="3">
        <v>25869048</v>
      </c>
      <c r="H17" s="2">
        <v>5.0000000000000001E-3</v>
      </c>
      <c r="I17" s="19">
        <v>43983</v>
      </c>
      <c r="J17" s="19">
        <v>43996</v>
      </c>
      <c r="K17" s="3">
        <f t="shared" ref="K17:K24" si="2">J17-I17+1</f>
        <v>14</v>
      </c>
      <c r="L17" s="3">
        <f t="shared" ref="L17:L24" si="3">ROUND(G17*H17*K17/366,0)</f>
        <v>4948</v>
      </c>
      <c r="M17" s="3">
        <v>25553572</v>
      </c>
    </row>
    <row r="18" spans="1:13" s="18" customFormat="1" outlineLevel="2">
      <c r="A18" s="19" t="s">
        <v>80</v>
      </c>
      <c r="B18" s="20" t="s">
        <v>16</v>
      </c>
      <c r="C18" s="21" t="s">
        <v>57</v>
      </c>
      <c r="D18" s="20"/>
      <c r="E18" s="3"/>
      <c r="F18" s="19"/>
      <c r="G18" s="3">
        <v>25553572</v>
      </c>
      <c r="H18" s="2">
        <v>5.0000000000000001E-3</v>
      </c>
      <c r="I18" s="19">
        <v>43997</v>
      </c>
      <c r="J18" s="19">
        <v>44012</v>
      </c>
      <c r="K18" s="3">
        <f t="shared" si="2"/>
        <v>16</v>
      </c>
      <c r="L18" s="3">
        <f t="shared" si="3"/>
        <v>5585</v>
      </c>
      <c r="M18" s="3"/>
    </row>
    <row r="19" spans="1:13" s="18" customFormat="1" outlineLevel="2">
      <c r="A19" s="19" t="s">
        <v>80</v>
      </c>
      <c r="B19" s="20" t="s">
        <v>23</v>
      </c>
      <c r="C19" s="21" t="s">
        <v>74</v>
      </c>
      <c r="D19" s="20" t="s">
        <v>73</v>
      </c>
      <c r="E19" s="3">
        <v>90000000</v>
      </c>
      <c r="F19" s="19">
        <v>43913</v>
      </c>
      <c r="G19" s="3">
        <v>90000000</v>
      </c>
      <c r="H19" s="2">
        <v>5.0000000000000001E-3</v>
      </c>
      <c r="I19" s="19">
        <v>43983</v>
      </c>
      <c r="J19" s="19">
        <v>44012</v>
      </c>
      <c r="K19" s="3">
        <f t="shared" si="2"/>
        <v>30</v>
      </c>
      <c r="L19" s="3">
        <f t="shared" si="3"/>
        <v>36885</v>
      </c>
      <c r="M19" s="3">
        <v>90000000</v>
      </c>
    </row>
    <row r="20" spans="1:13" s="18" customFormat="1" outlineLevel="2">
      <c r="A20" s="19" t="s">
        <v>80</v>
      </c>
      <c r="B20" s="20" t="s">
        <v>29</v>
      </c>
      <c r="C20" s="21" t="s">
        <v>57</v>
      </c>
      <c r="D20" s="20" t="s">
        <v>56</v>
      </c>
      <c r="E20" s="3">
        <v>23500000</v>
      </c>
      <c r="F20" s="19">
        <v>43928</v>
      </c>
      <c r="G20" s="3">
        <v>22940474</v>
      </c>
      <c r="H20" s="2">
        <v>5.0000000000000001E-3</v>
      </c>
      <c r="I20" s="19">
        <v>43983</v>
      </c>
      <c r="J20" s="19">
        <v>43996</v>
      </c>
      <c r="K20" s="3">
        <f t="shared" si="2"/>
        <v>14</v>
      </c>
      <c r="L20" s="3">
        <f t="shared" si="3"/>
        <v>4388</v>
      </c>
      <c r="M20" s="3">
        <v>22660711</v>
      </c>
    </row>
    <row r="21" spans="1:13" s="18" customFormat="1" outlineLevel="2">
      <c r="A21" s="19" t="s">
        <v>80</v>
      </c>
      <c r="B21" s="20" t="s">
        <v>29</v>
      </c>
      <c r="C21" s="21" t="s">
        <v>57</v>
      </c>
      <c r="D21" s="20"/>
      <c r="E21" s="3"/>
      <c r="F21" s="19"/>
      <c r="G21" s="3">
        <v>22660711</v>
      </c>
      <c r="H21" s="2">
        <v>5.0000000000000001E-3</v>
      </c>
      <c r="I21" s="19">
        <v>43997</v>
      </c>
      <c r="J21" s="19">
        <v>44012</v>
      </c>
      <c r="K21" s="3">
        <f t="shared" si="2"/>
        <v>16</v>
      </c>
      <c r="L21" s="3">
        <f t="shared" si="3"/>
        <v>4953</v>
      </c>
      <c r="M21" s="3"/>
    </row>
    <row r="22" spans="1:13" s="18" customFormat="1" outlineLevel="2">
      <c r="A22" s="19" t="s">
        <v>80</v>
      </c>
      <c r="B22" s="20" t="s">
        <v>30</v>
      </c>
      <c r="C22" s="21" t="s">
        <v>137</v>
      </c>
      <c r="D22" s="20" t="s">
        <v>136</v>
      </c>
      <c r="E22" s="3">
        <v>7000000</v>
      </c>
      <c r="F22" s="19">
        <v>44004</v>
      </c>
      <c r="G22" s="3">
        <v>7000000</v>
      </c>
      <c r="H22" s="2">
        <v>5.0000000000000001E-3</v>
      </c>
      <c r="I22" s="19">
        <v>44004</v>
      </c>
      <c r="J22" s="19">
        <v>44012</v>
      </c>
      <c r="K22" s="3">
        <f t="shared" si="2"/>
        <v>9</v>
      </c>
      <c r="L22" s="3">
        <f t="shared" si="3"/>
        <v>861</v>
      </c>
      <c r="M22" s="3">
        <v>7000000</v>
      </c>
    </row>
    <row r="23" spans="1:13" s="18" customFormat="1" outlineLevel="2">
      <c r="A23" s="19" t="s">
        <v>80</v>
      </c>
      <c r="B23" s="20" t="s">
        <v>31</v>
      </c>
      <c r="C23" s="21" t="s">
        <v>135</v>
      </c>
      <c r="D23" s="20" t="s">
        <v>134</v>
      </c>
      <c r="E23" s="3">
        <v>298410000</v>
      </c>
      <c r="F23" s="19">
        <v>44006</v>
      </c>
      <c r="G23" s="3">
        <v>298410000</v>
      </c>
      <c r="H23" s="2">
        <v>5.0000000000000001E-3</v>
      </c>
      <c r="I23" s="19">
        <v>44006</v>
      </c>
      <c r="J23" s="19">
        <v>44012</v>
      </c>
      <c r="K23" s="3">
        <f t="shared" si="2"/>
        <v>7</v>
      </c>
      <c r="L23" s="3">
        <f t="shared" si="3"/>
        <v>28536</v>
      </c>
      <c r="M23" s="3">
        <v>298410000</v>
      </c>
    </row>
    <row r="24" spans="1:13" s="18" customFormat="1" outlineLevel="2">
      <c r="A24" s="19" t="s">
        <v>80</v>
      </c>
      <c r="B24" s="20" t="s">
        <v>32</v>
      </c>
      <c r="C24" s="21" t="s">
        <v>135</v>
      </c>
      <c r="D24" s="20" t="s">
        <v>134</v>
      </c>
      <c r="E24" s="3">
        <v>95370000</v>
      </c>
      <c r="F24" s="19">
        <v>44006</v>
      </c>
      <c r="G24" s="3">
        <v>95370000</v>
      </c>
      <c r="H24" s="2">
        <v>5.0000000000000001E-3</v>
      </c>
      <c r="I24" s="19">
        <v>44006</v>
      </c>
      <c r="J24" s="19">
        <v>44012</v>
      </c>
      <c r="K24" s="3">
        <f t="shared" si="2"/>
        <v>7</v>
      </c>
      <c r="L24" s="3">
        <f t="shared" si="3"/>
        <v>9120</v>
      </c>
      <c r="M24" s="3">
        <v>95370000</v>
      </c>
    </row>
    <row r="25" spans="1:13" s="18" customFormat="1" ht="13.5" outlineLevel="1">
      <c r="A25" s="22" t="s">
        <v>79</v>
      </c>
      <c r="B25" s="23"/>
      <c r="C25" s="24"/>
      <c r="D25" s="23"/>
      <c r="E25" s="25">
        <f>SUBTOTAL(9,E17:E24)</f>
        <v>540780000</v>
      </c>
      <c r="F25" s="26"/>
      <c r="G25" s="25"/>
      <c r="H25" s="27"/>
      <c r="I25" s="26"/>
      <c r="J25" s="26"/>
      <c r="K25" s="25"/>
      <c r="L25" s="25">
        <f>SUBTOTAL(9,L17:L24)</f>
        <v>95276</v>
      </c>
      <c r="M25" s="25">
        <f>SUBTOTAL(9,M17:M24)</f>
        <v>538994283</v>
      </c>
    </row>
    <row r="26" spans="1:13" s="18" customFormat="1" outlineLevel="2">
      <c r="A26" s="19" t="s">
        <v>78</v>
      </c>
      <c r="B26" s="20" t="s">
        <v>16</v>
      </c>
      <c r="C26" s="21" t="s">
        <v>77</v>
      </c>
      <c r="D26" s="20" t="s">
        <v>76</v>
      </c>
      <c r="E26" s="3">
        <v>81465386</v>
      </c>
      <c r="F26" s="19">
        <v>43900</v>
      </c>
      <c r="G26" s="3">
        <v>81465386</v>
      </c>
      <c r="H26" s="2">
        <v>5.0000000000000001E-3</v>
      </c>
      <c r="I26" s="19">
        <v>43983</v>
      </c>
      <c r="J26" s="19">
        <v>44012</v>
      </c>
      <c r="K26" s="3">
        <f t="shared" ref="K26:K42" si="4">J26-I26+1</f>
        <v>30</v>
      </c>
      <c r="L26" s="3">
        <f t="shared" ref="L26:L42" si="5">ROUND(G26*H26*K26/366,0)</f>
        <v>33387</v>
      </c>
      <c r="M26" s="3">
        <v>81465386</v>
      </c>
    </row>
    <row r="27" spans="1:13" s="18" customFormat="1" outlineLevel="2">
      <c r="A27" s="19" t="s">
        <v>78</v>
      </c>
      <c r="B27" s="20" t="s">
        <v>61</v>
      </c>
      <c r="C27" s="21" t="s">
        <v>95</v>
      </c>
      <c r="D27" s="20" t="s">
        <v>94</v>
      </c>
      <c r="E27" s="3">
        <v>8860000</v>
      </c>
      <c r="F27" s="19">
        <v>43997</v>
      </c>
      <c r="G27" s="3">
        <v>8860000</v>
      </c>
      <c r="H27" s="2">
        <v>5.0000000000000001E-3</v>
      </c>
      <c r="I27" s="19">
        <v>43997</v>
      </c>
      <c r="J27" s="19">
        <v>44012</v>
      </c>
      <c r="K27" s="3">
        <f t="shared" si="4"/>
        <v>16</v>
      </c>
      <c r="L27" s="3">
        <f t="shared" si="5"/>
        <v>1937</v>
      </c>
      <c r="M27" s="3">
        <v>8860000</v>
      </c>
    </row>
    <row r="28" spans="1:13" s="18" customFormat="1" outlineLevel="2">
      <c r="A28" s="19" t="s">
        <v>78</v>
      </c>
      <c r="B28" s="20" t="s">
        <v>60</v>
      </c>
      <c r="C28" s="21" t="s">
        <v>93</v>
      </c>
      <c r="D28" s="20" t="s">
        <v>92</v>
      </c>
      <c r="E28" s="3">
        <v>20390000</v>
      </c>
      <c r="F28" s="19">
        <v>43997</v>
      </c>
      <c r="G28" s="3">
        <v>20390000</v>
      </c>
      <c r="H28" s="2">
        <v>5.0000000000000001E-3</v>
      </c>
      <c r="I28" s="19">
        <v>43997</v>
      </c>
      <c r="J28" s="19">
        <v>44012</v>
      </c>
      <c r="K28" s="3">
        <f t="shared" si="4"/>
        <v>16</v>
      </c>
      <c r="L28" s="3">
        <f t="shared" si="5"/>
        <v>4457</v>
      </c>
      <c r="M28" s="3">
        <v>20390000</v>
      </c>
    </row>
    <row r="29" spans="1:13" s="18" customFormat="1" outlineLevel="2">
      <c r="A29" s="19" t="s">
        <v>78</v>
      </c>
      <c r="B29" s="20" t="s">
        <v>66</v>
      </c>
      <c r="C29" s="21" t="s">
        <v>93</v>
      </c>
      <c r="D29" s="20" t="s">
        <v>92</v>
      </c>
      <c r="E29" s="3">
        <v>69600000</v>
      </c>
      <c r="F29" s="19">
        <v>43997</v>
      </c>
      <c r="G29" s="3">
        <v>69600000</v>
      </c>
      <c r="H29" s="2">
        <v>5.0000000000000001E-3</v>
      </c>
      <c r="I29" s="19">
        <v>43997</v>
      </c>
      <c r="J29" s="19">
        <v>44012</v>
      </c>
      <c r="K29" s="3">
        <f t="shared" si="4"/>
        <v>16</v>
      </c>
      <c r="L29" s="3">
        <f t="shared" si="5"/>
        <v>15213</v>
      </c>
      <c r="M29" s="3">
        <v>69600000</v>
      </c>
    </row>
    <row r="30" spans="1:13" s="18" customFormat="1" outlineLevel="2">
      <c r="A30" s="19" t="s">
        <v>78</v>
      </c>
      <c r="B30" s="20" t="s">
        <v>65</v>
      </c>
      <c r="C30" s="21" t="s">
        <v>77</v>
      </c>
      <c r="D30" s="20" t="s">
        <v>76</v>
      </c>
      <c r="E30" s="3">
        <v>16630000</v>
      </c>
      <c r="F30" s="19">
        <v>44011</v>
      </c>
      <c r="G30" s="3">
        <v>16630000</v>
      </c>
      <c r="H30" s="2">
        <v>5.0000000000000001E-3</v>
      </c>
      <c r="I30" s="19">
        <v>44011</v>
      </c>
      <c r="J30" s="19">
        <v>44012</v>
      </c>
      <c r="K30" s="3">
        <f t="shared" si="4"/>
        <v>2</v>
      </c>
      <c r="L30" s="3">
        <f t="shared" si="5"/>
        <v>454</v>
      </c>
      <c r="M30" s="3">
        <v>16630000</v>
      </c>
    </row>
    <row r="31" spans="1:13" s="18" customFormat="1" outlineLevel="2">
      <c r="A31" s="19" t="s">
        <v>78</v>
      </c>
      <c r="B31" s="20" t="s">
        <v>23</v>
      </c>
      <c r="C31" s="21" t="s">
        <v>95</v>
      </c>
      <c r="D31" s="20" t="s">
        <v>94</v>
      </c>
      <c r="E31" s="3">
        <v>6200000</v>
      </c>
      <c r="F31" s="19">
        <v>43929</v>
      </c>
      <c r="G31" s="3">
        <v>6200000</v>
      </c>
      <c r="H31" s="2">
        <v>5.0000000000000001E-3</v>
      </c>
      <c r="I31" s="19">
        <v>43983</v>
      </c>
      <c r="J31" s="19">
        <v>44012</v>
      </c>
      <c r="K31" s="3">
        <f t="shared" si="4"/>
        <v>30</v>
      </c>
      <c r="L31" s="3">
        <f t="shared" si="5"/>
        <v>2541</v>
      </c>
      <c r="M31" s="3">
        <v>6200000</v>
      </c>
    </row>
    <row r="32" spans="1:13" s="18" customFormat="1" outlineLevel="2">
      <c r="A32" s="19" t="s">
        <v>78</v>
      </c>
      <c r="B32" s="20" t="s">
        <v>29</v>
      </c>
      <c r="C32" s="21" t="s">
        <v>95</v>
      </c>
      <c r="D32" s="20" t="s">
        <v>94</v>
      </c>
      <c r="E32" s="3">
        <v>23630000</v>
      </c>
      <c r="F32" s="19">
        <v>43936</v>
      </c>
      <c r="G32" s="3">
        <v>23630000</v>
      </c>
      <c r="H32" s="2">
        <v>5.0000000000000001E-3</v>
      </c>
      <c r="I32" s="19">
        <v>43983</v>
      </c>
      <c r="J32" s="19">
        <v>44012</v>
      </c>
      <c r="K32" s="3">
        <f t="shared" si="4"/>
        <v>30</v>
      </c>
      <c r="L32" s="3">
        <f t="shared" si="5"/>
        <v>9684</v>
      </c>
      <c r="M32" s="3">
        <v>23630000</v>
      </c>
    </row>
    <row r="33" spans="1:13" s="18" customFormat="1" outlineLevel="2">
      <c r="A33" s="19" t="s">
        <v>78</v>
      </c>
      <c r="B33" s="20" t="s">
        <v>30</v>
      </c>
      <c r="C33" s="21" t="s">
        <v>72</v>
      </c>
      <c r="D33" s="20" t="s">
        <v>71</v>
      </c>
      <c r="E33" s="3">
        <v>24000000</v>
      </c>
      <c r="F33" s="19">
        <v>43937</v>
      </c>
      <c r="G33" s="3">
        <v>23800000</v>
      </c>
      <c r="H33" s="2">
        <v>5.0000000000000001E-3</v>
      </c>
      <c r="I33" s="19">
        <v>43983</v>
      </c>
      <c r="J33" s="19">
        <v>43996</v>
      </c>
      <c r="K33" s="3">
        <f t="shared" si="4"/>
        <v>14</v>
      </c>
      <c r="L33" s="3">
        <f t="shared" si="5"/>
        <v>4552</v>
      </c>
      <c r="M33" s="3">
        <v>23600000</v>
      </c>
    </row>
    <row r="34" spans="1:13" s="18" customFormat="1" outlineLevel="2">
      <c r="A34" s="19" t="s">
        <v>78</v>
      </c>
      <c r="B34" s="20" t="s">
        <v>30</v>
      </c>
      <c r="C34" s="21" t="s">
        <v>72</v>
      </c>
      <c r="D34" s="20"/>
      <c r="E34" s="3"/>
      <c r="F34" s="19"/>
      <c r="G34" s="3">
        <v>23600000</v>
      </c>
      <c r="H34" s="2">
        <v>5.0000000000000001E-3</v>
      </c>
      <c r="I34" s="19">
        <v>43997</v>
      </c>
      <c r="J34" s="19">
        <v>44012</v>
      </c>
      <c r="K34" s="3">
        <f t="shared" si="4"/>
        <v>16</v>
      </c>
      <c r="L34" s="3">
        <f t="shared" si="5"/>
        <v>5158</v>
      </c>
      <c r="M34" s="3"/>
    </row>
    <row r="35" spans="1:13" s="18" customFormat="1" outlineLevel="2">
      <c r="A35" s="19" t="s">
        <v>78</v>
      </c>
      <c r="B35" s="20" t="s">
        <v>31</v>
      </c>
      <c r="C35" s="21" t="s">
        <v>93</v>
      </c>
      <c r="D35" s="20" t="s">
        <v>92</v>
      </c>
      <c r="E35" s="3">
        <v>28240000</v>
      </c>
      <c r="F35" s="19">
        <v>43951</v>
      </c>
      <c r="G35" s="3">
        <v>27903810</v>
      </c>
      <c r="H35" s="2">
        <v>5.0000000000000001E-3</v>
      </c>
      <c r="I35" s="19">
        <v>43983</v>
      </c>
      <c r="J35" s="19">
        <v>43996</v>
      </c>
      <c r="K35" s="3">
        <f t="shared" si="4"/>
        <v>14</v>
      </c>
      <c r="L35" s="3">
        <f t="shared" si="5"/>
        <v>5337</v>
      </c>
      <c r="M35" s="3">
        <v>27567620</v>
      </c>
    </row>
    <row r="36" spans="1:13" s="18" customFormat="1" outlineLevel="2">
      <c r="A36" s="19" t="s">
        <v>78</v>
      </c>
      <c r="B36" s="20" t="s">
        <v>31</v>
      </c>
      <c r="C36" s="21" t="s">
        <v>93</v>
      </c>
      <c r="D36" s="20"/>
      <c r="E36" s="3"/>
      <c r="F36" s="19"/>
      <c r="G36" s="3">
        <v>27567620</v>
      </c>
      <c r="H36" s="2">
        <v>5.0000000000000001E-3</v>
      </c>
      <c r="I36" s="19">
        <v>43997</v>
      </c>
      <c r="J36" s="19">
        <v>44012</v>
      </c>
      <c r="K36" s="3">
        <f t="shared" si="4"/>
        <v>16</v>
      </c>
      <c r="L36" s="3">
        <f t="shared" si="5"/>
        <v>6026</v>
      </c>
      <c r="M36" s="3"/>
    </row>
    <row r="37" spans="1:13" s="18" customFormat="1" outlineLevel="2">
      <c r="A37" s="19" t="s">
        <v>78</v>
      </c>
      <c r="B37" s="20" t="s">
        <v>32</v>
      </c>
      <c r="C37" s="21" t="s">
        <v>95</v>
      </c>
      <c r="D37" s="20" t="s">
        <v>94</v>
      </c>
      <c r="E37" s="3">
        <v>8000000</v>
      </c>
      <c r="F37" s="19">
        <v>43957</v>
      </c>
      <c r="G37" s="3">
        <v>7866667</v>
      </c>
      <c r="H37" s="2">
        <v>5.0000000000000001E-3</v>
      </c>
      <c r="I37" s="19">
        <v>43983</v>
      </c>
      <c r="J37" s="19">
        <v>43996</v>
      </c>
      <c r="K37" s="3">
        <f t="shared" si="4"/>
        <v>14</v>
      </c>
      <c r="L37" s="3">
        <f t="shared" si="5"/>
        <v>1505</v>
      </c>
      <c r="M37" s="3">
        <v>7733334</v>
      </c>
    </row>
    <row r="38" spans="1:13" s="18" customFormat="1" outlineLevel="2">
      <c r="A38" s="19" t="s">
        <v>78</v>
      </c>
      <c r="B38" s="20" t="s">
        <v>32</v>
      </c>
      <c r="C38" s="21" t="s">
        <v>95</v>
      </c>
      <c r="D38" s="20"/>
      <c r="E38" s="3"/>
      <c r="F38" s="19"/>
      <c r="G38" s="3">
        <v>7733334</v>
      </c>
      <c r="H38" s="2">
        <v>5.0000000000000001E-3</v>
      </c>
      <c r="I38" s="19">
        <v>43997</v>
      </c>
      <c r="J38" s="19">
        <v>44012</v>
      </c>
      <c r="K38" s="3">
        <f t="shared" si="4"/>
        <v>16</v>
      </c>
      <c r="L38" s="3">
        <f t="shared" si="5"/>
        <v>1690</v>
      </c>
      <c r="M38" s="3"/>
    </row>
    <row r="39" spans="1:13" s="18" customFormat="1" outlineLevel="2">
      <c r="A39" s="19" t="s">
        <v>78</v>
      </c>
      <c r="B39" s="20" t="s">
        <v>48</v>
      </c>
      <c r="C39" s="21" t="s">
        <v>95</v>
      </c>
      <c r="D39" s="20" t="s">
        <v>94</v>
      </c>
      <c r="E39" s="3">
        <v>5910000</v>
      </c>
      <c r="F39" s="19">
        <v>43966</v>
      </c>
      <c r="G39" s="3">
        <v>5910000</v>
      </c>
      <c r="H39" s="2">
        <v>5.0000000000000001E-3</v>
      </c>
      <c r="I39" s="19">
        <v>43983</v>
      </c>
      <c r="J39" s="19">
        <v>44012</v>
      </c>
      <c r="K39" s="3">
        <f t="shared" si="4"/>
        <v>30</v>
      </c>
      <c r="L39" s="3">
        <f t="shared" si="5"/>
        <v>2422</v>
      </c>
      <c r="M39" s="3">
        <v>5910000</v>
      </c>
    </row>
    <row r="40" spans="1:13" s="18" customFormat="1" outlineLevel="2">
      <c r="A40" s="19" t="s">
        <v>78</v>
      </c>
      <c r="B40" s="20" t="s">
        <v>59</v>
      </c>
      <c r="C40" s="21" t="s">
        <v>93</v>
      </c>
      <c r="D40" s="20" t="s">
        <v>92</v>
      </c>
      <c r="E40" s="3">
        <v>20510000</v>
      </c>
      <c r="F40" s="19">
        <v>43966</v>
      </c>
      <c r="G40" s="3">
        <v>20510000</v>
      </c>
      <c r="H40" s="2">
        <v>5.0000000000000001E-3</v>
      </c>
      <c r="I40" s="19">
        <v>43983</v>
      </c>
      <c r="J40" s="19">
        <v>43996</v>
      </c>
      <c r="K40" s="3">
        <f t="shared" si="4"/>
        <v>14</v>
      </c>
      <c r="L40" s="3">
        <f t="shared" si="5"/>
        <v>3923</v>
      </c>
      <c r="M40" s="3">
        <v>20262892</v>
      </c>
    </row>
    <row r="41" spans="1:13" s="18" customFormat="1" outlineLevel="2">
      <c r="A41" s="19" t="s">
        <v>78</v>
      </c>
      <c r="B41" s="20" t="s">
        <v>59</v>
      </c>
      <c r="C41" s="21" t="s">
        <v>93</v>
      </c>
      <c r="D41" s="20"/>
      <c r="E41" s="3"/>
      <c r="F41" s="19"/>
      <c r="G41" s="3">
        <v>20262892</v>
      </c>
      <c r="H41" s="2">
        <v>5.0000000000000001E-3</v>
      </c>
      <c r="I41" s="19">
        <v>43997</v>
      </c>
      <c r="J41" s="19">
        <v>44012</v>
      </c>
      <c r="K41" s="3">
        <f t="shared" si="4"/>
        <v>16</v>
      </c>
      <c r="L41" s="3">
        <f t="shared" si="5"/>
        <v>4429</v>
      </c>
      <c r="M41" s="3"/>
    </row>
    <row r="42" spans="1:13" s="18" customFormat="1" outlineLevel="2">
      <c r="A42" s="19" t="s">
        <v>78</v>
      </c>
      <c r="B42" s="20" t="s">
        <v>58</v>
      </c>
      <c r="C42" s="21" t="s">
        <v>77</v>
      </c>
      <c r="D42" s="20" t="s">
        <v>76</v>
      </c>
      <c r="E42" s="3">
        <v>33960000</v>
      </c>
      <c r="F42" s="19">
        <v>43978</v>
      </c>
      <c r="G42" s="3">
        <v>33960000</v>
      </c>
      <c r="H42" s="2">
        <v>5.0000000000000001E-3</v>
      </c>
      <c r="I42" s="19">
        <v>43983</v>
      </c>
      <c r="J42" s="19">
        <v>44012</v>
      </c>
      <c r="K42" s="3">
        <f t="shared" si="4"/>
        <v>30</v>
      </c>
      <c r="L42" s="3">
        <f t="shared" si="5"/>
        <v>13918</v>
      </c>
      <c r="M42" s="3">
        <v>33960000</v>
      </c>
    </row>
    <row r="43" spans="1:13" s="18" customFormat="1" ht="13.5" outlineLevel="1">
      <c r="A43" s="22" t="s">
        <v>75</v>
      </c>
      <c r="B43" s="23"/>
      <c r="C43" s="24"/>
      <c r="D43" s="23"/>
      <c r="E43" s="25">
        <f>SUBTOTAL(9,E26:E42)</f>
        <v>347395386</v>
      </c>
      <c r="F43" s="26"/>
      <c r="G43" s="25"/>
      <c r="H43" s="27"/>
      <c r="I43" s="26"/>
      <c r="J43" s="26"/>
      <c r="K43" s="25"/>
      <c r="L43" s="25">
        <f>SUBTOTAL(9,L26:L42)</f>
        <v>116633</v>
      </c>
      <c r="M43" s="25">
        <f>SUBTOTAL(9,M26:M42)</f>
        <v>345809232</v>
      </c>
    </row>
    <row r="44" spans="1:13" s="18" customFormat="1" outlineLevel="2">
      <c r="A44" s="19" t="s">
        <v>20</v>
      </c>
      <c r="B44" s="20" t="s">
        <v>16</v>
      </c>
      <c r="C44" s="21" t="s">
        <v>21</v>
      </c>
      <c r="D44" s="20" t="s">
        <v>22</v>
      </c>
      <c r="E44" s="3">
        <v>69000000</v>
      </c>
      <c r="F44" s="19">
        <v>43822</v>
      </c>
      <c r="G44" s="3">
        <v>69000000</v>
      </c>
      <c r="H44" s="2">
        <v>5.0000000000000001E-3</v>
      </c>
      <c r="I44" s="19">
        <v>43983</v>
      </c>
      <c r="J44" s="19">
        <v>44012</v>
      </c>
      <c r="K44" s="3">
        <f t="shared" ref="K44:K55" si="6">J44-I44+1</f>
        <v>30</v>
      </c>
      <c r="L44" s="3">
        <f t="shared" ref="L44:L55" si="7">ROUND(G44*H44*K44/366,0)</f>
        <v>28279</v>
      </c>
      <c r="M44" s="3">
        <v>69000000</v>
      </c>
    </row>
    <row r="45" spans="1:13" s="18" customFormat="1" outlineLevel="2">
      <c r="A45" s="19" t="s">
        <v>20</v>
      </c>
      <c r="B45" s="20" t="s">
        <v>61</v>
      </c>
      <c r="C45" s="21" t="s">
        <v>133</v>
      </c>
      <c r="D45" s="20" t="s">
        <v>132</v>
      </c>
      <c r="E45" s="3">
        <v>247700000</v>
      </c>
      <c r="F45" s="19">
        <v>43985</v>
      </c>
      <c r="G45" s="3">
        <v>247700000</v>
      </c>
      <c r="H45" s="2">
        <v>5.0000000000000001E-3</v>
      </c>
      <c r="I45" s="19">
        <v>43985</v>
      </c>
      <c r="J45" s="19">
        <v>44012</v>
      </c>
      <c r="K45" s="3">
        <f t="shared" si="6"/>
        <v>28</v>
      </c>
      <c r="L45" s="3">
        <f t="shared" si="7"/>
        <v>94749</v>
      </c>
      <c r="M45" s="3">
        <v>247700000</v>
      </c>
    </row>
    <row r="46" spans="1:13" s="18" customFormat="1" outlineLevel="2">
      <c r="A46" s="19" t="s">
        <v>20</v>
      </c>
      <c r="B46" s="20" t="s">
        <v>60</v>
      </c>
      <c r="C46" s="21" t="s">
        <v>131</v>
      </c>
      <c r="D46" s="20" t="s">
        <v>110</v>
      </c>
      <c r="E46" s="3">
        <v>18612000</v>
      </c>
      <c r="F46" s="19">
        <v>43997</v>
      </c>
      <c r="G46" s="3">
        <v>18612000</v>
      </c>
      <c r="H46" s="2">
        <v>5.0000000000000001E-3</v>
      </c>
      <c r="I46" s="19">
        <v>43997</v>
      </c>
      <c r="J46" s="19">
        <v>44012</v>
      </c>
      <c r="K46" s="3">
        <f t="shared" si="6"/>
        <v>16</v>
      </c>
      <c r="L46" s="3">
        <f t="shared" si="7"/>
        <v>4068</v>
      </c>
      <c r="M46" s="3">
        <v>18612000</v>
      </c>
    </row>
    <row r="47" spans="1:13" s="18" customFormat="1" outlineLevel="2">
      <c r="A47" s="19" t="s">
        <v>20</v>
      </c>
      <c r="B47" s="20" t="s">
        <v>23</v>
      </c>
      <c r="C47" s="21" t="s">
        <v>24</v>
      </c>
      <c r="D47" s="20" t="s">
        <v>18</v>
      </c>
      <c r="E47" s="3">
        <v>162300000</v>
      </c>
      <c r="F47" s="19">
        <v>43829</v>
      </c>
      <c r="G47" s="3">
        <v>148775000</v>
      </c>
      <c r="H47" s="2">
        <v>5.0000000000000001E-3</v>
      </c>
      <c r="I47" s="19">
        <v>43983</v>
      </c>
      <c r="J47" s="19">
        <v>43996</v>
      </c>
      <c r="K47" s="3">
        <f t="shared" si="6"/>
        <v>14</v>
      </c>
      <c r="L47" s="3">
        <f t="shared" si="7"/>
        <v>28454</v>
      </c>
      <c r="M47" s="3">
        <v>146070000</v>
      </c>
    </row>
    <row r="48" spans="1:13" s="18" customFormat="1" outlineLevel="2">
      <c r="A48" s="19" t="s">
        <v>20</v>
      </c>
      <c r="B48" s="20" t="s">
        <v>23</v>
      </c>
      <c r="C48" s="21" t="s">
        <v>24</v>
      </c>
      <c r="D48" s="20"/>
      <c r="E48" s="3"/>
      <c r="F48" s="19"/>
      <c r="G48" s="3">
        <v>146070000</v>
      </c>
      <c r="H48" s="2">
        <v>5.0000000000000001E-3</v>
      </c>
      <c r="I48" s="19">
        <v>43997</v>
      </c>
      <c r="J48" s="19">
        <v>44012</v>
      </c>
      <c r="K48" s="3">
        <f t="shared" si="6"/>
        <v>16</v>
      </c>
      <c r="L48" s="3">
        <f t="shared" si="7"/>
        <v>31928</v>
      </c>
      <c r="M48" s="3"/>
    </row>
    <row r="49" spans="1:13" s="18" customFormat="1" outlineLevel="2">
      <c r="A49" s="19" t="s">
        <v>20</v>
      </c>
      <c r="B49" s="20" t="s">
        <v>29</v>
      </c>
      <c r="C49" s="21" t="s">
        <v>69</v>
      </c>
      <c r="D49" s="20" t="s">
        <v>68</v>
      </c>
      <c r="E49" s="3">
        <v>60000000</v>
      </c>
      <c r="F49" s="19">
        <v>43922</v>
      </c>
      <c r="G49" s="3">
        <v>60000000</v>
      </c>
      <c r="H49" s="2">
        <v>3.0000000000000001E-3</v>
      </c>
      <c r="I49" s="19">
        <v>43983</v>
      </c>
      <c r="J49" s="19">
        <v>44012</v>
      </c>
      <c r="K49" s="3">
        <f t="shared" si="6"/>
        <v>30</v>
      </c>
      <c r="L49" s="3">
        <f t="shared" si="7"/>
        <v>14754</v>
      </c>
      <c r="M49" s="3">
        <v>60000000</v>
      </c>
    </row>
    <row r="50" spans="1:13" s="18" customFormat="1" outlineLevel="2">
      <c r="A50" s="19" t="s">
        <v>20</v>
      </c>
      <c r="B50" s="20" t="s">
        <v>30</v>
      </c>
      <c r="C50" s="21" t="s">
        <v>69</v>
      </c>
      <c r="D50" s="20" t="s">
        <v>68</v>
      </c>
      <c r="E50" s="3">
        <v>144000000</v>
      </c>
      <c r="F50" s="19">
        <v>43922</v>
      </c>
      <c r="G50" s="3">
        <v>144000000</v>
      </c>
      <c r="H50" s="2">
        <v>5.0000000000000001E-3</v>
      </c>
      <c r="I50" s="19">
        <v>43983</v>
      </c>
      <c r="J50" s="19">
        <v>44012</v>
      </c>
      <c r="K50" s="3">
        <f t="shared" si="6"/>
        <v>30</v>
      </c>
      <c r="L50" s="3">
        <f t="shared" si="7"/>
        <v>59016</v>
      </c>
      <c r="M50" s="3">
        <v>144000000</v>
      </c>
    </row>
    <row r="51" spans="1:13" s="18" customFormat="1" outlineLevel="2">
      <c r="A51" s="19" t="s">
        <v>20</v>
      </c>
      <c r="B51" s="20" t="s">
        <v>31</v>
      </c>
      <c r="C51" s="21" t="s">
        <v>115</v>
      </c>
      <c r="D51" s="20" t="s">
        <v>114</v>
      </c>
      <c r="E51" s="3">
        <v>34480000</v>
      </c>
      <c r="F51" s="19">
        <v>43980</v>
      </c>
      <c r="G51" s="3">
        <v>34480000</v>
      </c>
      <c r="H51" s="2">
        <v>5.0000000000000001E-3</v>
      </c>
      <c r="I51" s="19">
        <v>43983</v>
      </c>
      <c r="J51" s="19">
        <v>44012</v>
      </c>
      <c r="K51" s="3">
        <f t="shared" si="6"/>
        <v>30</v>
      </c>
      <c r="L51" s="3">
        <f t="shared" si="7"/>
        <v>14131</v>
      </c>
      <c r="M51" s="3">
        <v>34480000</v>
      </c>
    </row>
    <row r="52" spans="1:13" s="18" customFormat="1" outlineLevel="2">
      <c r="A52" s="19" t="s">
        <v>20</v>
      </c>
      <c r="B52" s="20" t="s">
        <v>32</v>
      </c>
      <c r="C52" s="21" t="s">
        <v>113</v>
      </c>
      <c r="D52" s="20" t="s">
        <v>112</v>
      </c>
      <c r="E52" s="3">
        <v>56000000</v>
      </c>
      <c r="F52" s="19">
        <v>43966</v>
      </c>
      <c r="G52" s="3">
        <v>56000000</v>
      </c>
      <c r="H52" s="2">
        <v>5.0000000000000001E-3</v>
      </c>
      <c r="I52" s="19">
        <v>43983</v>
      </c>
      <c r="J52" s="19">
        <v>44012</v>
      </c>
      <c r="K52" s="3">
        <f t="shared" si="6"/>
        <v>30</v>
      </c>
      <c r="L52" s="3">
        <f t="shared" si="7"/>
        <v>22951</v>
      </c>
      <c r="M52" s="3">
        <v>56000000</v>
      </c>
    </row>
    <row r="53" spans="1:13" s="18" customFormat="1" outlineLevel="2">
      <c r="A53" s="19" t="s">
        <v>20</v>
      </c>
      <c r="B53" s="20" t="s">
        <v>48</v>
      </c>
      <c r="C53" s="21" t="s">
        <v>69</v>
      </c>
      <c r="D53" s="20" t="s">
        <v>68</v>
      </c>
      <c r="E53" s="3">
        <v>150000000</v>
      </c>
      <c r="F53" s="19">
        <v>43958</v>
      </c>
      <c r="G53" s="3">
        <v>150000000</v>
      </c>
      <c r="H53" s="2">
        <v>5.0000000000000001E-3</v>
      </c>
      <c r="I53" s="19">
        <v>43983</v>
      </c>
      <c r="J53" s="19">
        <v>44012</v>
      </c>
      <c r="K53" s="3">
        <f t="shared" si="6"/>
        <v>30</v>
      </c>
      <c r="L53" s="3">
        <f t="shared" si="7"/>
        <v>61475</v>
      </c>
      <c r="M53" s="3">
        <v>150000000</v>
      </c>
    </row>
    <row r="54" spans="1:13" s="18" customFormat="1" outlineLevel="2">
      <c r="A54" s="19" t="s">
        <v>20</v>
      </c>
      <c r="B54" s="20" t="s">
        <v>59</v>
      </c>
      <c r="C54" s="21" t="s">
        <v>115</v>
      </c>
      <c r="D54" s="20" t="s">
        <v>114</v>
      </c>
      <c r="E54" s="3">
        <v>5000000</v>
      </c>
      <c r="F54" s="19">
        <v>43998</v>
      </c>
      <c r="G54" s="3">
        <v>5000000</v>
      </c>
      <c r="H54" s="2">
        <v>5.0000000000000001E-3</v>
      </c>
      <c r="I54" s="19">
        <v>43998</v>
      </c>
      <c r="J54" s="19">
        <v>44012</v>
      </c>
      <c r="K54" s="3">
        <f t="shared" si="6"/>
        <v>15</v>
      </c>
      <c r="L54" s="3">
        <f t="shared" si="7"/>
        <v>1025</v>
      </c>
      <c r="M54" s="3">
        <v>5000000</v>
      </c>
    </row>
    <row r="55" spans="1:13" s="18" customFormat="1" outlineLevel="2">
      <c r="A55" s="19" t="s">
        <v>20</v>
      </c>
      <c r="B55" s="20" t="s">
        <v>58</v>
      </c>
      <c r="C55" s="21" t="s">
        <v>115</v>
      </c>
      <c r="D55" s="20" t="s">
        <v>114</v>
      </c>
      <c r="E55" s="3">
        <v>17292000</v>
      </c>
      <c r="F55" s="19">
        <v>44002</v>
      </c>
      <c r="G55" s="3">
        <v>17292000</v>
      </c>
      <c r="H55" s="2">
        <v>5.0000000000000001E-3</v>
      </c>
      <c r="I55" s="19">
        <v>44002</v>
      </c>
      <c r="J55" s="19">
        <v>44012</v>
      </c>
      <c r="K55" s="3">
        <f t="shared" si="6"/>
        <v>11</v>
      </c>
      <c r="L55" s="3">
        <f t="shared" si="7"/>
        <v>2599</v>
      </c>
      <c r="M55" s="3">
        <v>17292000</v>
      </c>
    </row>
    <row r="56" spans="1:13" s="18" customFormat="1" ht="13.5" outlineLevel="1">
      <c r="A56" s="22" t="s">
        <v>25</v>
      </c>
      <c r="B56" s="23"/>
      <c r="C56" s="24"/>
      <c r="D56" s="23"/>
      <c r="E56" s="25">
        <f>SUBTOTAL(9,E44:E55)</f>
        <v>964384000</v>
      </c>
      <c r="F56" s="26"/>
      <c r="G56" s="25"/>
      <c r="H56" s="27"/>
      <c r="I56" s="26"/>
      <c r="J56" s="26"/>
      <c r="K56" s="25"/>
      <c r="L56" s="25">
        <f>SUBTOTAL(9,L44:L55)</f>
        <v>363429</v>
      </c>
      <c r="M56" s="25">
        <f>SUBTOTAL(9,M44:M55)</f>
        <v>948154000</v>
      </c>
    </row>
    <row r="57" spans="1:13" s="18" customFormat="1" outlineLevel="2">
      <c r="A57" s="19" t="s">
        <v>26</v>
      </c>
      <c r="B57" s="20" t="s">
        <v>16</v>
      </c>
      <c r="C57" s="21" t="s">
        <v>27</v>
      </c>
      <c r="D57" s="20" t="s">
        <v>28</v>
      </c>
      <c r="E57" s="3">
        <v>38000000</v>
      </c>
      <c r="F57" s="19">
        <v>43762</v>
      </c>
      <c r="G57" s="3">
        <v>38000000</v>
      </c>
      <c r="H57" s="2">
        <v>5.0000000000000001E-3</v>
      </c>
      <c r="I57" s="19">
        <v>43983</v>
      </c>
      <c r="J57" s="19">
        <v>44012</v>
      </c>
      <c r="K57" s="3">
        <f t="shared" ref="K57:K77" si="8">J57-I57+1</f>
        <v>30</v>
      </c>
      <c r="L57" s="3">
        <f t="shared" ref="L57:L77" si="9">ROUND(G57*H57*K57/366,0)</f>
        <v>15574</v>
      </c>
      <c r="M57" s="3">
        <v>38000000</v>
      </c>
    </row>
    <row r="58" spans="1:13" s="18" customFormat="1" outlineLevel="2">
      <c r="A58" s="19" t="s">
        <v>26</v>
      </c>
      <c r="B58" s="20" t="s">
        <v>61</v>
      </c>
      <c r="C58" s="21" t="s">
        <v>74</v>
      </c>
      <c r="D58" s="20" t="s">
        <v>73</v>
      </c>
      <c r="E58" s="3">
        <v>110000000</v>
      </c>
      <c r="F58" s="19">
        <v>43913</v>
      </c>
      <c r="G58" s="3">
        <v>110000000</v>
      </c>
      <c r="H58" s="2">
        <v>5.0000000000000001E-3</v>
      </c>
      <c r="I58" s="19">
        <v>43983</v>
      </c>
      <c r="J58" s="19">
        <v>44012</v>
      </c>
      <c r="K58" s="3">
        <f t="shared" si="8"/>
        <v>30</v>
      </c>
      <c r="L58" s="3">
        <f t="shared" si="9"/>
        <v>45082</v>
      </c>
      <c r="M58" s="3">
        <v>110000000</v>
      </c>
    </row>
    <row r="59" spans="1:13" s="18" customFormat="1" outlineLevel="2">
      <c r="A59" s="19" t="s">
        <v>26</v>
      </c>
      <c r="B59" s="20" t="s">
        <v>60</v>
      </c>
      <c r="C59" s="21" t="s">
        <v>33</v>
      </c>
      <c r="D59" s="20" t="s">
        <v>34</v>
      </c>
      <c r="E59" s="3">
        <v>95655336</v>
      </c>
      <c r="F59" s="19">
        <v>43951</v>
      </c>
      <c r="G59" s="3">
        <v>95655336</v>
      </c>
      <c r="H59" s="2">
        <v>5.0000000000000001E-3</v>
      </c>
      <c r="I59" s="19">
        <v>43983</v>
      </c>
      <c r="J59" s="19">
        <v>44012</v>
      </c>
      <c r="K59" s="3">
        <f t="shared" si="8"/>
        <v>30</v>
      </c>
      <c r="L59" s="3">
        <f t="shared" si="9"/>
        <v>39203</v>
      </c>
      <c r="M59" s="3">
        <v>95655336</v>
      </c>
    </row>
    <row r="60" spans="1:13" s="18" customFormat="1" outlineLevel="2">
      <c r="A60" s="19" t="s">
        <v>26</v>
      </c>
      <c r="B60" s="20" t="s">
        <v>66</v>
      </c>
      <c r="C60" s="21" t="s">
        <v>27</v>
      </c>
      <c r="D60" s="20" t="s">
        <v>28</v>
      </c>
      <c r="E60" s="3">
        <v>38000000</v>
      </c>
      <c r="F60" s="19">
        <v>43962</v>
      </c>
      <c r="G60" s="3">
        <v>38000000</v>
      </c>
      <c r="H60" s="2">
        <v>5.0000000000000001E-3</v>
      </c>
      <c r="I60" s="19">
        <v>43983</v>
      </c>
      <c r="J60" s="19">
        <v>44012</v>
      </c>
      <c r="K60" s="3">
        <f t="shared" si="8"/>
        <v>30</v>
      </c>
      <c r="L60" s="3">
        <f t="shared" si="9"/>
        <v>15574</v>
      </c>
      <c r="M60" s="3">
        <v>38000000</v>
      </c>
    </row>
    <row r="61" spans="1:13" s="18" customFormat="1" outlineLevel="2">
      <c r="A61" s="19" t="s">
        <v>26</v>
      </c>
      <c r="B61" s="20" t="s">
        <v>65</v>
      </c>
      <c r="C61" s="21" t="s">
        <v>27</v>
      </c>
      <c r="D61" s="20" t="s">
        <v>28</v>
      </c>
      <c r="E61" s="3">
        <v>10500000</v>
      </c>
      <c r="F61" s="19">
        <v>43962</v>
      </c>
      <c r="G61" s="3">
        <v>10500000</v>
      </c>
      <c r="H61" s="2">
        <v>5.0000000000000001E-3</v>
      </c>
      <c r="I61" s="19">
        <v>43983</v>
      </c>
      <c r="J61" s="19">
        <v>44012</v>
      </c>
      <c r="K61" s="3">
        <f t="shared" si="8"/>
        <v>30</v>
      </c>
      <c r="L61" s="3">
        <f t="shared" si="9"/>
        <v>4303</v>
      </c>
      <c r="M61" s="3">
        <v>10500000</v>
      </c>
    </row>
    <row r="62" spans="1:13" s="18" customFormat="1" outlineLevel="2">
      <c r="A62" s="19" t="s">
        <v>26</v>
      </c>
      <c r="B62" s="20" t="s">
        <v>64</v>
      </c>
      <c r="C62" s="21" t="s">
        <v>111</v>
      </c>
      <c r="D62" s="20" t="s">
        <v>110</v>
      </c>
      <c r="E62" s="3">
        <v>160000000</v>
      </c>
      <c r="F62" s="19">
        <v>43970</v>
      </c>
      <c r="G62" s="3">
        <v>160000000</v>
      </c>
      <c r="H62" s="2">
        <v>5.0000000000000001E-3</v>
      </c>
      <c r="I62" s="19">
        <v>43983</v>
      </c>
      <c r="J62" s="19">
        <v>44012</v>
      </c>
      <c r="K62" s="3">
        <f t="shared" si="8"/>
        <v>30</v>
      </c>
      <c r="L62" s="3">
        <f t="shared" si="9"/>
        <v>65574</v>
      </c>
      <c r="M62" s="3">
        <v>160000000</v>
      </c>
    </row>
    <row r="63" spans="1:13" s="18" customFormat="1" outlineLevel="2">
      <c r="A63" s="19" t="s">
        <v>26</v>
      </c>
      <c r="B63" s="20" t="s">
        <v>85</v>
      </c>
      <c r="C63" s="21" t="s">
        <v>109</v>
      </c>
      <c r="D63" s="20" t="s">
        <v>34</v>
      </c>
      <c r="E63" s="3">
        <v>13104000</v>
      </c>
      <c r="F63" s="19">
        <v>43979</v>
      </c>
      <c r="G63" s="3">
        <v>13104000</v>
      </c>
      <c r="H63" s="2">
        <v>5.0000000000000001E-3</v>
      </c>
      <c r="I63" s="19">
        <v>43983</v>
      </c>
      <c r="J63" s="19">
        <v>44012</v>
      </c>
      <c r="K63" s="3">
        <f t="shared" si="8"/>
        <v>30</v>
      </c>
      <c r="L63" s="3">
        <f t="shared" si="9"/>
        <v>5370</v>
      </c>
      <c r="M63" s="3">
        <v>13104000</v>
      </c>
    </row>
    <row r="64" spans="1:13" s="18" customFormat="1" outlineLevel="2">
      <c r="A64" s="19" t="s">
        <v>26</v>
      </c>
      <c r="B64" s="20" t="s">
        <v>84</v>
      </c>
      <c r="C64" s="21" t="s">
        <v>130</v>
      </c>
      <c r="D64" s="20" t="s">
        <v>129</v>
      </c>
      <c r="E64" s="3">
        <v>6550000</v>
      </c>
      <c r="F64" s="19">
        <v>43993</v>
      </c>
      <c r="G64" s="3">
        <v>6550000</v>
      </c>
      <c r="H64" s="2">
        <v>5.0000000000000001E-3</v>
      </c>
      <c r="I64" s="19">
        <v>43993</v>
      </c>
      <c r="J64" s="19">
        <v>44012</v>
      </c>
      <c r="K64" s="3">
        <f t="shared" si="8"/>
        <v>20</v>
      </c>
      <c r="L64" s="3">
        <f t="shared" si="9"/>
        <v>1790</v>
      </c>
      <c r="M64" s="3">
        <v>6550000</v>
      </c>
    </row>
    <row r="65" spans="1:13" s="18" customFormat="1" outlineLevel="2">
      <c r="A65" s="19" t="s">
        <v>26</v>
      </c>
      <c r="B65" s="20" t="s">
        <v>83</v>
      </c>
      <c r="C65" s="21" t="s">
        <v>130</v>
      </c>
      <c r="D65" s="20" t="s">
        <v>129</v>
      </c>
      <c r="E65" s="3">
        <v>19710000</v>
      </c>
      <c r="F65" s="19">
        <v>43993</v>
      </c>
      <c r="G65" s="3">
        <v>19710000</v>
      </c>
      <c r="H65" s="2">
        <v>5.0000000000000001E-3</v>
      </c>
      <c r="I65" s="19">
        <v>43993</v>
      </c>
      <c r="J65" s="19">
        <v>44012</v>
      </c>
      <c r="K65" s="3">
        <f t="shared" si="8"/>
        <v>20</v>
      </c>
      <c r="L65" s="3">
        <f t="shared" si="9"/>
        <v>5385</v>
      </c>
      <c r="M65" s="3">
        <v>19710000</v>
      </c>
    </row>
    <row r="66" spans="1:13" s="18" customFormat="1" outlineLevel="2">
      <c r="A66" s="19" t="s">
        <v>26</v>
      </c>
      <c r="B66" s="20" t="s">
        <v>102</v>
      </c>
      <c r="C66" s="21" t="s">
        <v>130</v>
      </c>
      <c r="D66" s="20" t="s">
        <v>129</v>
      </c>
      <c r="E66" s="3">
        <v>16860000</v>
      </c>
      <c r="F66" s="19">
        <v>43993</v>
      </c>
      <c r="G66" s="3">
        <v>16860000</v>
      </c>
      <c r="H66" s="2">
        <v>5.0000000000000001E-3</v>
      </c>
      <c r="I66" s="19">
        <v>43993</v>
      </c>
      <c r="J66" s="19">
        <v>44012</v>
      </c>
      <c r="K66" s="3">
        <f t="shared" si="8"/>
        <v>20</v>
      </c>
      <c r="L66" s="3">
        <f t="shared" si="9"/>
        <v>4607</v>
      </c>
      <c r="M66" s="3">
        <v>16860000</v>
      </c>
    </row>
    <row r="67" spans="1:13" s="18" customFormat="1" outlineLevel="2">
      <c r="A67" s="19" t="s">
        <v>26</v>
      </c>
      <c r="B67" s="20" t="s">
        <v>101</v>
      </c>
      <c r="C67" s="21" t="s">
        <v>128</v>
      </c>
      <c r="D67" s="20" t="s">
        <v>127</v>
      </c>
      <c r="E67" s="3">
        <v>240000000</v>
      </c>
      <c r="F67" s="19">
        <v>44000</v>
      </c>
      <c r="G67" s="3">
        <v>240000000</v>
      </c>
      <c r="H67" s="2">
        <v>5.0000000000000001E-3</v>
      </c>
      <c r="I67" s="19">
        <v>44000</v>
      </c>
      <c r="J67" s="19">
        <v>44012</v>
      </c>
      <c r="K67" s="3">
        <f t="shared" si="8"/>
        <v>13</v>
      </c>
      <c r="L67" s="3">
        <f t="shared" si="9"/>
        <v>42623</v>
      </c>
      <c r="M67" s="3">
        <v>240000000</v>
      </c>
    </row>
    <row r="68" spans="1:13" s="18" customFormat="1" outlineLevel="2">
      <c r="A68" s="19" t="s">
        <v>26</v>
      </c>
      <c r="B68" s="20" t="s">
        <v>23</v>
      </c>
      <c r="C68" s="21" t="s">
        <v>27</v>
      </c>
      <c r="D68" s="20" t="s">
        <v>28</v>
      </c>
      <c r="E68" s="3">
        <v>57000000</v>
      </c>
      <c r="F68" s="19">
        <v>43822</v>
      </c>
      <c r="G68" s="3">
        <v>57000000</v>
      </c>
      <c r="H68" s="2">
        <v>5.0000000000000001E-3</v>
      </c>
      <c r="I68" s="19">
        <v>43983</v>
      </c>
      <c r="J68" s="19">
        <v>44012</v>
      </c>
      <c r="K68" s="3">
        <f t="shared" si="8"/>
        <v>30</v>
      </c>
      <c r="L68" s="3">
        <f t="shared" si="9"/>
        <v>23361</v>
      </c>
      <c r="M68" s="3">
        <v>57000000</v>
      </c>
    </row>
    <row r="69" spans="1:13" s="18" customFormat="1" outlineLevel="2">
      <c r="A69" s="19" t="s">
        <v>26</v>
      </c>
      <c r="B69" s="20" t="s">
        <v>100</v>
      </c>
      <c r="C69" s="21" t="s">
        <v>111</v>
      </c>
      <c r="D69" s="20" t="s">
        <v>110</v>
      </c>
      <c r="E69" s="3">
        <v>55000000</v>
      </c>
      <c r="F69" s="19">
        <v>44001</v>
      </c>
      <c r="G69" s="3">
        <v>55000000</v>
      </c>
      <c r="H69" s="2">
        <v>5.0000000000000001E-3</v>
      </c>
      <c r="I69" s="19">
        <v>44001</v>
      </c>
      <c r="J69" s="19">
        <v>44012</v>
      </c>
      <c r="K69" s="3">
        <f t="shared" si="8"/>
        <v>12</v>
      </c>
      <c r="L69" s="3">
        <f t="shared" si="9"/>
        <v>9016</v>
      </c>
      <c r="M69" s="3">
        <v>55000000</v>
      </c>
    </row>
    <row r="70" spans="1:13" s="18" customFormat="1" outlineLevel="2">
      <c r="A70" s="19" t="s">
        <v>26</v>
      </c>
      <c r="B70" s="20" t="s">
        <v>99</v>
      </c>
      <c r="C70" s="21" t="s">
        <v>126</v>
      </c>
      <c r="D70" s="20" t="s">
        <v>125</v>
      </c>
      <c r="E70" s="3">
        <v>8907064</v>
      </c>
      <c r="F70" s="19">
        <v>44006</v>
      </c>
      <c r="G70" s="3">
        <v>8907064</v>
      </c>
      <c r="H70" s="2">
        <v>5.0000000000000001E-3</v>
      </c>
      <c r="I70" s="19">
        <v>44006</v>
      </c>
      <c r="J70" s="19">
        <v>44012</v>
      </c>
      <c r="K70" s="3">
        <f t="shared" si="8"/>
        <v>7</v>
      </c>
      <c r="L70" s="3">
        <f t="shared" si="9"/>
        <v>852</v>
      </c>
      <c r="M70" s="3">
        <v>8907064</v>
      </c>
    </row>
    <row r="71" spans="1:13" s="18" customFormat="1" outlineLevel="2">
      <c r="A71" s="19" t="s">
        <v>26</v>
      </c>
      <c r="B71" s="20" t="s">
        <v>29</v>
      </c>
      <c r="C71" s="21" t="s">
        <v>21</v>
      </c>
      <c r="D71" s="20" t="s">
        <v>22</v>
      </c>
      <c r="E71" s="3">
        <v>171000000</v>
      </c>
      <c r="F71" s="19">
        <v>43822</v>
      </c>
      <c r="G71" s="3">
        <v>171000000</v>
      </c>
      <c r="H71" s="2">
        <v>5.0000000000000001E-3</v>
      </c>
      <c r="I71" s="19">
        <v>43983</v>
      </c>
      <c r="J71" s="19">
        <v>44012</v>
      </c>
      <c r="K71" s="3">
        <f t="shared" si="8"/>
        <v>30</v>
      </c>
      <c r="L71" s="3">
        <f t="shared" si="9"/>
        <v>70082</v>
      </c>
      <c r="M71" s="3">
        <v>171000000</v>
      </c>
    </row>
    <row r="72" spans="1:13" s="18" customFormat="1" outlineLevel="2">
      <c r="A72" s="19" t="s">
        <v>26</v>
      </c>
      <c r="B72" s="20" t="s">
        <v>30</v>
      </c>
      <c r="C72" s="21" t="s">
        <v>27</v>
      </c>
      <c r="D72" s="20" t="s">
        <v>28</v>
      </c>
      <c r="E72" s="3">
        <v>38000000</v>
      </c>
      <c r="F72" s="19">
        <v>43850</v>
      </c>
      <c r="G72" s="3">
        <v>38000000</v>
      </c>
      <c r="H72" s="2">
        <v>5.0000000000000001E-3</v>
      </c>
      <c r="I72" s="19">
        <v>43983</v>
      </c>
      <c r="J72" s="19">
        <v>44012</v>
      </c>
      <c r="K72" s="3">
        <f t="shared" si="8"/>
        <v>30</v>
      </c>
      <c r="L72" s="3">
        <f t="shared" si="9"/>
        <v>15574</v>
      </c>
      <c r="M72" s="3">
        <v>38000000</v>
      </c>
    </row>
    <row r="73" spans="1:13" s="18" customFormat="1" outlineLevel="2">
      <c r="A73" s="19" t="s">
        <v>26</v>
      </c>
      <c r="B73" s="20" t="s">
        <v>31</v>
      </c>
      <c r="C73" s="21" t="s">
        <v>27</v>
      </c>
      <c r="D73" s="20" t="s">
        <v>28</v>
      </c>
      <c r="E73" s="3">
        <v>10000000</v>
      </c>
      <c r="F73" s="19">
        <v>43850</v>
      </c>
      <c r="G73" s="3">
        <v>10000000</v>
      </c>
      <c r="H73" s="2">
        <v>5.0000000000000001E-3</v>
      </c>
      <c r="I73" s="19">
        <v>43983</v>
      </c>
      <c r="J73" s="19">
        <v>44012</v>
      </c>
      <c r="K73" s="3">
        <f t="shared" si="8"/>
        <v>30</v>
      </c>
      <c r="L73" s="3">
        <f t="shared" si="9"/>
        <v>4098</v>
      </c>
      <c r="M73" s="3">
        <v>10000000</v>
      </c>
    </row>
    <row r="74" spans="1:13" s="18" customFormat="1" outlineLevel="2">
      <c r="A74" s="19" t="s">
        <v>26</v>
      </c>
      <c r="B74" s="20" t="s">
        <v>32</v>
      </c>
      <c r="C74" s="21" t="s">
        <v>33</v>
      </c>
      <c r="D74" s="20" t="s">
        <v>34</v>
      </c>
      <c r="E74" s="3">
        <v>96176976</v>
      </c>
      <c r="F74" s="19">
        <v>43861</v>
      </c>
      <c r="G74" s="3">
        <v>96176976</v>
      </c>
      <c r="H74" s="2">
        <v>5.0000000000000001E-3</v>
      </c>
      <c r="I74" s="19">
        <v>43983</v>
      </c>
      <c r="J74" s="19">
        <v>44012</v>
      </c>
      <c r="K74" s="3">
        <f t="shared" si="8"/>
        <v>30</v>
      </c>
      <c r="L74" s="3">
        <f t="shared" si="9"/>
        <v>39417</v>
      </c>
      <c r="M74" s="3">
        <v>96176976</v>
      </c>
    </row>
    <row r="75" spans="1:13" s="18" customFormat="1" outlineLevel="2">
      <c r="A75" s="19" t="s">
        <v>26</v>
      </c>
      <c r="B75" s="20" t="s">
        <v>48</v>
      </c>
      <c r="C75" s="21" t="s">
        <v>27</v>
      </c>
      <c r="D75" s="20" t="s">
        <v>28</v>
      </c>
      <c r="E75" s="3">
        <v>1800000</v>
      </c>
      <c r="F75" s="19">
        <v>43876</v>
      </c>
      <c r="G75" s="3">
        <v>1800000</v>
      </c>
      <c r="H75" s="2">
        <v>5.0000000000000001E-3</v>
      </c>
      <c r="I75" s="19">
        <v>43983</v>
      </c>
      <c r="J75" s="19">
        <v>44012</v>
      </c>
      <c r="K75" s="3">
        <f t="shared" si="8"/>
        <v>30</v>
      </c>
      <c r="L75" s="3">
        <f t="shared" si="9"/>
        <v>738</v>
      </c>
      <c r="M75" s="3">
        <v>1800000</v>
      </c>
    </row>
    <row r="76" spans="1:13" s="18" customFormat="1" outlineLevel="2">
      <c r="A76" s="19" t="s">
        <v>26</v>
      </c>
      <c r="B76" s="20" t="s">
        <v>59</v>
      </c>
      <c r="C76" s="21" t="s">
        <v>72</v>
      </c>
      <c r="D76" s="20" t="s">
        <v>71</v>
      </c>
      <c r="E76" s="3">
        <v>30000000</v>
      </c>
      <c r="F76" s="19">
        <v>43906</v>
      </c>
      <c r="G76" s="3">
        <v>30000000</v>
      </c>
      <c r="H76" s="2">
        <v>5.0000000000000001E-3</v>
      </c>
      <c r="I76" s="19">
        <v>43983</v>
      </c>
      <c r="J76" s="19">
        <v>44012</v>
      </c>
      <c r="K76" s="3">
        <f t="shared" si="8"/>
        <v>30</v>
      </c>
      <c r="L76" s="3">
        <f t="shared" si="9"/>
        <v>12295</v>
      </c>
      <c r="M76" s="3">
        <v>30000000</v>
      </c>
    </row>
    <row r="77" spans="1:13" s="18" customFormat="1" outlineLevel="2">
      <c r="A77" s="19" t="s">
        <v>26</v>
      </c>
      <c r="B77" s="20" t="s">
        <v>58</v>
      </c>
      <c r="C77" s="21" t="s">
        <v>72</v>
      </c>
      <c r="D77" s="20" t="s">
        <v>71</v>
      </c>
      <c r="E77" s="3">
        <v>50000000</v>
      </c>
      <c r="F77" s="19">
        <v>43908</v>
      </c>
      <c r="G77" s="3">
        <v>50000000</v>
      </c>
      <c r="H77" s="2">
        <v>5.0000000000000001E-3</v>
      </c>
      <c r="I77" s="19">
        <v>43983</v>
      </c>
      <c r="J77" s="19">
        <v>44012</v>
      </c>
      <c r="K77" s="3">
        <f t="shared" si="8"/>
        <v>30</v>
      </c>
      <c r="L77" s="3">
        <f t="shared" si="9"/>
        <v>20492</v>
      </c>
      <c r="M77" s="3">
        <v>50000000</v>
      </c>
    </row>
    <row r="78" spans="1:13" s="18" customFormat="1" ht="13.5" outlineLevel="1">
      <c r="A78" s="22" t="s">
        <v>35</v>
      </c>
      <c r="B78" s="23"/>
      <c r="C78" s="24"/>
      <c r="D78" s="23"/>
      <c r="E78" s="25">
        <f>SUBTOTAL(9,E57:E77)</f>
        <v>1266263376</v>
      </c>
      <c r="F78" s="26"/>
      <c r="G78" s="25"/>
      <c r="H78" s="27"/>
      <c r="I78" s="26"/>
      <c r="J78" s="26"/>
      <c r="K78" s="25"/>
      <c r="L78" s="25">
        <f>SUBTOTAL(9,L57:L77)</f>
        <v>441010</v>
      </c>
      <c r="M78" s="25">
        <f>SUBTOTAL(9,M57:M77)</f>
        <v>1266263376</v>
      </c>
    </row>
    <row r="79" spans="1:13" s="18" customFormat="1" outlineLevel="2">
      <c r="A79" s="19" t="s">
        <v>36</v>
      </c>
      <c r="B79" s="20" t="s">
        <v>16</v>
      </c>
      <c r="C79" s="21" t="s">
        <v>17</v>
      </c>
      <c r="D79" s="20" t="s">
        <v>18</v>
      </c>
      <c r="E79" s="3">
        <v>150000000</v>
      </c>
      <c r="F79" s="19">
        <v>43829</v>
      </c>
      <c r="G79" s="3">
        <v>137500000</v>
      </c>
      <c r="H79" s="2">
        <v>5.0000000000000001E-3</v>
      </c>
      <c r="I79" s="19">
        <v>43983</v>
      </c>
      <c r="J79" s="19">
        <v>43996</v>
      </c>
      <c r="K79" s="3">
        <f t="shared" ref="K79:K97" si="10">J79-I79+1</f>
        <v>14</v>
      </c>
      <c r="L79" s="3">
        <f t="shared" ref="L79:L97" si="11">ROUND(G79*H79*K79/366,0)</f>
        <v>26298</v>
      </c>
      <c r="M79" s="3">
        <v>135000000</v>
      </c>
    </row>
    <row r="80" spans="1:13" s="18" customFormat="1" outlineLevel="2">
      <c r="A80" s="19" t="s">
        <v>36</v>
      </c>
      <c r="B80" s="20" t="s">
        <v>16</v>
      </c>
      <c r="C80" s="21" t="s">
        <v>17</v>
      </c>
      <c r="D80" s="20"/>
      <c r="E80" s="3"/>
      <c r="F80" s="19"/>
      <c r="G80" s="3">
        <v>135000000</v>
      </c>
      <c r="H80" s="2">
        <v>5.0000000000000001E-3</v>
      </c>
      <c r="I80" s="19">
        <v>43997</v>
      </c>
      <c r="J80" s="19">
        <v>44012</v>
      </c>
      <c r="K80" s="3">
        <f t="shared" si="10"/>
        <v>16</v>
      </c>
      <c r="L80" s="3">
        <f t="shared" si="11"/>
        <v>29508</v>
      </c>
      <c r="M80" s="3"/>
    </row>
    <row r="81" spans="1:13" s="18" customFormat="1" outlineLevel="2">
      <c r="A81" s="19" t="s">
        <v>36</v>
      </c>
      <c r="B81" s="20" t="s">
        <v>61</v>
      </c>
      <c r="C81" s="21" t="s">
        <v>17</v>
      </c>
      <c r="D81" s="20" t="s">
        <v>18</v>
      </c>
      <c r="E81" s="3">
        <v>9460000</v>
      </c>
      <c r="F81" s="19">
        <v>43990</v>
      </c>
      <c r="G81" s="3">
        <v>9460000</v>
      </c>
      <c r="H81" s="2">
        <v>5.0000000000000001E-3</v>
      </c>
      <c r="I81" s="19">
        <v>43990</v>
      </c>
      <c r="J81" s="19">
        <v>43996</v>
      </c>
      <c r="K81" s="3">
        <f t="shared" si="10"/>
        <v>7</v>
      </c>
      <c r="L81" s="3">
        <f t="shared" si="11"/>
        <v>905</v>
      </c>
      <c r="M81" s="3">
        <v>9288000</v>
      </c>
    </row>
    <row r="82" spans="1:13" s="18" customFormat="1" outlineLevel="2">
      <c r="A82" s="19" t="s">
        <v>36</v>
      </c>
      <c r="B82" s="20" t="s">
        <v>61</v>
      </c>
      <c r="C82" s="21" t="s">
        <v>17</v>
      </c>
      <c r="D82" s="20"/>
      <c r="E82" s="3"/>
      <c r="F82" s="19"/>
      <c r="G82" s="3">
        <v>9288000</v>
      </c>
      <c r="H82" s="2">
        <v>5.0000000000000001E-3</v>
      </c>
      <c r="I82" s="19">
        <v>43997</v>
      </c>
      <c r="J82" s="19">
        <v>44012</v>
      </c>
      <c r="K82" s="3">
        <f t="shared" si="10"/>
        <v>16</v>
      </c>
      <c r="L82" s="3">
        <f t="shared" si="11"/>
        <v>2030</v>
      </c>
      <c r="M82" s="3"/>
    </row>
    <row r="83" spans="1:13" s="18" customFormat="1" outlineLevel="2">
      <c r="A83" s="19" t="s">
        <v>36</v>
      </c>
      <c r="B83" s="20" t="s">
        <v>23</v>
      </c>
      <c r="C83" s="21" t="s">
        <v>17</v>
      </c>
      <c r="D83" s="20" t="s">
        <v>18</v>
      </c>
      <c r="E83" s="3">
        <v>32900000</v>
      </c>
      <c r="F83" s="19">
        <v>43829</v>
      </c>
      <c r="G83" s="3">
        <v>30158335</v>
      </c>
      <c r="H83" s="2">
        <v>5.0000000000000001E-3</v>
      </c>
      <c r="I83" s="19">
        <v>43983</v>
      </c>
      <c r="J83" s="19">
        <v>43996</v>
      </c>
      <c r="K83" s="3">
        <f t="shared" si="10"/>
        <v>14</v>
      </c>
      <c r="L83" s="3">
        <f t="shared" si="11"/>
        <v>5768</v>
      </c>
      <c r="M83" s="3">
        <v>29610002</v>
      </c>
    </row>
    <row r="84" spans="1:13" s="18" customFormat="1" outlineLevel="2">
      <c r="A84" s="19" t="s">
        <v>36</v>
      </c>
      <c r="B84" s="20" t="s">
        <v>23</v>
      </c>
      <c r="C84" s="21" t="s">
        <v>17</v>
      </c>
      <c r="D84" s="20"/>
      <c r="E84" s="3"/>
      <c r="F84" s="19"/>
      <c r="G84" s="3">
        <v>29610002</v>
      </c>
      <c r="H84" s="2">
        <v>5.0000000000000001E-3</v>
      </c>
      <c r="I84" s="19">
        <v>43997</v>
      </c>
      <c r="J84" s="19">
        <v>44012</v>
      </c>
      <c r="K84" s="3">
        <f t="shared" si="10"/>
        <v>16</v>
      </c>
      <c r="L84" s="3">
        <f t="shared" si="11"/>
        <v>6472</v>
      </c>
      <c r="M84" s="3"/>
    </row>
    <row r="85" spans="1:13" s="18" customFormat="1" outlineLevel="2">
      <c r="A85" s="19" t="s">
        <v>36</v>
      </c>
      <c r="B85" s="20" t="s">
        <v>29</v>
      </c>
      <c r="C85" s="21" t="s">
        <v>17</v>
      </c>
      <c r="D85" s="20" t="s">
        <v>18</v>
      </c>
      <c r="E85" s="3">
        <v>2790000</v>
      </c>
      <c r="F85" s="19">
        <v>43921</v>
      </c>
      <c r="G85" s="3">
        <v>2692106</v>
      </c>
      <c r="H85" s="2">
        <v>5.0000000000000001E-3</v>
      </c>
      <c r="I85" s="19">
        <v>43983</v>
      </c>
      <c r="J85" s="19">
        <v>43996</v>
      </c>
      <c r="K85" s="3">
        <f t="shared" si="10"/>
        <v>14</v>
      </c>
      <c r="L85" s="3">
        <f t="shared" si="11"/>
        <v>515</v>
      </c>
      <c r="M85" s="3">
        <v>2643159</v>
      </c>
    </row>
    <row r="86" spans="1:13" s="18" customFormat="1" outlineLevel="2">
      <c r="A86" s="19" t="s">
        <v>36</v>
      </c>
      <c r="B86" s="20" t="s">
        <v>29</v>
      </c>
      <c r="C86" s="21" t="s">
        <v>17</v>
      </c>
      <c r="D86" s="20"/>
      <c r="E86" s="3"/>
      <c r="F86" s="19"/>
      <c r="G86" s="3">
        <v>2643159</v>
      </c>
      <c r="H86" s="2">
        <v>5.0000000000000001E-3</v>
      </c>
      <c r="I86" s="19">
        <v>43997</v>
      </c>
      <c r="J86" s="19">
        <v>44012</v>
      </c>
      <c r="K86" s="3">
        <f t="shared" si="10"/>
        <v>16</v>
      </c>
      <c r="L86" s="3">
        <f t="shared" si="11"/>
        <v>578</v>
      </c>
      <c r="M86" s="3"/>
    </row>
    <row r="87" spans="1:13" s="18" customFormat="1" outlineLevel="2">
      <c r="A87" s="19" t="s">
        <v>36</v>
      </c>
      <c r="B87" s="20" t="s">
        <v>30</v>
      </c>
      <c r="C87" s="21" t="s">
        <v>57</v>
      </c>
      <c r="D87" s="20" t="s">
        <v>56</v>
      </c>
      <c r="E87" s="3">
        <v>12000000</v>
      </c>
      <c r="F87" s="19">
        <v>43948</v>
      </c>
      <c r="G87" s="3">
        <v>11800000</v>
      </c>
      <c r="H87" s="2">
        <v>5.0000000000000001E-3</v>
      </c>
      <c r="I87" s="19">
        <v>43983</v>
      </c>
      <c r="J87" s="19">
        <v>43996</v>
      </c>
      <c r="K87" s="3">
        <f t="shared" si="10"/>
        <v>14</v>
      </c>
      <c r="L87" s="3">
        <f t="shared" si="11"/>
        <v>2257</v>
      </c>
      <c r="M87" s="3">
        <v>11600000</v>
      </c>
    </row>
    <row r="88" spans="1:13" s="18" customFormat="1" outlineLevel="2">
      <c r="A88" s="19" t="s">
        <v>36</v>
      </c>
      <c r="B88" s="20" t="s">
        <v>30</v>
      </c>
      <c r="C88" s="21" t="s">
        <v>57</v>
      </c>
      <c r="D88" s="20"/>
      <c r="E88" s="3"/>
      <c r="F88" s="19"/>
      <c r="G88" s="3">
        <v>11600000</v>
      </c>
      <c r="H88" s="2">
        <v>5.0000000000000001E-3</v>
      </c>
      <c r="I88" s="19">
        <v>43997</v>
      </c>
      <c r="J88" s="19">
        <v>44012</v>
      </c>
      <c r="K88" s="3">
        <f t="shared" si="10"/>
        <v>16</v>
      </c>
      <c r="L88" s="3">
        <f t="shared" si="11"/>
        <v>2536</v>
      </c>
      <c r="M88" s="3"/>
    </row>
    <row r="89" spans="1:13" s="18" customFormat="1" outlineLevel="2">
      <c r="A89" s="19" t="s">
        <v>36</v>
      </c>
      <c r="B89" s="20" t="s">
        <v>31</v>
      </c>
      <c r="C89" s="21" t="s">
        <v>97</v>
      </c>
      <c r="D89" s="20" t="s">
        <v>96</v>
      </c>
      <c r="E89" s="3">
        <v>71750000</v>
      </c>
      <c r="F89" s="19">
        <v>43955</v>
      </c>
      <c r="G89" s="3">
        <v>71750000</v>
      </c>
      <c r="H89" s="2">
        <v>5.0000000000000001E-3</v>
      </c>
      <c r="I89" s="19">
        <v>43983</v>
      </c>
      <c r="J89" s="19">
        <v>44012</v>
      </c>
      <c r="K89" s="3">
        <f t="shared" si="10"/>
        <v>30</v>
      </c>
      <c r="L89" s="3">
        <f t="shared" si="11"/>
        <v>29406</v>
      </c>
      <c r="M89" s="3">
        <v>71750000</v>
      </c>
    </row>
    <row r="90" spans="1:13" s="18" customFormat="1" outlineLevel="2">
      <c r="A90" s="19" t="s">
        <v>36</v>
      </c>
      <c r="B90" s="20" t="s">
        <v>32</v>
      </c>
      <c r="C90" s="21" t="s">
        <v>57</v>
      </c>
      <c r="D90" s="20" t="s">
        <v>56</v>
      </c>
      <c r="E90" s="3">
        <v>10000000</v>
      </c>
      <c r="F90" s="19">
        <v>43963</v>
      </c>
      <c r="G90" s="3">
        <v>9833333</v>
      </c>
      <c r="H90" s="2">
        <v>5.0000000000000001E-3</v>
      </c>
      <c r="I90" s="19">
        <v>43983</v>
      </c>
      <c r="J90" s="19">
        <v>43996</v>
      </c>
      <c r="K90" s="3">
        <f t="shared" si="10"/>
        <v>14</v>
      </c>
      <c r="L90" s="3">
        <f t="shared" si="11"/>
        <v>1881</v>
      </c>
      <c r="M90" s="3">
        <v>9666667</v>
      </c>
    </row>
    <row r="91" spans="1:13" s="18" customFormat="1" outlineLevel="2">
      <c r="A91" s="19" t="s">
        <v>36</v>
      </c>
      <c r="B91" s="20" t="s">
        <v>32</v>
      </c>
      <c r="C91" s="21" t="s">
        <v>57</v>
      </c>
      <c r="D91" s="20"/>
      <c r="E91" s="3"/>
      <c r="F91" s="19"/>
      <c r="G91" s="3">
        <v>9666667</v>
      </c>
      <c r="H91" s="2">
        <v>5.0000000000000001E-3</v>
      </c>
      <c r="I91" s="19">
        <v>43997</v>
      </c>
      <c r="J91" s="19">
        <v>44012</v>
      </c>
      <c r="K91" s="3">
        <f t="shared" si="10"/>
        <v>16</v>
      </c>
      <c r="L91" s="3">
        <f t="shared" si="11"/>
        <v>2113</v>
      </c>
      <c r="M91" s="3"/>
    </row>
    <row r="92" spans="1:13" s="18" customFormat="1" outlineLevel="2">
      <c r="A92" s="19" t="s">
        <v>36</v>
      </c>
      <c r="B92" s="20" t="s">
        <v>48</v>
      </c>
      <c r="C92" s="21" t="s">
        <v>57</v>
      </c>
      <c r="D92" s="20" t="s">
        <v>56</v>
      </c>
      <c r="E92" s="3">
        <v>4000000</v>
      </c>
      <c r="F92" s="19">
        <v>43970</v>
      </c>
      <c r="G92" s="3">
        <v>4000000</v>
      </c>
      <c r="H92" s="2">
        <v>5.0000000000000001E-3</v>
      </c>
      <c r="I92" s="19">
        <v>43983</v>
      </c>
      <c r="J92" s="19">
        <v>43996</v>
      </c>
      <c r="K92" s="3">
        <f t="shared" si="10"/>
        <v>14</v>
      </c>
      <c r="L92" s="3">
        <f t="shared" si="11"/>
        <v>765</v>
      </c>
      <c r="M92" s="3">
        <v>3932204</v>
      </c>
    </row>
    <row r="93" spans="1:13" s="18" customFormat="1" outlineLevel="2">
      <c r="A93" s="19" t="s">
        <v>36</v>
      </c>
      <c r="B93" s="20" t="s">
        <v>48</v>
      </c>
      <c r="C93" s="21" t="s">
        <v>57</v>
      </c>
      <c r="D93" s="20"/>
      <c r="E93" s="3"/>
      <c r="F93" s="19"/>
      <c r="G93" s="3">
        <v>3932204</v>
      </c>
      <c r="H93" s="2">
        <v>5.0000000000000001E-3</v>
      </c>
      <c r="I93" s="19">
        <v>43997</v>
      </c>
      <c r="J93" s="19">
        <v>44012</v>
      </c>
      <c r="K93" s="3">
        <f t="shared" si="10"/>
        <v>16</v>
      </c>
      <c r="L93" s="3">
        <f t="shared" si="11"/>
        <v>859</v>
      </c>
      <c r="M93" s="3"/>
    </row>
    <row r="94" spans="1:13" s="18" customFormat="1" outlineLevel="2">
      <c r="A94" s="19" t="s">
        <v>36</v>
      </c>
      <c r="B94" s="20" t="s">
        <v>59</v>
      </c>
      <c r="C94" s="21" t="s">
        <v>57</v>
      </c>
      <c r="D94" s="20" t="s">
        <v>56</v>
      </c>
      <c r="E94" s="3">
        <v>18000000</v>
      </c>
      <c r="F94" s="19">
        <v>43977</v>
      </c>
      <c r="G94" s="3">
        <v>18000000</v>
      </c>
      <c r="H94" s="2">
        <v>5.0000000000000001E-3</v>
      </c>
      <c r="I94" s="19">
        <v>43983</v>
      </c>
      <c r="J94" s="19">
        <v>43996</v>
      </c>
      <c r="K94" s="3">
        <f t="shared" si="10"/>
        <v>14</v>
      </c>
      <c r="L94" s="3">
        <f t="shared" si="11"/>
        <v>3443</v>
      </c>
      <c r="M94" s="3">
        <v>17694916</v>
      </c>
    </row>
    <row r="95" spans="1:13" s="18" customFormat="1" outlineLevel="2">
      <c r="A95" s="19" t="s">
        <v>36</v>
      </c>
      <c r="B95" s="20" t="s">
        <v>59</v>
      </c>
      <c r="C95" s="21" t="s">
        <v>57</v>
      </c>
      <c r="D95" s="20"/>
      <c r="E95" s="3"/>
      <c r="F95" s="19"/>
      <c r="G95" s="3">
        <v>17694916</v>
      </c>
      <c r="H95" s="2">
        <v>5.0000000000000001E-3</v>
      </c>
      <c r="I95" s="19">
        <v>43997</v>
      </c>
      <c r="J95" s="19">
        <v>44012</v>
      </c>
      <c r="K95" s="3">
        <f t="shared" si="10"/>
        <v>16</v>
      </c>
      <c r="L95" s="3">
        <f t="shared" si="11"/>
        <v>3868</v>
      </c>
      <c r="M95" s="3"/>
    </row>
    <row r="96" spans="1:13" s="18" customFormat="1" outlineLevel="2">
      <c r="A96" s="19" t="s">
        <v>36</v>
      </c>
      <c r="B96" s="20" t="s">
        <v>58</v>
      </c>
      <c r="C96" s="21" t="s">
        <v>57</v>
      </c>
      <c r="D96" s="20" t="s">
        <v>56</v>
      </c>
      <c r="E96" s="3">
        <v>6000000</v>
      </c>
      <c r="F96" s="19">
        <v>43984</v>
      </c>
      <c r="G96" s="3">
        <v>6000000</v>
      </c>
      <c r="H96" s="2">
        <v>5.0000000000000001E-3</v>
      </c>
      <c r="I96" s="19">
        <v>43984</v>
      </c>
      <c r="J96" s="19">
        <v>43996</v>
      </c>
      <c r="K96" s="3">
        <f t="shared" si="10"/>
        <v>13</v>
      </c>
      <c r="L96" s="3">
        <f t="shared" si="11"/>
        <v>1066</v>
      </c>
      <c r="M96" s="3">
        <v>5898306</v>
      </c>
    </row>
    <row r="97" spans="1:13" s="18" customFormat="1" outlineLevel="2">
      <c r="A97" s="19" t="s">
        <v>36</v>
      </c>
      <c r="B97" s="20" t="s">
        <v>58</v>
      </c>
      <c r="C97" s="21" t="s">
        <v>57</v>
      </c>
      <c r="D97" s="20"/>
      <c r="E97" s="3"/>
      <c r="F97" s="19"/>
      <c r="G97" s="3">
        <v>5898306</v>
      </c>
      <c r="H97" s="2">
        <v>5.0000000000000001E-3</v>
      </c>
      <c r="I97" s="19">
        <v>43997</v>
      </c>
      <c r="J97" s="19">
        <v>44012</v>
      </c>
      <c r="K97" s="3">
        <f t="shared" si="10"/>
        <v>16</v>
      </c>
      <c r="L97" s="3">
        <f t="shared" si="11"/>
        <v>1289</v>
      </c>
      <c r="M97" s="3"/>
    </row>
    <row r="98" spans="1:13" s="18" customFormat="1" ht="13.5" outlineLevel="1">
      <c r="A98" s="22" t="s">
        <v>37</v>
      </c>
      <c r="B98" s="23"/>
      <c r="C98" s="24"/>
      <c r="D98" s="23"/>
      <c r="E98" s="25">
        <f>SUBTOTAL(9,E79:E97)</f>
        <v>316900000</v>
      </c>
      <c r="F98" s="26"/>
      <c r="G98" s="25"/>
      <c r="H98" s="27"/>
      <c r="I98" s="26"/>
      <c r="J98" s="26"/>
      <c r="K98" s="25"/>
      <c r="L98" s="25">
        <f>SUBTOTAL(9,L79:L97)</f>
        <v>121557</v>
      </c>
      <c r="M98" s="25">
        <f>SUBTOTAL(9,M79:M97)</f>
        <v>297083254</v>
      </c>
    </row>
    <row r="99" spans="1:13" s="18" customFormat="1" outlineLevel="2">
      <c r="A99" s="19" t="s">
        <v>38</v>
      </c>
      <c r="B99" s="20" t="s">
        <v>16</v>
      </c>
      <c r="C99" s="21" t="s">
        <v>17</v>
      </c>
      <c r="D99" s="20" t="s">
        <v>18</v>
      </c>
      <c r="E99" s="3">
        <v>50000000</v>
      </c>
      <c r="F99" s="19">
        <v>43829</v>
      </c>
      <c r="G99" s="3">
        <v>45833330</v>
      </c>
      <c r="H99" s="2">
        <v>5.0000000000000001E-3</v>
      </c>
      <c r="I99" s="19">
        <v>43983</v>
      </c>
      <c r="J99" s="19">
        <v>43996</v>
      </c>
      <c r="K99" s="3">
        <f t="shared" ref="K99:K106" si="12">J99-I99+1</f>
        <v>14</v>
      </c>
      <c r="L99" s="3">
        <f t="shared" ref="L99:L106" si="13">ROUND(G99*H99*K99/366,0)</f>
        <v>8766</v>
      </c>
      <c r="M99" s="3">
        <v>44999996</v>
      </c>
    </row>
    <row r="100" spans="1:13" s="18" customFormat="1" outlineLevel="2">
      <c r="A100" s="19" t="s">
        <v>38</v>
      </c>
      <c r="B100" s="20" t="s">
        <v>16</v>
      </c>
      <c r="C100" s="21" t="s">
        <v>17</v>
      </c>
      <c r="D100" s="20"/>
      <c r="E100" s="3"/>
      <c r="F100" s="19"/>
      <c r="G100" s="3">
        <v>44999996</v>
      </c>
      <c r="H100" s="2">
        <v>5.0000000000000001E-3</v>
      </c>
      <c r="I100" s="19">
        <v>43997</v>
      </c>
      <c r="J100" s="19">
        <v>44012</v>
      </c>
      <c r="K100" s="3">
        <f t="shared" si="12"/>
        <v>16</v>
      </c>
      <c r="L100" s="3">
        <f t="shared" si="13"/>
        <v>9836</v>
      </c>
      <c r="M100" s="3"/>
    </row>
    <row r="101" spans="1:13" s="18" customFormat="1" outlineLevel="2">
      <c r="A101" s="19" t="s">
        <v>38</v>
      </c>
      <c r="B101" s="20" t="s">
        <v>23</v>
      </c>
      <c r="C101" s="21" t="s">
        <v>17</v>
      </c>
      <c r="D101" s="20" t="s">
        <v>18</v>
      </c>
      <c r="E101" s="3">
        <v>25200000</v>
      </c>
      <c r="F101" s="19">
        <v>43829</v>
      </c>
      <c r="G101" s="3">
        <v>23100000</v>
      </c>
      <c r="H101" s="2">
        <v>5.0000000000000001E-3</v>
      </c>
      <c r="I101" s="19">
        <v>43983</v>
      </c>
      <c r="J101" s="19">
        <v>43996</v>
      </c>
      <c r="K101" s="3">
        <f t="shared" si="12"/>
        <v>14</v>
      </c>
      <c r="L101" s="3">
        <f t="shared" si="13"/>
        <v>4418</v>
      </c>
      <c r="M101" s="3">
        <v>22680000</v>
      </c>
    </row>
    <row r="102" spans="1:13" s="18" customFormat="1" outlineLevel="2">
      <c r="A102" s="19" t="s">
        <v>38</v>
      </c>
      <c r="B102" s="20" t="s">
        <v>23</v>
      </c>
      <c r="C102" s="21" t="s">
        <v>17</v>
      </c>
      <c r="D102" s="20"/>
      <c r="E102" s="3"/>
      <c r="F102" s="19"/>
      <c r="G102" s="3">
        <v>22680000</v>
      </c>
      <c r="H102" s="2">
        <v>5.0000000000000001E-3</v>
      </c>
      <c r="I102" s="19">
        <v>43997</v>
      </c>
      <c r="J102" s="19">
        <v>44012</v>
      </c>
      <c r="K102" s="3">
        <f t="shared" si="12"/>
        <v>16</v>
      </c>
      <c r="L102" s="3">
        <f t="shared" si="13"/>
        <v>4957</v>
      </c>
      <c r="M102" s="3"/>
    </row>
    <row r="103" spans="1:13" s="18" customFormat="1" outlineLevel="2">
      <c r="A103" s="19" t="s">
        <v>38</v>
      </c>
      <c r="B103" s="20" t="s">
        <v>29</v>
      </c>
      <c r="C103" s="21" t="s">
        <v>17</v>
      </c>
      <c r="D103" s="20" t="s">
        <v>18</v>
      </c>
      <c r="E103" s="3">
        <v>11310000</v>
      </c>
      <c r="F103" s="19">
        <v>43920</v>
      </c>
      <c r="G103" s="3">
        <v>10913158</v>
      </c>
      <c r="H103" s="2">
        <v>5.0000000000000001E-3</v>
      </c>
      <c r="I103" s="19">
        <v>43983</v>
      </c>
      <c r="J103" s="19">
        <v>43996</v>
      </c>
      <c r="K103" s="3">
        <f t="shared" si="12"/>
        <v>14</v>
      </c>
      <c r="L103" s="3">
        <f t="shared" si="13"/>
        <v>2087</v>
      </c>
      <c r="M103" s="3">
        <v>10714737</v>
      </c>
    </row>
    <row r="104" spans="1:13" s="18" customFormat="1" outlineLevel="2">
      <c r="A104" s="19" t="s">
        <v>38</v>
      </c>
      <c r="B104" s="20" t="s">
        <v>29</v>
      </c>
      <c r="C104" s="21" t="s">
        <v>17</v>
      </c>
      <c r="D104" s="20"/>
      <c r="E104" s="3"/>
      <c r="F104" s="19"/>
      <c r="G104" s="3">
        <v>10714737</v>
      </c>
      <c r="H104" s="2">
        <v>5.0000000000000001E-3</v>
      </c>
      <c r="I104" s="19">
        <v>43997</v>
      </c>
      <c r="J104" s="19">
        <v>44012</v>
      </c>
      <c r="K104" s="3">
        <f t="shared" si="12"/>
        <v>16</v>
      </c>
      <c r="L104" s="3">
        <f t="shared" si="13"/>
        <v>2342</v>
      </c>
      <c r="M104" s="3"/>
    </row>
    <row r="105" spans="1:13" s="18" customFormat="1" outlineLevel="2">
      <c r="A105" s="19" t="s">
        <v>38</v>
      </c>
      <c r="B105" s="20" t="s">
        <v>30</v>
      </c>
      <c r="C105" s="21" t="s">
        <v>17</v>
      </c>
      <c r="D105" s="20" t="s">
        <v>18</v>
      </c>
      <c r="E105" s="3">
        <v>6050000</v>
      </c>
      <c r="F105" s="19">
        <v>43990</v>
      </c>
      <c r="G105" s="3">
        <v>6050000</v>
      </c>
      <c r="H105" s="2">
        <v>5.0000000000000001E-3</v>
      </c>
      <c r="I105" s="19">
        <v>43990</v>
      </c>
      <c r="J105" s="19">
        <v>43996</v>
      </c>
      <c r="K105" s="3">
        <f t="shared" si="12"/>
        <v>7</v>
      </c>
      <c r="L105" s="3">
        <f t="shared" si="13"/>
        <v>579</v>
      </c>
      <c r="M105" s="3">
        <v>5940000</v>
      </c>
    </row>
    <row r="106" spans="1:13" s="18" customFormat="1" outlineLevel="2">
      <c r="A106" s="19" t="s">
        <v>38</v>
      </c>
      <c r="B106" s="20" t="s">
        <v>30</v>
      </c>
      <c r="C106" s="21" t="s">
        <v>17</v>
      </c>
      <c r="D106" s="20"/>
      <c r="E106" s="3"/>
      <c r="F106" s="19"/>
      <c r="G106" s="3">
        <v>5940000</v>
      </c>
      <c r="H106" s="2">
        <v>5.0000000000000001E-3</v>
      </c>
      <c r="I106" s="19">
        <v>43997</v>
      </c>
      <c r="J106" s="19">
        <v>44012</v>
      </c>
      <c r="K106" s="3">
        <f t="shared" si="12"/>
        <v>16</v>
      </c>
      <c r="L106" s="3">
        <f t="shared" si="13"/>
        <v>1298</v>
      </c>
      <c r="M106" s="3"/>
    </row>
    <row r="107" spans="1:13" s="18" customFormat="1" ht="13.5" outlineLevel="1">
      <c r="A107" s="22" t="s">
        <v>39</v>
      </c>
      <c r="B107" s="23"/>
      <c r="C107" s="24"/>
      <c r="D107" s="23"/>
      <c r="E107" s="25">
        <f>SUBTOTAL(9,E99:E106)</f>
        <v>92560000</v>
      </c>
      <c r="F107" s="26"/>
      <c r="G107" s="25"/>
      <c r="H107" s="27"/>
      <c r="I107" s="26"/>
      <c r="J107" s="26"/>
      <c r="K107" s="25"/>
      <c r="L107" s="25">
        <f>SUBTOTAL(9,L99:L106)</f>
        <v>34283</v>
      </c>
      <c r="M107" s="25">
        <f>SUBTOTAL(9,M99:M106)</f>
        <v>84334733</v>
      </c>
    </row>
    <row r="108" spans="1:13" s="18" customFormat="1" outlineLevel="2">
      <c r="A108" s="19" t="s">
        <v>108</v>
      </c>
      <c r="B108" s="20" t="s">
        <v>16</v>
      </c>
      <c r="C108" s="21" t="s">
        <v>107</v>
      </c>
      <c r="D108" s="20" t="s">
        <v>106</v>
      </c>
      <c r="E108" s="3">
        <v>4300000</v>
      </c>
      <c r="F108" s="19">
        <v>43966</v>
      </c>
      <c r="G108" s="3">
        <v>4300000</v>
      </c>
      <c r="H108" s="2">
        <v>5.0000000000000001E-3</v>
      </c>
      <c r="I108" s="19">
        <v>43983</v>
      </c>
      <c r="J108" s="19">
        <v>44012</v>
      </c>
      <c r="K108" s="3">
        <f>J108-I108+1</f>
        <v>30</v>
      </c>
      <c r="L108" s="3">
        <f>ROUND(G108*H108*K108/366,0)</f>
        <v>1762</v>
      </c>
      <c r="M108" s="3">
        <v>4300000</v>
      </c>
    </row>
    <row r="109" spans="1:13" s="18" customFormat="1" ht="13.5" outlineLevel="1">
      <c r="A109" s="22" t="s">
        <v>105</v>
      </c>
      <c r="B109" s="23"/>
      <c r="C109" s="24"/>
      <c r="D109" s="23"/>
      <c r="E109" s="25">
        <f>SUBTOTAL(9,E108:E108)</f>
        <v>4300000</v>
      </c>
      <c r="F109" s="26"/>
      <c r="G109" s="25"/>
      <c r="H109" s="27"/>
      <c r="I109" s="26"/>
      <c r="J109" s="26"/>
      <c r="K109" s="25"/>
      <c r="L109" s="25">
        <f>SUBTOTAL(9,L108:L108)</f>
        <v>1762</v>
      </c>
      <c r="M109" s="25">
        <f>SUBTOTAL(9,M108:M108)</f>
        <v>4300000</v>
      </c>
    </row>
    <row r="110" spans="1:13" s="18" customFormat="1" outlineLevel="2">
      <c r="A110" s="19" t="s">
        <v>124</v>
      </c>
      <c r="B110" s="20" t="s">
        <v>16</v>
      </c>
      <c r="C110" s="21" t="s">
        <v>77</v>
      </c>
      <c r="D110" s="20" t="s">
        <v>76</v>
      </c>
      <c r="E110" s="3">
        <v>38650000</v>
      </c>
      <c r="F110" s="19">
        <v>43986</v>
      </c>
      <c r="G110" s="3">
        <v>38650000</v>
      </c>
      <c r="H110" s="2">
        <v>5.0000000000000001E-3</v>
      </c>
      <c r="I110" s="19">
        <v>43986</v>
      </c>
      <c r="J110" s="19">
        <v>44012</v>
      </c>
      <c r="K110" s="3">
        <f>J110-I110+1</f>
        <v>27</v>
      </c>
      <c r="L110" s="3">
        <f>ROUND(G110*H110*K110/366,0)</f>
        <v>14256</v>
      </c>
      <c r="M110" s="3">
        <v>38650000</v>
      </c>
    </row>
    <row r="111" spans="1:13" s="18" customFormat="1" ht="13.5" outlineLevel="1">
      <c r="A111" s="22" t="s">
        <v>123</v>
      </c>
      <c r="B111" s="23"/>
      <c r="C111" s="24"/>
      <c r="D111" s="23"/>
      <c r="E111" s="25">
        <f>SUBTOTAL(9,E110:E110)</f>
        <v>38650000</v>
      </c>
      <c r="F111" s="26"/>
      <c r="G111" s="25"/>
      <c r="H111" s="27"/>
      <c r="I111" s="26"/>
      <c r="J111" s="26"/>
      <c r="K111" s="25"/>
      <c r="L111" s="25">
        <f>SUBTOTAL(9,L110:L110)</f>
        <v>14256</v>
      </c>
      <c r="M111" s="25">
        <f>SUBTOTAL(9,M110:M110)</f>
        <v>38650000</v>
      </c>
    </row>
    <row r="112" spans="1:13" s="18" customFormat="1" outlineLevel="2">
      <c r="A112" s="19" t="s">
        <v>70</v>
      </c>
      <c r="B112" s="20" t="s">
        <v>16</v>
      </c>
      <c r="C112" s="21" t="s">
        <v>69</v>
      </c>
      <c r="D112" s="20" t="s">
        <v>68</v>
      </c>
      <c r="E112" s="3">
        <v>330000000</v>
      </c>
      <c r="F112" s="19">
        <v>43915</v>
      </c>
      <c r="G112" s="3">
        <v>330000000</v>
      </c>
      <c r="H112" s="2">
        <v>5.0000000000000001E-3</v>
      </c>
      <c r="I112" s="19">
        <v>43983</v>
      </c>
      <c r="J112" s="19">
        <v>44012</v>
      </c>
      <c r="K112" s="3">
        <f>J112-I112+1</f>
        <v>30</v>
      </c>
      <c r="L112" s="3">
        <f>ROUND(G112*H112*K112/366,0)</f>
        <v>135246</v>
      </c>
      <c r="M112" s="3">
        <v>330000000</v>
      </c>
    </row>
    <row r="113" spans="1:13" s="18" customFormat="1" outlineLevel="2">
      <c r="A113" s="19" t="s">
        <v>70</v>
      </c>
      <c r="B113" s="20" t="s">
        <v>23</v>
      </c>
      <c r="C113" s="21" t="s">
        <v>69</v>
      </c>
      <c r="D113" s="20" t="s">
        <v>68</v>
      </c>
      <c r="E113" s="3">
        <v>93600000</v>
      </c>
      <c r="F113" s="19">
        <v>43955</v>
      </c>
      <c r="G113" s="3">
        <v>93600000</v>
      </c>
      <c r="H113" s="2">
        <v>5.0000000000000001E-3</v>
      </c>
      <c r="I113" s="19">
        <v>43983</v>
      </c>
      <c r="J113" s="19">
        <v>44012</v>
      </c>
      <c r="K113" s="3">
        <f>J113-I113+1</f>
        <v>30</v>
      </c>
      <c r="L113" s="3">
        <f>ROUND(G113*H113*K113/366,0)</f>
        <v>38361</v>
      </c>
      <c r="M113" s="3">
        <v>93600000</v>
      </c>
    </row>
    <row r="114" spans="1:13" s="18" customFormat="1" ht="13.5" outlineLevel="1">
      <c r="A114" s="22" t="s">
        <v>67</v>
      </c>
      <c r="B114" s="23"/>
      <c r="C114" s="24"/>
      <c r="D114" s="23"/>
      <c r="E114" s="25">
        <f>SUBTOTAL(9,E112:E113)</f>
        <v>423600000</v>
      </c>
      <c r="F114" s="26"/>
      <c r="G114" s="25"/>
      <c r="H114" s="27"/>
      <c r="I114" s="26"/>
      <c r="J114" s="26"/>
      <c r="K114" s="25"/>
      <c r="L114" s="25">
        <f>SUBTOTAL(9,L112:L113)</f>
        <v>173607</v>
      </c>
      <c r="M114" s="25">
        <f>SUBTOTAL(9,M112:M113)</f>
        <v>423600000</v>
      </c>
    </row>
    <row r="115" spans="1:13" s="18" customFormat="1" outlineLevel="2">
      <c r="A115" s="19" t="s">
        <v>91</v>
      </c>
      <c r="B115" s="20" t="s">
        <v>16</v>
      </c>
      <c r="C115" s="21" t="s">
        <v>90</v>
      </c>
      <c r="D115" s="20" t="s">
        <v>89</v>
      </c>
      <c r="E115" s="3">
        <v>3400000</v>
      </c>
      <c r="F115" s="19">
        <v>43927</v>
      </c>
      <c r="G115" s="3">
        <v>3400000</v>
      </c>
      <c r="H115" s="2">
        <v>5.0000000000000001E-3</v>
      </c>
      <c r="I115" s="19">
        <v>43983</v>
      </c>
      <c r="J115" s="19">
        <v>44012</v>
      </c>
      <c r="K115" s="3">
        <f>J115-I115+1</f>
        <v>30</v>
      </c>
      <c r="L115" s="3">
        <f>ROUND(G115*H115*K115/366,0)</f>
        <v>1393</v>
      </c>
      <c r="M115" s="3">
        <v>3400000</v>
      </c>
    </row>
    <row r="116" spans="1:13" s="18" customFormat="1" outlineLevel="2">
      <c r="A116" s="19" t="s">
        <v>91</v>
      </c>
      <c r="B116" s="20" t="s">
        <v>23</v>
      </c>
      <c r="C116" s="21" t="s">
        <v>90</v>
      </c>
      <c r="D116" s="20" t="s">
        <v>89</v>
      </c>
      <c r="E116" s="3">
        <v>70440000</v>
      </c>
      <c r="F116" s="19">
        <v>43951</v>
      </c>
      <c r="G116" s="3">
        <v>70440000</v>
      </c>
      <c r="H116" s="2">
        <v>5.0000000000000001E-3</v>
      </c>
      <c r="I116" s="19">
        <v>43983</v>
      </c>
      <c r="J116" s="19">
        <v>44012</v>
      </c>
      <c r="K116" s="3">
        <f>J116-I116+1</f>
        <v>30</v>
      </c>
      <c r="L116" s="3">
        <f>ROUND(G116*H116*K116/366,0)</f>
        <v>28869</v>
      </c>
      <c r="M116" s="3">
        <v>70440000</v>
      </c>
    </row>
    <row r="117" spans="1:13" s="18" customFormat="1" outlineLevel="2">
      <c r="A117" s="19" t="s">
        <v>91</v>
      </c>
      <c r="B117" s="20" t="s">
        <v>29</v>
      </c>
      <c r="C117" s="21" t="s">
        <v>104</v>
      </c>
      <c r="D117" s="20" t="s">
        <v>103</v>
      </c>
      <c r="E117" s="3">
        <v>182300000</v>
      </c>
      <c r="F117" s="19">
        <v>43959</v>
      </c>
      <c r="G117" s="3">
        <v>182300000</v>
      </c>
      <c r="H117" s="2">
        <v>5.0000000000000001E-3</v>
      </c>
      <c r="I117" s="19">
        <v>43983</v>
      </c>
      <c r="J117" s="19">
        <v>44012</v>
      </c>
      <c r="K117" s="3">
        <f>J117-I117+1</f>
        <v>30</v>
      </c>
      <c r="L117" s="3">
        <f>ROUND(G117*H117*K117/366,0)</f>
        <v>74713</v>
      </c>
      <c r="M117" s="3">
        <v>182300000</v>
      </c>
    </row>
    <row r="118" spans="1:13" s="18" customFormat="1" ht="13.5" outlineLevel="1">
      <c r="A118" s="22" t="s">
        <v>88</v>
      </c>
      <c r="B118" s="23"/>
      <c r="C118" s="24"/>
      <c r="D118" s="23"/>
      <c r="E118" s="25">
        <f>SUBTOTAL(9,E115:E117)</f>
        <v>256140000</v>
      </c>
      <c r="F118" s="26"/>
      <c r="G118" s="25"/>
      <c r="H118" s="27"/>
      <c r="I118" s="26"/>
      <c r="J118" s="26"/>
      <c r="K118" s="25"/>
      <c r="L118" s="25">
        <f>SUBTOTAL(9,L115:L117)</f>
        <v>104975</v>
      </c>
      <c r="M118" s="25">
        <f>SUBTOTAL(9,M115:M117)</f>
        <v>256140000</v>
      </c>
    </row>
    <row r="119" spans="1:13" s="18" customFormat="1" outlineLevel="2">
      <c r="A119" s="19" t="s">
        <v>87</v>
      </c>
      <c r="B119" s="20" t="s">
        <v>16</v>
      </c>
      <c r="C119" s="21" t="s">
        <v>69</v>
      </c>
      <c r="D119" s="20" t="s">
        <v>68</v>
      </c>
      <c r="E119" s="3">
        <v>43200000</v>
      </c>
      <c r="F119" s="19">
        <v>43937</v>
      </c>
      <c r="G119" s="3">
        <v>43200000</v>
      </c>
      <c r="H119" s="2">
        <v>3.0000000000000001E-3</v>
      </c>
      <c r="I119" s="19">
        <v>43983</v>
      </c>
      <c r="J119" s="19">
        <v>44012</v>
      </c>
      <c r="K119" s="3">
        <f>J119-I119+1</f>
        <v>30</v>
      </c>
      <c r="L119" s="3">
        <f>ROUND(G119*H119*K119/366,0)</f>
        <v>10623</v>
      </c>
      <c r="M119" s="3">
        <v>43200000</v>
      </c>
    </row>
    <row r="120" spans="1:13" s="18" customFormat="1" ht="13.5" outlineLevel="1">
      <c r="A120" s="22" t="s">
        <v>86</v>
      </c>
      <c r="B120" s="23"/>
      <c r="C120" s="24"/>
      <c r="D120" s="23"/>
      <c r="E120" s="25">
        <f>SUBTOTAL(9,E119:E119)</f>
        <v>43200000</v>
      </c>
      <c r="F120" s="26"/>
      <c r="G120" s="25"/>
      <c r="H120" s="27"/>
      <c r="I120" s="26"/>
      <c r="J120" s="26"/>
      <c r="K120" s="25"/>
      <c r="L120" s="25">
        <f>SUBTOTAL(9,L119:L119)</f>
        <v>10623</v>
      </c>
      <c r="M120" s="25">
        <f>SUBTOTAL(9,M119:M119)</f>
        <v>43200000</v>
      </c>
    </row>
    <row r="121" spans="1:13" s="18" customFormat="1" outlineLevel="2">
      <c r="A121" s="19" t="s">
        <v>40</v>
      </c>
      <c r="B121" s="20" t="s">
        <v>16</v>
      </c>
      <c r="C121" s="21" t="s">
        <v>41</v>
      </c>
      <c r="D121" s="20" t="s">
        <v>42</v>
      </c>
      <c r="E121" s="3">
        <v>126000000</v>
      </c>
      <c r="F121" s="19">
        <v>43804</v>
      </c>
      <c r="G121" s="3">
        <v>126000000</v>
      </c>
      <c r="H121" s="2">
        <v>5.0000000000000001E-3</v>
      </c>
      <c r="I121" s="19">
        <v>43983</v>
      </c>
      <c r="J121" s="19">
        <v>44012</v>
      </c>
      <c r="K121" s="3">
        <f t="shared" ref="K121:K145" si="14">J121-I121+1</f>
        <v>30</v>
      </c>
      <c r="L121" s="3">
        <f t="shared" ref="L121:L145" si="15">ROUND(G121*H121*K121/366,0)</f>
        <v>51639</v>
      </c>
      <c r="M121" s="3">
        <v>126000000</v>
      </c>
    </row>
    <row r="122" spans="1:13" s="18" customFormat="1" outlineLevel="2">
      <c r="A122" s="19" t="s">
        <v>40</v>
      </c>
      <c r="B122" s="20" t="s">
        <v>61</v>
      </c>
      <c r="C122" s="21" t="s">
        <v>47</v>
      </c>
      <c r="D122" s="20" t="s">
        <v>42</v>
      </c>
      <c r="E122" s="3">
        <v>46600000</v>
      </c>
      <c r="F122" s="19">
        <v>43866</v>
      </c>
      <c r="G122" s="3">
        <v>46600000</v>
      </c>
      <c r="H122" s="2">
        <v>5.0000000000000001E-3</v>
      </c>
      <c r="I122" s="19">
        <v>43983</v>
      </c>
      <c r="J122" s="19">
        <v>44012</v>
      </c>
      <c r="K122" s="3">
        <f t="shared" si="14"/>
        <v>30</v>
      </c>
      <c r="L122" s="3">
        <f t="shared" si="15"/>
        <v>19098</v>
      </c>
      <c r="M122" s="3">
        <v>46600000</v>
      </c>
    </row>
    <row r="123" spans="1:13" s="18" customFormat="1" outlineLevel="2">
      <c r="A123" s="19" t="s">
        <v>40</v>
      </c>
      <c r="B123" s="20" t="s">
        <v>60</v>
      </c>
      <c r="C123" s="21" t="s">
        <v>47</v>
      </c>
      <c r="D123" s="20" t="s">
        <v>42</v>
      </c>
      <c r="E123" s="3">
        <v>1300000</v>
      </c>
      <c r="F123" s="19">
        <v>43866</v>
      </c>
      <c r="G123" s="3">
        <v>1300000</v>
      </c>
      <c r="H123" s="2">
        <v>5.0000000000000001E-3</v>
      </c>
      <c r="I123" s="19">
        <v>43983</v>
      </c>
      <c r="J123" s="19">
        <v>44012</v>
      </c>
      <c r="K123" s="3">
        <f t="shared" si="14"/>
        <v>30</v>
      </c>
      <c r="L123" s="3">
        <f t="shared" si="15"/>
        <v>533</v>
      </c>
      <c r="M123" s="3">
        <v>1300000</v>
      </c>
    </row>
    <row r="124" spans="1:13" s="18" customFormat="1" outlineLevel="2">
      <c r="A124" s="19" t="s">
        <v>40</v>
      </c>
      <c r="B124" s="20" t="s">
        <v>66</v>
      </c>
      <c r="C124" s="21" t="s">
        <v>43</v>
      </c>
      <c r="D124" s="20" t="s">
        <v>44</v>
      </c>
      <c r="E124" s="3">
        <v>9087600</v>
      </c>
      <c r="F124" s="19">
        <v>43901</v>
      </c>
      <c r="G124" s="3">
        <v>9087600</v>
      </c>
      <c r="H124" s="2">
        <v>5.0000000000000001E-3</v>
      </c>
      <c r="I124" s="19">
        <v>43983</v>
      </c>
      <c r="J124" s="19">
        <v>44012</v>
      </c>
      <c r="K124" s="3">
        <f t="shared" si="14"/>
        <v>30</v>
      </c>
      <c r="L124" s="3">
        <f t="shared" si="15"/>
        <v>3724</v>
      </c>
      <c r="M124" s="3">
        <v>9087600</v>
      </c>
    </row>
    <row r="125" spans="1:13" s="18" customFormat="1" outlineLevel="2">
      <c r="A125" s="19" t="s">
        <v>40</v>
      </c>
      <c r="B125" s="20" t="s">
        <v>65</v>
      </c>
      <c r="C125" s="21" t="s">
        <v>43</v>
      </c>
      <c r="D125" s="20" t="s">
        <v>44</v>
      </c>
      <c r="E125" s="3">
        <v>7270080</v>
      </c>
      <c r="F125" s="19">
        <v>43901</v>
      </c>
      <c r="G125" s="3">
        <v>7270080</v>
      </c>
      <c r="H125" s="2">
        <v>5.0000000000000001E-3</v>
      </c>
      <c r="I125" s="19">
        <v>43983</v>
      </c>
      <c r="J125" s="19">
        <v>44012</v>
      </c>
      <c r="K125" s="3">
        <f t="shared" si="14"/>
        <v>30</v>
      </c>
      <c r="L125" s="3">
        <f t="shared" si="15"/>
        <v>2980</v>
      </c>
      <c r="M125" s="3">
        <v>7270080</v>
      </c>
    </row>
    <row r="126" spans="1:13" s="18" customFormat="1" outlineLevel="2">
      <c r="A126" s="19" t="s">
        <v>40</v>
      </c>
      <c r="B126" s="20" t="s">
        <v>64</v>
      </c>
      <c r="C126" s="21" t="s">
        <v>47</v>
      </c>
      <c r="D126" s="20" t="s">
        <v>42</v>
      </c>
      <c r="E126" s="3">
        <v>99400000</v>
      </c>
      <c r="F126" s="19">
        <v>43917</v>
      </c>
      <c r="G126" s="3">
        <v>99400000</v>
      </c>
      <c r="H126" s="2">
        <v>5.0000000000000001E-3</v>
      </c>
      <c r="I126" s="19">
        <v>43983</v>
      </c>
      <c r="J126" s="19">
        <v>44012</v>
      </c>
      <c r="K126" s="3">
        <f t="shared" si="14"/>
        <v>30</v>
      </c>
      <c r="L126" s="3">
        <f t="shared" si="15"/>
        <v>40738</v>
      </c>
      <c r="M126" s="3">
        <v>99400000</v>
      </c>
    </row>
    <row r="127" spans="1:13" s="18" customFormat="1" outlineLevel="2">
      <c r="A127" s="19" t="s">
        <v>40</v>
      </c>
      <c r="B127" s="20" t="s">
        <v>85</v>
      </c>
      <c r="C127" s="21" t="s">
        <v>43</v>
      </c>
      <c r="D127" s="20" t="s">
        <v>44</v>
      </c>
      <c r="E127" s="3">
        <v>9087600</v>
      </c>
      <c r="F127" s="19">
        <v>43929</v>
      </c>
      <c r="G127" s="3">
        <v>9087600</v>
      </c>
      <c r="H127" s="2">
        <v>5.0000000000000001E-3</v>
      </c>
      <c r="I127" s="19">
        <v>43983</v>
      </c>
      <c r="J127" s="19">
        <v>44012</v>
      </c>
      <c r="K127" s="3">
        <f t="shared" si="14"/>
        <v>30</v>
      </c>
      <c r="L127" s="3">
        <f t="shared" si="15"/>
        <v>3724</v>
      </c>
      <c r="M127" s="3">
        <v>9087600</v>
      </c>
    </row>
    <row r="128" spans="1:13" s="18" customFormat="1" outlineLevel="2">
      <c r="A128" s="19" t="s">
        <v>40</v>
      </c>
      <c r="B128" s="20" t="s">
        <v>84</v>
      </c>
      <c r="C128" s="21" t="s">
        <v>43</v>
      </c>
      <c r="D128" s="20" t="s">
        <v>44</v>
      </c>
      <c r="E128" s="3">
        <v>13007640</v>
      </c>
      <c r="F128" s="19">
        <v>43929</v>
      </c>
      <c r="G128" s="3">
        <v>13007640</v>
      </c>
      <c r="H128" s="2">
        <v>5.0000000000000001E-3</v>
      </c>
      <c r="I128" s="19">
        <v>43983</v>
      </c>
      <c r="J128" s="19">
        <v>44012</v>
      </c>
      <c r="K128" s="3">
        <f t="shared" si="14"/>
        <v>30</v>
      </c>
      <c r="L128" s="3">
        <f t="shared" si="15"/>
        <v>5331</v>
      </c>
      <c r="M128" s="3">
        <v>13007640</v>
      </c>
    </row>
    <row r="129" spans="1:13" s="18" customFormat="1" outlineLevel="2">
      <c r="A129" s="19" t="s">
        <v>40</v>
      </c>
      <c r="B129" s="20" t="s">
        <v>83</v>
      </c>
      <c r="C129" s="21" t="s">
        <v>82</v>
      </c>
      <c r="D129" s="20" t="s">
        <v>81</v>
      </c>
      <c r="E129" s="3">
        <v>61668037</v>
      </c>
      <c r="F129" s="19">
        <v>43949</v>
      </c>
      <c r="G129" s="3">
        <v>61668037</v>
      </c>
      <c r="H129" s="2">
        <v>5.0000000000000001E-3</v>
      </c>
      <c r="I129" s="19">
        <v>43983</v>
      </c>
      <c r="J129" s="19">
        <v>44012</v>
      </c>
      <c r="K129" s="3">
        <f t="shared" si="14"/>
        <v>30</v>
      </c>
      <c r="L129" s="3">
        <f t="shared" si="15"/>
        <v>25274</v>
      </c>
      <c r="M129" s="3">
        <v>61668037</v>
      </c>
    </row>
    <row r="130" spans="1:13" s="18" customFormat="1" outlineLevel="2">
      <c r="A130" s="19" t="s">
        <v>40</v>
      </c>
      <c r="B130" s="20" t="s">
        <v>102</v>
      </c>
      <c r="C130" s="21" t="s">
        <v>43</v>
      </c>
      <c r="D130" s="20" t="s">
        <v>44</v>
      </c>
      <c r="E130" s="3">
        <v>13007640</v>
      </c>
      <c r="F130" s="19">
        <v>43964</v>
      </c>
      <c r="G130" s="3">
        <v>13007640</v>
      </c>
      <c r="H130" s="2">
        <v>5.0000000000000001E-3</v>
      </c>
      <c r="I130" s="19">
        <v>43983</v>
      </c>
      <c r="J130" s="19">
        <v>44012</v>
      </c>
      <c r="K130" s="3">
        <f t="shared" si="14"/>
        <v>30</v>
      </c>
      <c r="L130" s="3">
        <f t="shared" si="15"/>
        <v>5331</v>
      </c>
      <c r="M130" s="3">
        <v>13007640</v>
      </c>
    </row>
    <row r="131" spans="1:13" s="18" customFormat="1" outlineLevel="2">
      <c r="A131" s="19" t="s">
        <v>40</v>
      </c>
      <c r="B131" s="20" t="s">
        <v>101</v>
      </c>
      <c r="C131" s="21" t="s">
        <v>43</v>
      </c>
      <c r="D131" s="20" t="s">
        <v>44</v>
      </c>
      <c r="E131" s="3">
        <v>6361320</v>
      </c>
      <c r="F131" s="19">
        <v>43964</v>
      </c>
      <c r="G131" s="3">
        <v>6361320</v>
      </c>
      <c r="H131" s="2">
        <v>5.0000000000000001E-3</v>
      </c>
      <c r="I131" s="19">
        <v>43983</v>
      </c>
      <c r="J131" s="19">
        <v>44012</v>
      </c>
      <c r="K131" s="3">
        <f t="shared" si="14"/>
        <v>30</v>
      </c>
      <c r="L131" s="3">
        <f t="shared" si="15"/>
        <v>2607</v>
      </c>
      <c r="M131" s="3">
        <v>6361320</v>
      </c>
    </row>
    <row r="132" spans="1:13" s="18" customFormat="1" outlineLevel="2">
      <c r="A132" s="19" t="s">
        <v>40</v>
      </c>
      <c r="B132" s="20" t="s">
        <v>23</v>
      </c>
      <c r="C132" s="21" t="s">
        <v>43</v>
      </c>
      <c r="D132" s="20" t="s">
        <v>44</v>
      </c>
      <c r="E132" s="3">
        <v>5452560</v>
      </c>
      <c r="F132" s="19">
        <v>43810</v>
      </c>
      <c r="G132" s="3">
        <v>5452560</v>
      </c>
      <c r="H132" s="2">
        <v>5.0000000000000001E-3</v>
      </c>
      <c r="I132" s="19">
        <v>43983</v>
      </c>
      <c r="J132" s="19">
        <v>44012</v>
      </c>
      <c r="K132" s="3">
        <f t="shared" si="14"/>
        <v>30</v>
      </c>
      <c r="L132" s="3">
        <f t="shared" si="15"/>
        <v>2235</v>
      </c>
      <c r="M132" s="3">
        <v>5452560</v>
      </c>
    </row>
    <row r="133" spans="1:13" s="18" customFormat="1" outlineLevel="2">
      <c r="A133" s="19" t="s">
        <v>40</v>
      </c>
      <c r="B133" s="20" t="s">
        <v>100</v>
      </c>
      <c r="C133" s="21" t="s">
        <v>47</v>
      </c>
      <c r="D133" s="20" t="s">
        <v>42</v>
      </c>
      <c r="E133" s="3">
        <v>69800000</v>
      </c>
      <c r="F133" s="19">
        <v>43956</v>
      </c>
      <c r="G133" s="3">
        <v>69800000</v>
      </c>
      <c r="H133" s="2">
        <v>5.0000000000000001E-3</v>
      </c>
      <c r="I133" s="19">
        <v>43983</v>
      </c>
      <c r="J133" s="19">
        <v>44012</v>
      </c>
      <c r="K133" s="3">
        <f t="shared" si="14"/>
        <v>30</v>
      </c>
      <c r="L133" s="3">
        <f t="shared" si="15"/>
        <v>28607</v>
      </c>
      <c r="M133" s="3">
        <v>69800000</v>
      </c>
    </row>
    <row r="134" spans="1:13" s="18" customFormat="1" outlineLevel="2">
      <c r="A134" s="19" t="s">
        <v>40</v>
      </c>
      <c r="B134" s="20" t="s">
        <v>99</v>
      </c>
      <c r="C134" s="21" t="s">
        <v>47</v>
      </c>
      <c r="D134" s="20" t="s">
        <v>42</v>
      </c>
      <c r="E134" s="3">
        <v>1500000</v>
      </c>
      <c r="F134" s="19">
        <v>43956</v>
      </c>
      <c r="G134" s="3">
        <v>1500000</v>
      </c>
      <c r="H134" s="2">
        <v>5.0000000000000001E-3</v>
      </c>
      <c r="I134" s="19">
        <v>43983</v>
      </c>
      <c r="J134" s="19">
        <v>44012</v>
      </c>
      <c r="K134" s="3">
        <f t="shared" si="14"/>
        <v>30</v>
      </c>
      <c r="L134" s="3">
        <f t="shared" si="15"/>
        <v>615</v>
      </c>
      <c r="M134" s="3">
        <v>1500000</v>
      </c>
    </row>
    <row r="135" spans="1:13" s="18" customFormat="1" outlineLevel="2">
      <c r="A135" s="19" t="s">
        <v>40</v>
      </c>
      <c r="B135" s="20" t="s">
        <v>98</v>
      </c>
      <c r="C135" s="21" t="s">
        <v>97</v>
      </c>
      <c r="D135" s="20" t="s">
        <v>96</v>
      </c>
      <c r="E135" s="3">
        <v>50000000</v>
      </c>
      <c r="F135" s="19">
        <v>43976</v>
      </c>
      <c r="G135" s="3">
        <v>50000000</v>
      </c>
      <c r="H135" s="2">
        <v>5.0000000000000001E-3</v>
      </c>
      <c r="I135" s="19">
        <v>43983</v>
      </c>
      <c r="J135" s="19">
        <v>44012</v>
      </c>
      <c r="K135" s="3">
        <f t="shared" si="14"/>
        <v>30</v>
      </c>
      <c r="L135" s="3">
        <f t="shared" si="15"/>
        <v>20492</v>
      </c>
      <c r="M135" s="3">
        <v>50000000</v>
      </c>
    </row>
    <row r="136" spans="1:13" s="18" customFormat="1" outlineLevel="2">
      <c r="A136" s="19" t="s">
        <v>40</v>
      </c>
      <c r="B136" s="20" t="s">
        <v>122</v>
      </c>
      <c r="C136" s="21" t="s">
        <v>43</v>
      </c>
      <c r="D136" s="20" t="s">
        <v>44</v>
      </c>
      <c r="E136" s="3">
        <v>6657720</v>
      </c>
      <c r="F136" s="19">
        <v>43992</v>
      </c>
      <c r="G136" s="3">
        <v>6657720</v>
      </c>
      <c r="H136" s="2">
        <v>5.0000000000000001E-3</v>
      </c>
      <c r="I136" s="19">
        <v>43992</v>
      </c>
      <c r="J136" s="19">
        <v>44012</v>
      </c>
      <c r="K136" s="3">
        <f t="shared" si="14"/>
        <v>21</v>
      </c>
      <c r="L136" s="3">
        <f t="shared" si="15"/>
        <v>1910</v>
      </c>
      <c r="M136" s="3">
        <v>6657720</v>
      </c>
    </row>
    <row r="137" spans="1:13" s="18" customFormat="1" outlineLevel="2">
      <c r="A137" s="19" t="s">
        <v>40</v>
      </c>
      <c r="B137" s="20" t="s">
        <v>121</v>
      </c>
      <c r="C137" s="21" t="s">
        <v>43</v>
      </c>
      <c r="D137" s="20" t="s">
        <v>44</v>
      </c>
      <c r="E137" s="3">
        <v>6361320</v>
      </c>
      <c r="F137" s="19">
        <v>43992</v>
      </c>
      <c r="G137" s="3">
        <v>6361320</v>
      </c>
      <c r="H137" s="2">
        <v>5.0000000000000001E-3</v>
      </c>
      <c r="I137" s="19">
        <v>43992</v>
      </c>
      <c r="J137" s="19">
        <v>44012</v>
      </c>
      <c r="K137" s="3">
        <f t="shared" si="14"/>
        <v>21</v>
      </c>
      <c r="L137" s="3">
        <f t="shared" si="15"/>
        <v>1825</v>
      </c>
      <c r="M137" s="3">
        <v>6361320</v>
      </c>
    </row>
    <row r="138" spans="1:13" s="18" customFormat="1" outlineLevel="2">
      <c r="A138" s="19" t="s">
        <v>40</v>
      </c>
      <c r="B138" s="20" t="s">
        <v>120</v>
      </c>
      <c r="C138" s="21" t="s">
        <v>47</v>
      </c>
      <c r="D138" s="20" t="s">
        <v>42</v>
      </c>
      <c r="E138" s="3">
        <v>41200000</v>
      </c>
      <c r="F138" s="19">
        <v>43987</v>
      </c>
      <c r="G138" s="3">
        <v>41200000</v>
      </c>
      <c r="H138" s="2">
        <v>5.0000000000000001E-3</v>
      </c>
      <c r="I138" s="19">
        <v>43987</v>
      </c>
      <c r="J138" s="19">
        <v>44012</v>
      </c>
      <c r="K138" s="3">
        <f t="shared" si="14"/>
        <v>26</v>
      </c>
      <c r="L138" s="3">
        <f t="shared" si="15"/>
        <v>14634</v>
      </c>
      <c r="M138" s="3">
        <v>41200000</v>
      </c>
    </row>
    <row r="139" spans="1:13" s="18" customFormat="1" outlineLevel="2">
      <c r="A139" s="19" t="s">
        <v>40</v>
      </c>
      <c r="B139" s="20" t="s">
        <v>29</v>
      </c>
      <c r="C139" s="21" t="s">
        <v>45</v>
      </c>
      <c r="D139" s="20" t="s">
        <v>46</v>
      </c>
      <c r="E139" s="3">
        <v>220000000</v>
      </c>
      <c r="F139" s="19">
        <v>43815</v>
      </c>
      <c r="G139" s="3">
        <v>220000000</v>
      </c>
      <c r="H139" s="2">
        <v>5.0000000000000001E-3</v>
      </c>
      <c r="I139" s="19">
        <v>43983</v>
      </c>
      <c r="J139" s="19">
        <v>44012</v>
      </c>
      <c r="K139" s="3">
        <f t="shared" si="14"/>
        <v>30</v>
      </c>
      <c r="L139" s="3">
        <f t="shared" si="15"/>
        <v>90164</v>
      </c>
      <c r="M139" s="3">
        <v>220000000</v>
      </c>
    </row>
    <row r="140" spans="1:13" s="18" customFormat="1" outlineLevel="2">
      <c r="A140" s="19" t="s">
        <v>40</v>
      </c>
      <c r="B140" s="20" t="s">
        <v>30</v>
      </c>
      <c r="C140" s="21" t="s">
        <v>43</v>
      </c>
      <c r="D140" s="20" t="s">
        <v>44</v>
      </c>
      <c r="E140" s="3">
        <v>5452560</v>
      </c>
      <c r="F140" s="19">
        <v>43838</v>
      </c>
      <c r="G140" s="3">
        <v>5452560</v>
      </c>
      <c r="H140" s="2">
        <v>5.0000000000000001E-3</v>
      </c>
      <c r="I140" s="19">
        <v>43983</v>
      </c>
      <c r="J140" s="19">
        <v>44012</v>
      </c>
      <c r="K140" s="3">
        <f t="shared" si="14"/>
        <v>30</v>
      </c>
      <c r="L140" s="3">
        <f t="shared" si="15"/>
        <v>2235</v>
      </c>
      <c r="M140" s="3">
        <v>5452560</v>
      </c>
    </row>
    <row r="141" spans="1:13" s="18" customFormat="1" outlineLevel="2">
      <c r="A141" s="19" t="s">
        <v>40</v>
      </c>
      <c r="B141" s="20" t="s">
        <v>31</v>
      </c>
      <c r="C141" s="21" t="s">
        <v>43</v>
      </c>
      <c r="D141" s="20" t="s">
        <v>44</v>
      </c>
      <c r="E141" s="3">
        <v>5452560</v>
      </c>
      <c r="F141" s="19">
        <v>43838</v>
      </c>
      <c r="G141" s="3">
        <v>5452560</v>
      </c>
      <c r="H141" s="2">
        <v>5.0000000000000001E-3</v>
      </c>
      <c r="I141" s="19">
        <v>43983</v>
      </c>
      <c r="J141" s="19">
        <v>44012</v>
      </c>
      <c r="K141" s="3">
        <f t="shared" si="14"/>
        <v>30</v>
      </c>
      <c r="L141" s="3">
        <f t="shared" si="15"/>
        <v>2235</v>
      </c>
      <c r="M141" s="3">
        <v>5452560</v>
      </c>
    </row>
    <row r="142" spans="1:13" s="18" customFormat="1" outlineLevel="2">
      <c r="A142" s="19" t="s">
        <v>40</v>
      </c>
      <c r="B142" s="20" t="s">
        <v>32</v>
      </c>
      <c r="C142" s="21" t="s">
        <v>47</v>
      </c>
      <c r="D142" s="20" t="s">
        <v>42</v>
      </c>
      <c r="E142" s="3">
        <v>55600000</v>
      </c>
      <c r="F142" s="19">
        <v>43833</v>
      </c>
      <c r="G142" s="3">
        <v>55600000</v>
      </c>
      <c r="H142" s="2">
        <v>5.0000000000000001E-3</v>
      </c>
      <c r="I142" s="19">
        <v>43983</v>
      </c>
      <c r="J142" s="19">
        <v>44012</v>
      </c>
      <c r="K142" s="3">
        <f t="shared" si="14"/>
        <v>30</v>
      </c>
      <c r="L142" s="3">
        <f t="shared" si="15"/>
        <v>22787</v>
      </c>
      <c r="M142" s="3">
        <v>55600000</v>
      </c>
    </row>
    <row r="143" spans="1:13" s="18" customFormat="1" outlineLevel="2">
      <c r="A143" s="19" t="s">
        <v>40</v>
      </c>
      <c r="B143" s="20" t="s">
        <v>48</v>
      </c>
      <c r="C143" s="21" t="s">
        <v>47</v>
      </c>
      <c r="D143" s="20" t="s">
        <v>42</v>
      </c>
      <c r="E143" s="3">
        <v>28400000</v>
      </c>
      <c r="F143" s="19">
        <v>43833</v>
      </c>
      <c r="G143" s="3">
        <v>28400000</v>
      </c>
      <c r="H143" s="2">
        <v>5.0000000000000001E-3</v>
      </c>
      <c r="I143" s="19">
        <v>43983</v>
      </c>
      <c r="J143" s="19">
        <v>44012</v>
      </c>
      <c r="K143" s="3">
        <f t="shared" si="14"/>
        <v>30</v>
      </c>
      <c r="L143" s="3">
        <f t="shared" si="15"/>
        <v>11639</v>
      </c>
      <c r="M143" s="3">
        <v>28400000</v>
      </c>
    </row>
    <row r="144" spans="1:13" s="18" customFormat="1" outlineLevel="2">
      <c r="A144" s="19" t="s">
        <v>40</v>
      </c>
      <c r="B144" s="20" t="s">
        <v>59</v>
      </c>
      <c r="C144" s="21" t="s">
        <v>43</v>
      </c>
      <c r="D144" s="20" t="s">
        <v>44</v>
      </c>
      <c r="E144" s="3">
        <v>5452560</v>
      </c>
      <c r="F144" s="19">
        <v>43873</v>
      </c>
      <c r="G144" s="3">
        <v>5452560</v>
      </c>
      <c r="H144" s="2">
        <v>5.0000000000000001E-3</v>
      </c>
      <c r="I144" s="19">
        <v>43983</v>
      </c>
      <c r="J144" s="19">
        <v>44012</v>
      </c>
      <c r="K144" s="3">
        <f t="shared" si="14"/>
        <v>30</v>
      </c>
      <c r="L144" s="3">
        <f t="shared" si="15"/>
        <v>2235</v>
      </c>
      <c r="M144" s="3">
        <v>5452560</v>
      </c>
    </row>
    <row r="145" spans="1:13" s="18" customFormat="1" outlineLevel="2">
      <c r="A145" s="19" t="s">
        <v>40</v>
      </c>
      <c r="B145" s="20" t="s">
        <v>58</v>
      </c>
      <c r="C145" s="21" t="s">
        <v>43</v>
      </c>
      <c r="D145" s="20" t="s">
        <v>44</v>
      </c>
      <c r="E145" s="3">
        <v>7270080</v>
      </c>
      <c r="F145" s="19">
        <v>43873</v>
      </c>
      <c r="G145" s="3">
        <v>7270080</v>
      </c>
      <c r="H145" s="2">
        <v>5.0000000000000001E-3</v>
      </c>
      <c r="I145" s="19">
        <v>43983</v>
      </c>
      <c r="J145" s="19">
        <v>44012</v>
      </c>
      <c r="K145" s="3">
        <f t="shared" si="14"/>
        <v>30</v>
      </c>
      <c r="L145" s="3">
        <f t="shared" si="15"/>
        <v>2980</v>
      </c>
      <c r="M145" s="3">
        <v>7270080</v>
      </c>
    </row>
    <row r="146" spans="1:13" s="18" customFormat="1" ht="13.5" outlineLevel="1">
      <c r="A146" s="22" t="s">
        <v>49</v>
      </c>
      <c r="B146" s="23"/>
      <c r="C146" s="24"/>
      <c r="D146" s="23"/>
      <c r="E146" s="25">
        <f>SUBTOTAL(9,E121:E145)</f>
        <v>901389277</v>
      </c>
      <c r="F146" s="26"/>
      <c r="G146" s="25"/>
      <c r="H146" s="27"/>
      <c r="I146" s="26"/>
      <c r="J146" s="26"/>
      <c r="K146" s="25"/>
      <c r="L146" s="25">
        <f>SUBTOTAL(9,L121:L145)</f>
        <v>365572</v>
      </c>
      <c r="M146" s="25">
        <f>SUBTOTAL(9,M121:M145)</f>
        <v>901389277</v>
      </c>
    </row>
    <row r="147" spans="1:13" s="18" customFormat="1" outlineLevel="2">
      <c r="A147" s="19" t="s">
        <v>119</v>
      </c>
      <c r="B147" s="20" t="s">
        <v>16</v>
      </c>
      <c r="C147" s="21" t="s">
        <v>97</v>
      </c>
      <c r="D147" s="20" t="s">
        <v>96</v>
      </c>
      <c r="E147" s="3">
        <v>20000000</v>
      </c>
      <c r="F147" s="19">
        <v>43985</v>
      </c>
      <c r="G147" s="3">
        <v>20000000</v>
      </c>
      <c r="H147" s="2">
        <v>5.0000000000000001E-3</v>
      </c>
      <c r="I147" s="19">
        <v>43985</v>
      </c>
      <c r="J147" s="19">
        <v>44012</v>
      </c>
      <c r="K147" s="3">
        <f>J147-I147+1</f>
        <v>28</v>
      </c>
      <c r="L147" s="3">
        <f>ROUND(G147*H147*K147/366,0)</f>
        <v>7650</v>
      </c>
      <c r="M147" s="3">
        <v>20000000</v>
      </c>
    </row>
    <row r="148" spans="1:13" s="18" customFormat="1" ht="13.5" outlineLevel="1">
      <c r="A148" s="22" t="s">
        <v>118</v>
      </c>
      <c r="B148" s="23"/>
      <c r="C148" s="24"/>
      <c r="D148" s="23"/>
      <c r="E148" s="25">
        <f>SUBTOTAL(9,E147:E147)</f>
        <v>20000000</v>
      </c>
      <c r="F148" s="26"/>
      <c r="G148" s="25"/>
      <c r="H148" s="27"/>
      <c r="I148" s="26"/>
      <c r="J148" s="26"/>
      <c r="K148" s="25"/>
      <c r="L148" s="25">
        <f>SUBTOTAL(9,L147:L147)</f>
        <v>7650</v>
      </c>
      <c r="M148" s="25">
        <f>SUBTOTAL(9,M147:M147)</f>
        <v>20000000</v>
      </c>
    </row>
    <row r="149" spans="1:13" s="18" customFormat="1" outlineLevel="2">
      <c r="A149" s="19" t="s">
        <v>63</v>
      </c>
      <c r="B149" s="20" t="s">
        <v>16</v>
      </c>
      <c r="C149" s="21" t="s">
        <v>21</v>
      </c>
      <c r="D149" s="20" t="s">
        <v>22</v>
      </c>
      <c r="E149" s="3">
        <v>72000000</v>
      </c>
      <c r="F149" s="19">
        <v>43917</v>
      </c>
      <c r="G149" s="3">
        <v>72000000</v>
      </c>
      <c r="H149" s="2">
        <v>5.0000000000000001E-3</v>
      </c>
      <c r="I149" s="19">
        <v>43983</v>
      </c>
      <c r="J149" s="19">
        <v>44012</v>
      </c>
      <c r="K149" s="3">
        <f>J149-I149+1</f>
        <v>30</v>
      </c>
      <c r="L149" s="3">
        <f>ROUND(G149*H149*K149/366,0)</f>
        <v>29508</v>
      </c>
      <c r="M149" s="3">
        <v>72000000</v>
      </c>
    </row>
    <row r="150" spans="1:13" s="18" customFormat="1" ht="13.5" outlineLevel="1">
      <c r="A150" s="22" t="s">
        <v>62</v>
      </c>
      <c r="B150" s="23"/>
      <c r="C150" s="24"/>
      <c r="D150" s="23"/>
      <c r="E150" s="25">
        <f>SUBTOTAL(9,E149:E149)</f>
        <v>72000000</v>
      </c>
      <c r="F150" s="26"/>
      <c r="G150" s="25"/>
      <c r="H150" s="27"/>
      <c r="I150" s="26"/>
      <c r="J150" s="26"/>
      <c r="K150" s="25"/>
      <c r="L150" s="25">
        <f>SUBTOTAL(9,L149:L149)</f>
        <v>29508</v>
      </c>
      <c r="M150" s="25">
        <f>SUBTOTAL(9,M149:M149)</f>
        <v>72000000</v>
      </c>
    </row>
    <row r="151" spans="1:13" s="18" customFormat="1" outlineLevel="2">
      <c r="A151" s="19" t="s">
        <v>50</v>
      </c>
      <c r="B151" s="20" t="s">
        <v>16</v>
      </c>
      <c r="C151" s="21" t="s">
        <v>21</v>
      </c>
      <c r="D151" s="20" t="s">
        <v>22</v>
      </c>
      <c r="E151" s="3">
        <v>190000000</v>
      </c>
      <c r="F151" s="19">
        <v>43797</v>
      </c>
      <c r="G151" s="3">
        <v>190000000</v>
      </c>
      <c r="H151" s="2">
        <v>5.0000000000000001E-3</v>
      </c>
      <c r="I151" s="19">
        <v>43983</v>
      </c>
      <c r="J151" s="19">
        <v>44012</v>
      </c>
      <c r="K151" s="3">
        <f t="shared" ref="K151:K160" si="16">J151-I151+1</f>
        <v>30</v>
      </c>
      <c r="L151" s="3">
        <f t="shared" ref="L151:L160" si="17">ROUND(G151*H151*K151/366,0)</f>
        <v>77869</v>
      </c>
      <c r="M151" s="3">
        <v>190000000</v>
      </c>
    </row>
    <row r="152" spans="1:13" s="18" customFormat="1" outlineLevel="2">
      <c r="A152" s="19" t="s">
        <v>50</v>
      </c>
      <c r="B152" s="20" t="s">
        <v>23</v>
      </c>
      <c r="C152" s="21" t="s">
        <v>21</v>
      </c>
      <c r="D152" s="20" t="s">
        <v>22</v>
      </c>
      <c r="E152" s="3">
        <v>37000000</v>
      </c>
      <c r="F152" s="19">
        <v>43829</v>
      </c>
      <c r="G152" s="3">
        <v>37000000</v>
      </c>
      <c r="H152" s="2">
        <v>5.0000000000000001E-3</v>
      </c>
      <c r="I152" s="19">
        <v>43983</v>
      </c>
      <c r="J152" s="19">
        <v>44012</v>
      </c>
      <c r="K152" s="3">
        <f t="shared" si="16"/>
        <v>30</v>
      </c>
      <c r="L152" s="3">
        <f t="shared" si="17"/>
        <v>15164</v>
      </c>
      <c r="M152" s="3">
        <v>37000000</v>
      </c>
    </row>
    <row r="153" spans="1:13" s="18" customFormat="1" outlineLevel="2">
      <c r="A153" s="19" t="s">
        <v>50</v>
      </c>
      <c r="B153" s="20" t="s">
        <v>29</v>
      </c>
      <c r="C153" s="21" t="s">
        <v>287</v>
      </c>
      <c r="D153" s="20" t="s">
        <v>56</v>
      </c>
      <c r="E153" s="3">
        <v>17276700</v>
      </c>
      <c r="F153" s="19">
        <v>43878</v>
      </c>
      <c r="G153" s="3">
        <v>16412865</v>
      </c>
      <c r="H153" s="2">
        <v>5.0000000000000001E-3</v>
      </c>
      <c r="I153" s="19">
        <v>43983</v>
      </c>
      <c r="J153" s="19">
        <v>43996</v>
      </c>
      <c r="K153" s="3">
        <f t="shared" si="16"/>
        <v>14</v>
      </c>
      <c r="L153" s="3">
        <f t="shared" si="17"/>
        <v>3139</v>
      </c>
      <c r="M153" s="3">
        <v>16124920</v>
      </c>
    </row>
    <row r="154" spans="1:13" s="18" customFormat="1" outlineLevel="2">
      <c r="A154" s="19" t="s">
        <v>50</v>
      </c>
      <c r="B154" s="20" t="s">
        <v>29</v>
      </c>
      <c r="C154" s="21" t="s">
        <v>57</v>
      </c>
      <c r="D154" s="20"/>
      <c r="E154" s="3"/>
      <c r="F154" s="19"/>
      <c r="G154" s="3">
        <v>16124920</v>
      </c>
      <c r="H154" s="2">
        <v>5.0000000000000001E-3</v>
      </c>
      <c r="I154" s="19">
        <v>43997</v>
      </c>
      <c r="J154" s="19">
        <v>44012</v>
      </c>
      <c r="K154" s="3">
        <f t="shared" si="16"/>
        <v>16</v>
      </c>
      <c r="L154" s="3">
        <f t="shared" si="17"/>
        <v>3525</v>
      </c>
      <c r="M154" s="3"/>
    </row>
    <row r="155" spans="1:13" s="18" customFormat="1" outlineLevel="2">
      <c r="A155" s="19" t="s">
        <v>50</v>
      </c>
      <c r="B155" s="20" t="s">
        <v>30</v>
      </c>
      <c r="C155" s="21" t="s">
        <v>21</v>
      </c>
      <c r="D155" s="20" t="s">
        <v>22</v>
      </c>
      <c r="E155" s="3">
        <v>73000000</v>
      </c>
      <c r="F155" s="19">
        <v>43896</v>
      </c>
      <c r="G155" s="3">
        <v>73000000</v>
      </c>
      <c r="H155" s="2">
        <v>5.0000000000000001E-3</v>
      </c>
      <c r="I155" s="19">
        <v>43983</v>
      </c>
      <c r="J155" s="19">
        <v>44012</v>
      </c>
      <c r="K155" s="3">
        <f t="shared" si="16"/>
        <v>30</v>
      </c>
      <c r="L155" s="3">
        <f t="shared" si="17"/>
        <v>29918</v>
      </c>
      <c r="M155" s="3">
        <v>73000000</v>
      </c>
    </row>
    <row r="156" spans="1:13" s="18" customFormat="1" outlineLevel="2">
      <c r="A156" s="19" t="s">
        <v>50</v>
      </c>
      <c r="B156" s="20" t="s">
        <v>31</v>
      </c>
      <c r="C156" s="21" t="s">
        <v>57</v>
      </c>
      <c r="D156" s="20" t="s">
        <v>56</v>
      </c>
      <c r="E156" s="3">
        <v>19997321</v>
      </c>
      <c r="F156" s="19">
        <v>43948</v>
      </c>
      <c r="G156" s="3">
        <v>19997321</v>
      </c>
      <c r="H156" s="2">
        <v>5.0000000000000001E-3</v>
      </c>
      <c r="I156" s="19">
        <v>43983</v>
      </c>
      <c r="J156" s="19">
        <v>44012</v>
      </c>
      <c r="K156" s="3">
        <f t="shared" si="16"/>
        <v>30</v>
      </c>
      <c r="L156" s="3">
        <f t="shared" si="17"/>
        <v>8196</v>
      </c>
      <c r="M156" s="3">
        <v>19997321</v>
      </c>
    </row>
    <row r="157" spans="1:13" s="18" customFormat="1" outlineLevel="2">
      <c r="A157" s="19" t="s">
        <v>50</v>
      </c>
      <c r="B157" s="20" t="s">
        <v>32</v>
      </c>
      <c r="C157" s="21" t="s">
        <v>69</v>
      </c>
      <c r="D157" s="20" t="s">
        <v>68</v>
      </c>
      <c r="E157" s="3">
        <v>242400000</v>
      </c>
      <c r="F157" s="19">
        <v>43930</v>
      </c>
      <c r="G157" s="3">
        <v>242400000</v>
      </c>
      <c r="H157" s="2">
        <v>3.0000000000000001E-3</v>
      </c>
      <c r="I157" s="19">
        <v>43983</v>
      </c>
      <c r="J157" s="19">
        <v>44012</v>
      </c>
      <c r="K157" s="3">
        <f t="shared" si="16"/>
        <v>30</v>
      </c>
      <c r="L157" s="3">
        <f t="shared" si="17"/>
        <v>59607</v>
      </c>
      <c r="M157" s="3">
        <v>242400000</v>
      </c>
    </row>
    <row r="158" spans="1:13" s="18" customFormat="1" outlineLevel="2">
      <c r="A158" s="19" t="s">
        <v>50</v>
      </c>
      <c r="B158" s="20" t="s">
        <v>48</v>
      </c>
      <c r="C158" s="21" t="s">
        <v>69</v>
      </c>
      <c r="D158" s="20" t="s">
        <v>68</v>
      </c>
      <c r="E158" s="3">
        <v>156000000</v>
      </c>
      <c r="F158" s="19">
        <v>43958</v>
      </c>
      <c r="G158" s="3">
        <v>156000000</v>
      </c>
      <c r="H158" s="2">
        <v>3.0000000000000001E-3</v>
      </c>
      <c r="I158" s="19">
        <v>43983</v>
      </c>
      <c r="J158" s="19">
        <v>44012</v>
      </c>
      <c r="K158" s="3">
        <f t="shared" si="16"/>
        <v>30</v>
      </c>
      <c r="L158" s="3">
        <f t="shared" si="17"/>
        <v>38361</v>
      </c>
      <c r="M158" s="3">
        <v>156000000</v>
      </c>
    </row>
    <row r="159" spans="1:13" s="18" customFormat="1" outlineLevel="2">
      <c r="A159" s="19" t="s">
        <v>50</v>
      </c>
      <c r="B159" s="20" t="s">
        <v>59</v>
      </c>
      <c r="C159" s="21" t="s">
        <v>117</v>
      </c>
      <c r="D159" s="20" t="s">
        <v>116</v>
      </c>
      <c r="E159" s="3">
        <v>33840000</v>
      </c>
      <c r="F159" s="19">
        <v>43986</v>
      </c>
      <c r="G159" s="3">
        <v>33840000</v>
      </c>
      <c r="H159" s="2">
        <v>5.0000000000000001E-3</v>
      </c>
      <c r="I159" s="19">
        <v>43986</v>
      </c>
      <c r="J159" s="19">
        <v>44012</v>
      </c>
      <c r="K159" s="3">
        <f t="shared" si="16"/>
        <v>27</v>
      </c>
      <c r="L159" s="3">
        <f t="shared" si="17"/>
        <v>12482</v>
      </c>
      <c r="M159" s="3">
        <v>33840000</v>
      </c>
    </row>
    <row r="160" spans="1:13" s="18" customFormat="1" outlineLevel="2">
      <c r="A160" s="19" t="s">
        <v>50</v>
      </c>
      <c r="B160" s="20" t="s">
        <v>58</v>
      </c>
      <c r="C160" s="21" t="s">
        <v>117</v>
      </c>
      <c r="D160" s="20" t="s">
        <v>116</v>
      </c>
      <c r="E160" s="3">
        <v>134396612</v>
      </c>
      <c r="F160" s="19">
        <v>43986</v>
      </c>
      <c r="G160" s="3">
        <v>134396612</v>
      </c>
      <c r="H160" s="2">
        <v>5.0000000000000001E-3</v>
      </c>
      <c r="I160" s="19">
        <v>43986</v>
      </c>
      <c r="J160" s="19">
        <v>44012</v>
      </c>
      <c r="K160" s="3">
        <f t="shared" si="16"/>
        <v>27</v>
      </c>
      <c r="L160" s="3">
        <f t="shared" si="17"/>
        <v>49573</v>
      </c>
      <c r="M160" s="3">
        <v>134396612</v>
      </c>
    </row>
    <row r="161" spans="1:16" s="18" customFormat="1" ht="13.5" outlineLevel="1">
      <c r="A161" s="22" t="s">
        <v>51</v>
      </c>
      <c r="B161" s="23"/>
      <c r="C161" s="24"/>
      <c r="D161" s="23"/>
      <c r="E161" s="25">
        <f>SUBTOTAL(9,E151:E160)</f>
        <v>903910633</v>
      </c>
      <c r="F161" s="26"/>
      <c r="G161" s="25"/>
      <c r="H161" s="27"/>
      <c r="I161" s="26"/>
      <c r="J161" s="26"/>
      <c r="K161" s="25"/>
      <c r="L161" s="25">
        <f>SUBTOTAL(9,L151:L160)</f>
        <v>297834</v>
      </c>
      <c r="M161" s="25">
        <f>SUBTOTAL(9,M151:M160)</f>
        <v>902758853</v>
      </c>
    </row>
    <row r="162" spans="1:16" s="34" customFormat="1" ht="13.5" outlineLevel="1">
      <c r="A162" s="28"/>
      <c r="B162" s="29"/>
      <c r="C162" s="30"/>
      <c r="D162" s="29"/>
      <c r="E162" s="31"/>
      <c r="F162" s="32"/>
      <c r="G162" s="31"/>
      <c r="H162" s="33"/>
      <c r="I162" s="32"/>
      <c r="J162" s="32"/>
      <c r="K162" s="31"/>
      <c r="L162" s="31"/>
      <c r="M162" s="31"/>
    </row>
    <row r="163" spans="1:16" s="18" customFormat="1" ht="13.5">
      <c r="A163" s="26" t="s">
        <v>52</v>
      </c>
      <c r="B163" s="23"/>
      <c r="C163" s="24"/>
      <c r="D163" s="23"/>
      <c r="E163" s="25">
        <f>SUBTOTAL(9,E4:E160)</f>
        <v>6598422672</v>
      </c>
      <c r="F163" s="26"/>
      <c r="G163" s="25"/>
      <c r="H163" s="27"/>
      <c r="I163" s="26"/>
      <c r="J163" s="26"/>
      <c r="K163" s="25"/>
      <c r="L163" s="25">
        <f>SUBTOTAL(9,L4:L160)</f>
        <v>2342391</v>
      </c>
      <c r="M163" s="25">
        <f>SUBTOTAL(9,M4:M160)</f>
        <v>6549627008</v>
      </c>
    </row>
    <row r="164" spans="1:16" s="18" customForma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</row>
    <row r="165" spans="1:16">
      <c r="A165" s="35" t="s">
        <v>54</v>
      </c>
      <c r="B165" s="35"/>
      <c r="E165" s="36" t="s">
        <v>55</v>
      </c>
      <c r="G165" s="6"/>
      <c r="I165" s="37" t="s">
        <v>53</v>
      </c>
    </row>
    <row r="166" spans="1:16" s="18" customForma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</row>
    <row r="167" spans="1:16" s="18" customForma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</row>
    <row r="168" spans="1:16" s="18" customForma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</row>
    <row r="169" spans="1:16" s="18" customForma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</row>
    <row r="170" spans="1:16" s="18" customForma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</row>
    <row r="171" spans="1:16" s="18" customForma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</row>
    <row r="172" spans="1:16" s="18" customForma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</row>
    <row r="173" spans="1:16" s="18" customForma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</row>
    <row r="174" spans="1:16" s="18" customForma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</row>
    <row r="175" spans="1:16" s="18" customForma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 spans="1:16" s="18" customForma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</row>
    <row r="177" spans="1:16" s="18" customForma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</row>
    <row r="178" spans="1:16" s="18" customForma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</row>
    <row r="179" spans="1:16" s="18" customForma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</row>
    <row r="180" spans="1:16" s="18" customForma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</row>
    <row r="181" spans="1:16" s="18" customForma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</row>
    <row r="182" spans="1:16" s="18" customForma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</row>
    <row r="183" spans="1:16" s="18" customForma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</row>
    <row r="184" spans="1:16" s="18" customForma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</row>
    <row r="185" spans="1:16" s="18" customForma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</row>
    <row r="186" spans="1:16" s="18" customForma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</row>
    <row r="187" spans="1:16" s="18" customForma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</row>
    <row r="188" spans="1:16" s="18" customForma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</row>
    <row r="189" spans="1:16" s="18" customForma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</row>
    <row r="190" spans="1:16" s="18" customForma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</row>
    <row r="191" spans="1:16" s="18" customForma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</row>
    <row r="192" spans="1:16" s="18" customForma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</row>
    <row r="193" spans="1:16" s="18" customForma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</row>
    <row r="194" spans="1:16" s="18" customForma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</row>
    <row r="195" spans="1:16" s="18" customForma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</row>
    <row r="196" spans="1:16" s="18" customForma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</row>
    <row r="197" spans="1:16" s="18" customForma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</row>
    <row r="198" spans="1:16" s="18" customForma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</row>
    <row r="199" spans="1:16" s="18" customForma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 spans="1:16" s="18" customForma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</row>
    <row r="201" spans="1:16" s="18" customForma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</row>
    <row r="202" spans="1:16" s="18" customForma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 spans="1:16" s="18" customForma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s="18" customForma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</row>
    <row r="205" spans="1:16" s="18" customForma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</row>
    <row r="206" spans="1:16" s="18" customForma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</row>
    <row r="207" spans="1:16" s="18" customForma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</row>
    <row r="208" spans="1:16" s="18" customForma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</row>
    <row r="209" spans="1:16" s="18" customForma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</row>
    <row r="210" spans="1:16" s="18" customForma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</row>
    <row r="211" spans="1:16" s="18" customForma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</row>
    <row r="212" spans="1:16" s="18" customForma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</row>
    <row r="213" spans="1:16" s="18" customForma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s="18" customForma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</row>
    <row r="215" spans="1:16" s="18" customForma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</row>
    <row r="216" spans="1:16" s="18" customForma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</row>
    <row r="217" spans="1:16" s="18" customForma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 s="18" customForma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</sheetData>
  <autoFilter ref="A3:M161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BE38-A5BD-4548-89C4-3D4D04B21ED5}">
  <dimension ref="A1:P840"/>
  <sheetViews>
    <sheetView zoomScale="99" zoomScaleNormal="99" workbookViewId="0">
      <selection activeCell="C18" sqref="C18:C19"/>
    </sheetView>
  </sheetViews>
  <sheetFormatPr defaultColWidth="5.33203125" defaultRowHeight="13.15" outlineLevelRow="2"/>
  <cols>
    <col min="1" max="1" width="17.9296875" style="6" bestFit="1" customWidth="1"/>
    <col min="2" max="2" width="8.46484375" style="6" bestFit="1" customWidth="1"/>
    <col min="3" max="3" width="21.73046875" style="6" bestFit="1" customWidth="1"/>
    <col min="4" max="4" width="12.06640625" style="6" bestFit="1" customWidth="1"/>
    <col min="5" max="5" width="14.9296875" style="10" bestFit="1" customWidth="1"/>
    <col min="6" max="6" width="12.06640625" style="11" bestFit="1" customWidth="1"/>
    <col min="7" max="7" width="12.06640625" style="10" bestFit="1" customWidth="1"/>
    <col min="8" max="8" width="10.46484375" style="12" bestFit="1" customWidth="1"/>
    <col min="9" max="10" width="8.9296875" style="6" bestFit="1" customWidth="1"/>
    <col min="11" max="11" width="10.46484375" style="6" bestFit="1" customWidth="1"/>
    <col min="12" max="12" width="10.46484375" style="10" bestFit="1" customWidth="1"/>
    <col min="13" max="13" width="14.929687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44043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44013</v>
      </c>
      <c r="J4" s="19">
        <v>44043</v>
      </c>
      <c r="K4" s="3">
        <f t="shared" ref="K4:K19" si="0">J4-I4+1</f>
        <v>31</v>
      </c>
      <c r="L4" s="3">
        <f t="shared" ref="L4:L19" si="1">ROUND(G4*H4*K4/366,0)</f>
        <v>68818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44013</v>
      </c>
      <c r="J5" s="19">
        <v>44043</v>
      </c>
      <c r="K5" s="3">
        <f t="shared" si="0"/>
        <v>31</v>
      </c>
      <c r="L5" s="3">
        <f t="shared" si="1"/>
        <v>610</v>
      </c>
      <c r="M5" s="3">
        <v>2400000</v>
      </c>
    </row>
    <row r="6" spans="1:13" s="18" customFormat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44013</v>
      </c>
      <c r="J6" s="19">
        <v>44043</v>
      </c>
      <c r="K6" s="3">
        <f t="shared" si="0"/>
        <v>31</v>
      </c>
      <c r="L6" s="3">
        <f t="shared" si="1"/>
        <v>3121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44013</v>
      </c>
      <c r="J7" s="19">
        <v>44043</v>
      </c>
      <c r="K7" s="3">
        <f t="shared" si="0"/>
        <v>31</v>
      </c>
      <c r="L7" s="3">
        <f t="shared" si="1"/>
        <v>2494</v>
      </c>
      <c r="M7" s="3">
        <v>5890000</v>
      </c>
    </row>
    <row r="8" spans="1:13" s="18" customFormat="1" outlineLevel="2">
      <c r="A8" s="19" t="s">
        <v>15</v>
      </c>
      <c r="B8" s="20" t="s">
        <v>65</v>
      </c>
      <c r="C8" s="21" t="s">
        <v>158</v>
      </c>
      <c r="D8" s="20" t="s">
        <v>157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44027</v>
      </c>
      <c r="J8" s="19">
        <v>44043</v>
      </c>
      <c r="K8" s="3">
        <f t="shared" si="0"/>
        <v>17</v>
      </c>
      <c r="L8" s="3">
        <f t="shared" si="1"/>
        <v>701</v>
      </c>
      <c r="M8" s="3">
        <v>3020000</v>
      </c>
    </row>
    <row r="9" spans="1:13" s="18" customFormat="1" outlineLevel="2">
      <c r="A9" s="19" t="s">
        <v>15</v>
      </c>
      <c r="B9" s="20" t="s">
        <v>64</v>
      </c>
      <c r="C9" s="21" t="s">
        <v>97</v>
      </c>
      <c r="D9" s="20" t="s">
        <v>96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44014</v>
      </c>
      <c r="J9" s="19">
        <v>44043</v>
      </c>
      <c r="K9" s="3">
        <f t="shared" si="0"/>
        <v>30</v>
      </c>
      <c r="L9" s="3">
        <f t="shared" si="1"/>
        <v>34672</v>
      </c>
      <c r="M9" s="3">
        <v>84600000</v>
      </c>
    </row>
    <row r="10" spans="1:13" s="18" customFormat="1" outlineLevel="2">
      <c r="A10" s="19" t="s">
        <v>15</v>
      </c>
      <c r="B10" s="20" t="s">
        <v>85</v>
      </c>
      <c r="C10" s="21" t="s">
        <v>97</v>
      </c>
      <c r="D10" s="20" t="s">
        <v>96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44034</v>
      </c>
      <c r="J10" s="19">
        <v>44043</v>
      </c>
      <c r="K10" s="3">
        <f t="shared" si="0"/>
        <v>10</v>
      </c>
      <c r="L10" s="3">
        <f t="shared" si="1"/>
        <v>8197</v>
      </c>
      <c r="M10" s="3">
        <v>60000000</v>
      </c>
    </row>
    <row r="11" spans="1:13" s="18" customFormat="1" outlineLevel="2">
      <c r="A11" s="19" t="s">
        <v>15</v>
      </c>
      <c r="B11" s="20" t="s">
        <v>84</v>
      </c>
      <c r="C11" s="21" t="s">
        <v>69</v>
      </c>
      <c r="D11" s="20" t="s">
        <v>68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44022</v>
      </c>
      <c r="J11" s="19">
        <v>44043</v>
      </c>
      <c r="K11" s="3">
        <f t="shared" si="0"/>
        <v>22</v>
      </c>
      <c r="L11" s="3">
        <f t="shared" si="1"/>
        <v>29213</v>
      </c>
      <c r="M11" s="3">
        <v>162000000</v>
      </c>
    </row>
    <row r="12" spans="1:13" s="18" customFormat="1" outlineLevel="2">
      <c r="A12" s="19" t="s">
        <v>15</v>
      </c>
      <c r="B12" s="20" t="s">
        <v>23</v>
      </c>
      <c r="C12" s="21" t="s">
        <v>17</v>
      </c>
      <c r="D12" s="20" t="s">
        <v>18</v>
      </c>
      <c r="E12" s="3">
        <v>6430000</v>
      </c>
      <c r="F12" s="19">
        <v>43920</v>
      </c>
      <c r="G12" s="3">
        <v>6430000</v>
      </c>
      <c r="H12" s="2">
        <v>5.0000000000000001E-3</v>
      </c>
      <c r="I12" s="19">
        <v>44013</v>
      </c>
      <c r="J12" s="19">
        <v>44043</v>
      </c>
      <c r="K12" s="3">
        <f t="shared" si="0"/>
        <v>31</v>
      </c>
      <c r="L12" s="3">
        <f t="shared" si="1"/>
        <v>2723</v>
      </c>
      <c r="M12" s="3">
        <v>6430000</v>
      </c>
    </row>
    <row r="13" spans="1:13" s="18" customFormat="1" outlineLevel="2">
      <c r="A13" s="19" t="s">
        <v>15</v>
      </c>
      <c r="B13" s="20" t="s">
        <v>29</v>
      </c>
      <c r="C13" s="21" t="s">
        <v>57</v>
      </c>
      <c r="D13" s="20" t="s">
        <v>56</v>
      </c>
      <c r="E13" s="3">
        <v>28600000</v>
      </c>
      <c r="F13" s="19">
        <v>43921</v>
      </c>
      <c r="G13" s="3">
        <v>28600000</v>
      </c>
      <c r="H13" s="2">
        <v>5.0000000000000001E-3</v>
      </c>
      <c r="I13" s="19">
        <v>44013</v>
      </c>
      <c r="J13" s="19">
        <v>44043</v>
      </c>
      <c r="K13" s="3">
        <f t="shared" si="0"/>
        <v>31</v>
      </c>
      <c r="L13" s="3">
        <f t="shared" si="1"/>
        <v>12112</v>
      </c>
      <c r="M13" s="3">
        <v>28600000</v>
      </c>
    </row>
    <row r="14" spans="1:13" s="18" customFormat="1" outlineLevel="2">
      <c r="A14" s="19" t="s">
        <v>15</v>
      </c>
      <c r="B14" s="20" t="s">
        <v>30</v>
      </c>
      <c r="C14" s="21" t="s">
        <v>74</v>
      </c>
      <c r="D14" s="20" t="s">
        <v>73</v>
      </c>
      <c r="E14" s="3">
        <v>20000000</v>
      </c>
      <c r="F14" s="19">
        <v>43922</v>
      </c>
      <c r="G14" s="3">
        <v>20000000</v>
      </c>
      <c r="H14" s="2">
        <v>5.0000000000000001E-3</v>
      </c>
      <c r="I14" s="19">
        <v>44013</v>
      </c>
      <c r="J14" s="19">
        <v>44043</v>
      </c>
      <c r="K14" s="3">
        <f t="shared" si="0"/>
        <v>31</v>
      </c>
      <c r="L14" s="3">
        <f t="shared" si="1"/>
        <v>8470</v>
      </c>
      <c r="M14" s="3">
        <v>20000000</v>
      </c>
    </row>
    <row r="15" spans="1:13" s="18" customFormat="1" outlineLevel="2">
      <c r="A15" s="19" t="s">
        <v>15</v>
      </c>
      <c r="B15" s="20" t="s">
        <v>31</v>
      </c>
      <c r="C15" s="21" t="s">
        <v>57</v>
      </c>
      <c r="D15" s="20" t="s">
        <v>56</v>
      </c>
      <c r="E15" s="3">
        <v>10000000</v>
      </c>
      <c r="F15" s="19">
        <v>43934</v>
      </c>
      <c r="G15" s="3">
        <v>10000000</v>
      </c>
      <c r="H15" s="2">
        <v>5.0000000000000001E-3</v>
      </c>
      <c r="I15" s="19">
        <v>44013</v>
      </c>
      <c r="J15" s="19">
        <v>44043</v>
      </c>
      <c r="K15" s="3">
        <f t="shared" si="0"/>
        <v>31</v>
      </c>
      <c r="L15" s="3">
        <f t="shared" si="1"/>
        <v>4235</v>
      </c>
      <c r="M15" s="3">
        <v>10000000</v>
      </c>
    </row>
    <row r="16" spans="1:13" s="18" customFormat="1" outlineLevel="2">
      <c r="A16" s="19" t="s">
        <v>15</v>
      </c>
      <c r="B16" s="20" t="s">
        <v>32</v>
      </c>
      <c r="C16" s="21" t="s">
        <v>57</v>
      </c>
      <c r="D16" s="20" t="s">
        <v>56</v>
      </c>
      <c r="E16" s="3">
        <v>30000000</v>
      </c>
      <c r="F16" s="19">
        <v>43937</v>
      </c>
      <c r="G16" s="3">
        <v>30000000</v>
      </c>
      <c r="H16" s="2">
        <v>5.0000000000000001E-3</v>
      </c>
      <c r="I16" s="19">
        <v>44013</v>
      </c>
      <c r="J16" s="19">
        <v>44043</v>
      </c>
      <c r="K16" s="3">
        <f t="shared" si="0"/>
        <v>31</v>
      </c>
      <c r="L16" s="3">
        <f t="shared" si="1"/>
        <v>12705</v>
      </c>
      <c r="M16" s="3">
        <v>30000000</v>
      </c>
    </row>
    <row r="17" spans="1:13" s="18" customFormat="1" outlineLevel="2">
      <c r="A17" s="19" t="s">
        <v>15</v>
      </c>
      <c r="B17" s="20" t="s">
        <v>48</v>
      </c>
      <c r="C17" s="21" t="s">
        <v>57</v>
      </c>
      <c r="D17" s="20" t="s">
        <v>56</v>
      </c>
      <c r="E17" s="3">
        <v>58360000</v>
      </c>
      <c r="F17" s="19">
        <v>43929</v>
      </c>
      <c r="G17" s="3">
        <v>58360000</v>
      </c>
      <c r="H17" s="2">
        <v>5.0000000000000001E-3</v>
      </c>
      <c r="I17" s="19">
        <v>44013</v>
      </c>
      <c r="J17" s="19">
        <v>44043</v>
      </c>
      <c r="K17" s="3">
        <f t="shared" si="0"/>
        <v>31</v>
      </c>
      <c r="L17" s="3">
        <f t="shared" si="1"/>
        <v>24715</v>
      </c>
      <c r="M17" s="3">
        <v>58360000</v>
      </c>
    </row>
    <row r="18" spans="1:13" s="18" customFormat="1" outlineLevel="2">
      <c r="A18" s="19" t="s">
        <v>15</v>
      </c>
      <c r="B18" s="20" t="s">
        <v>59</v>
      </c>
      <c r="C18" s="21" t="s">
        <v>113</v>
      </c>
      <c r="D18" s="20" t="s">
        <v>112</v>
      </c>
      <c r="E18" s="3">
        <v>64000000</v>
      </c>
      <c r="F18" s="19">
        <v>43966</v>
      </c>
      <c r="G18" s="3">
        <v>64000000</v>
      </c>
      <c r="H18" s="2">
        <v>5.0000000000000001E-3</v>
      </c>
      <c r="I18" s="19">
        <v>44013</v>
      </c>
      <c r="J18" s="19">
        <v>44043</v>
      </c>
      <c r="K18" s="3">
        <f t="shared" si="0"/>
        <v>31</v>
      </c>
      <c r="L18" s="3">
        <f t="shared" si="1"/>
        <v>27104</v>
      </c>
      <c r="M18" s="3">
        <v>64000000</v>
      </c>
    </row>
    <row r="19" spans="1:13" s="18" customFormat="1" outlineLevel="2">
      <c r="A19" s="19" t="s">
        <v>15</v>
      </c>
      <c r="B19" s="20" t="s">
        <v>58</v>
      </c>
      <c r="C19" s="21" t="s">
        <v>57</v>
      </c>
      <c r="D19" s="20" t="s">
        <v>56</v>
      </c>
      <c r="E19" s="3">
        <v>11400000</v>
      </c>
      <c r="F19" s="19">
        <v>43962</v>
      </c>
      <c r="G19" s="3">
        <v>11400000</v>
      </c>
      <c r="H19" s="2">
        <v>5.0000000000000001E-3</v>
      </c>
      <c r="I19" s="19">
        <v>44013</v>
      </c>
      <c r="J19" s="19">
        <v>44043</v>
      </c>
      <c r="K19" s="3">
        <f t="shared" si="0"/>
        <v>31</v>
      </c>
      <c r="L19" s="3">
        <f t="shared" si="1"/>
        <v>4828</v>
      </c>
      <c r="M19" s="3">
        <v>11400000</v>
      </c>
    </row>
    <row r="20" spans="1:13" s="18" customFormat="1" ht="13.5" outlineLevel="1">
      <c r="A20" s="22" t="s">
        <v>19</v>
      </c>
      <c r="B20" s="23"/>
      <c r="C20" s="24"/>
      <c r="D20" s="23"/>
      <c r="E20" s="25">
        <f>SUBTOTAL(9,E4:E19)</f>
        <v>716570000</v>
      </c>
      <c r="F20" s="26"/>
      <c r="G20" s="25"/>
      <c r="H20" s="27"/>
      <c r="I20" s="26"/>
      <c r="J20" s="26"/>
      <c r="K20" s="25"/>
      <c r="L20" s="25">
        <f>SUBTOTAL(9,L4:L19)</f>
        <v>244718</v>
      </c>
      <c r="M20" s="25">
        <f>SUBTOTAL(9,M4:M19)</f>
        <v>716570000</v>
      </c>
    </row>
    <row r="21" spans="1:13" s="18" customFormat="1" outlineLevel="2">
      <c r="A21" s="19" t="s">
        <v>80</v>
      </c>
      <c r="B21" s="20" t="s">
        <v>16</v>
      </c>
      <c r="C21" s="21" t="s">
        <v>57</v>
      </c>
      <c r="D21" s="20" t="s">
        <v>56</v>
      </c>
      <c r="E21" s="3">
        <v>26500000</v>
      </c>
      <c r="F21" s="19">
        <v>43907</v>
      </c>
      <c r="G21" s="3">
        <v>25553572</v>
      </c>
      <c r="H21" s="2">
        <v>5.0000000000000001E-3</v>
      </c>
      <c r="I21" s="19">
        <v>44013</v>
      </c>
      <c r="J21" s="19">
        <v>44026</v>
      </c>
      <c r="K21" s="3">
        <f t="shared" ref="K21:K33" si="2">J21-I21+1</f>
        <v>14</v>
      </c>
      <c r="L21" s="3">
        <f t="shared" ref="L21:L33" si="3">ROUND(G21*H21*K21/366,0)</f>
        <v>4887</v>
      </c>
      <c r="M21" s="3">
        <v>25238096</v>
      </c>
    </row>
    <row r="22" spans="1:13" s="18" customFormat="1" outlineLevel="2">
      <c r="A22" s="19" t="s">
        <v>80</v>
      </c>
      <c r="B22" s="20" t="s">
        <v>16</v>
      </c>
      <c r="C22" s="21" t="s">
        <v>57</v>
      </c>
      <c r="D22" s="20"/>
      <c r="E22" s="3"/>
      <c r="F22" s="19"/>
      <c r="G22" s="3">
        <v>25238096</v>
      </c>
      <c r="H22" s="2">
        <v>5.0000000000000001E-3</v>
      </c>
      <c r="I22" s="19">
        <v>44027</v>
      </c>
      <c r="J22" s="19">
        <v>44043</v>
      </c>
      <c r="K22" s="3">
        <f t="shared" si="2"/>
        <v>17</v>
      </c>
      <c r="L22" s="3">
        <f t="shared" si="3"/>
        <v>5861</v>
      </c>
      <c r="M22" s="3"/>
    </row>
    <row r="23" spans="1:13" s="18" customFormat="1" outlineLevel="2">
      <c r="A23" s="19" t="s">
        <v>80</v>
      </c>
      <c r="B23" s="20" t="s">
        <v>61</v>
      </c>
      <c r="C23" s="21" t="s">
        <v>162</v>
      </c>
      <c r="D23" s="20" t="s">
        <v>161</v>
      </c>
      <c r="E23" s="3">
        <v>130000000</v>
      </c>
      <c r="F23" s="19">
        <v>44013</v>
      </c>
      <c r="G23" s="3">
        <v>130000000</v>
      </c>
      <c r="H23" s="2">
        <v>5.0000000000000001E-3</v>
      </c>
      <c r="I23" s="19">
        <v>44013</v>
      </c>
      <c r="J23" s="19">
        <v>44043</v>
      </c>
      <c r="K23" s="3">
        <f t="shared" si="2"/>
        <v>31</v>
      </c>
      <c r="L23" s="3">
        <f t="shared" si="3"/>
        <v>55055</v>
      </c>
      <c r="M23" s="3">
        <v>130000000</v>
      </c>
    </row>
    <row r="24" spans="1:13" s="18" customFormat="1" outlineLevel="2">
      <c r="A24" s="19" t="s">
        <v>80</v>
      </c>
      <c r="B24" s="20" t="s">
        <v>23</v>
      </c>
      <c r="C24" s="21" t="s">
        <v>74</v>
      </c>
      <c r="D24" s="20" t="s">
        <v>73</v>
      </c>
      <c r="E24" s="3">
        <v>90000000</v>
      </c>
      <c r="F24" s="19">
        <v>43913</v>
      </c>
      <c r="G24" s="3">
        <v>90000000</v>
      </c>
      <c r="H24" s="2">
        <v>5.0000000000000001E-3</v>
      </c>
      <c r="I24" s="19">
        <v>44013</v>
      </c>
      <c r="J24" s="19">
        <v>44043</v>
      </c>
      <c r="K24" s="3">
        <f t="shared" si="2"/>
        <v>31</v>
      </c>
      <c r="L24" s="3">
        <f t="shared" si="3"/>
        <v>38115</v>
      </c>
      <c r="M24" s="3">
        <v>90000000</v>
      </c>
    </row>
    <row r="25" spans="1:13" s="18" customFormat="1" outlineLevel="2">
      <c r="A25" s="19" t="s">
        <v>80</v>
      </c>
      <c r="B25" s="20" t="s">
        <v>29</v>
      </c>
      <c r="C25" s="21" t="s">
        <v>57</v>
      </c>
      <c r="D25" s="20" t="s">
        <v>56</v>
      </c>
      <c r="E25" s="3">
        <v>23500000</v>
      </c>
      <c r="F25" s="19">
        <v>43928</v>
      </c>
      <c r="G25" s="3">
        <v>22660711</v>
      </c>
      <c r="H25" s="2">
        <v>5.0000000000000001E-3</v>
      </c>
      <c r="I25" s="19">
        <v>44013</v>
      </c>
      <c r="J25" s="19">
        <v>44026</v>
      </c>
      <c r="K25" s="3">
        <f t="shared" si="2"/>
        <v>14</v>
      </c>
      <c r="L25" s="3">
        <f t="shared" si="3"/>
        <v>4334</v>
      </c>
      <c r="M25" s="3">
        <v>22380948</v>
      </c>
    </row>
    <row r="26" spans="1:13" s="18" customFormat="1" outlineLevel="2">
      <c r="A26" s="19" t="s">
        <v>80</v>
      </c>
      <c r="B26" s="20" t="s">
        <v>29</v>
      </c>
      <c r="C26" s="21" t="s">
        <v>57</v>
      </c>
      <c r="D26" s="20"/>
      <c r="E26" s="3"/>
      <c r="F26" s="19"/>
      <c r="G26" s="3">
        <v>22380948</v>
      </c>
      <c r="H26" s="2">
        <v>5.0000000000000001E-3</v>
      </c>
      <c r="I26" s="19">
        <v>44027</v>
      </c>
      <c r="J26" s="19">
        <v>44043</v>
      </c>
      <c r="K26" s="3">
        <f t="shared" si="2"/>
        <v>17</v>
      </c>
      <c r="L26" s="3">
        <f t="shared" si="3"/>
        <v>5198</v>
      </c>
      <c r="M26" s="3"/>
    </row>
    <row r="27" spans="1:13" s="18" customFormat="1" outlineLevel="2">
      <c r="A27" s="19" t="s">
        <v>80</v>
      </c>
      <c r="B27" s="20" t="s">
        <v>30</v>
      </c>
      <c r="C27" s="21" t="s">
        <v>137</v>
      </c>
      <c r="D27" s="20" t="s">
        <v>136</v>
      </c>
      <c r="E27" s="3">
        <v>7000000</v>
      </c>
      <c r="F27" s="19">
        <v>44004</v>
      </c>
      <c r="G27" s="3">
        <v>7000000</v>
      </c>
      <c r="H27" s="2">
        <v>5.0000000000000001E-3</v>
      </c>
      <c r="I27" s="19">
        <v>44013</v>
      </c>
      <c r="J27" s="19">
        <v>44026</v>
      </c>
      <c r="K27" s="3">
        <f t="shared" si="2"/>
        <v>14</v>
      </c>
      <c r="L27" s="3">
        <f t="shared" si="3"/>
        <v>1339</v>
      </c>
      <c r="M27" s="3">
        <v>6883333</v>
      </c>
    </row>
    <row r="28" spans="1:13" s="18" customFormat="1" outlineLevel="2">
      <c r="A28" s="19" t="s">
        <v>80</v>
      </c>
      <c r="B28" s="20" t="s">
        <v>30</v>
      </c>
      <c r="C28" s="21" t="s">
        <v>137</v>
      </c>
      <c r="D28" s="20"/>
      <c r="E28" s="3"/>
      <c r="F28" s="19"/>
      <c r="G28" s="3">
        <v>6883333</v>
      </c>
      <c r="H28" s="2">
        <v>5.0000000000000001E-3</v>
      </c>
      <c r="I28" s="19">
        <v>44027</v>
      </c>
      <c r="J28" s="19">
        <v>44043</v>
      </c>
      <c r="K28" s="3">
        <f t="shared" si="2"/>
        <v>17</v>
      </c>
      <c r="L28" s="3">
        <f t="shared" si="3"/>
        <v>1599</v>
      </c>
      <c r="M28" s="3"/>
    </row>
    <row r="29" spans="1:13" s="18" customFormat="1" outlineLevel="2">
      <c r="A29" s="19" t="s">
        <v>80</v>
      </c>
      <c r="B29" s="20" t="s">
        <v>31</v>
      </c>
      <c r="C29" s="21" t="s">
        <v>135</v>
      </c>
      <c r="D29" s="20" t="s">
        <v>134</v>
      </c>
      <c r="E29" s="3">
        <v>298410000</v>
      </c>
      <c r="F29" s="19">
        <v>44006</v>
      </c>
      <c r="G29" s="3">
        <v>298410000</v>
      </c>
      <c r="H29" s="2">
        <v>5.0000000000000001E-3</v>
      </c>
      <c r="I29" s="19">
        <v>44013</v>
      </c>
      <c r="J29" s="19">
        <v>44043</v>
      </c>
      <c r="K29" s="3">
        <f t="shared" si="2"/>
        <v>31</v>
      </c>
      <c r="L29" s="3">
        <f t="shared" si="3"/>
        <v>126376</v>
      </c>
      <c r="M29" s="3">
        <v>298410000</v>
      </c>
    </row>
    <row r="30" spans="1:13" s="18" customFormat="1" outlineLevel="2">
      <c r="A30" s="19" t="s">
        <v>80</v>
      </c>
      <c r="B30" s="20" t="s">
        <v>32</v>
      </c>
      <c r="C30" s="21" t="s">
        <v>135</v>
      </c>
      <c r="D30" s="20" t="s">
        <v>134</v>
      </c>
      <c r="E30" s="3">
        <v>95370000</v>
      </c>
      <c r="F30" s="19">
        <v>44006</v>
      </c>
      <c r="G30" s="3">
        <v>95370000</v>
      </c>
      <c r="H30" s="2">
        <v>5.0000000000000001E-3</v>
      </c>
      <c r="I30" s="19">
        <v>44013</v>
      </c>
      <c r="J30" s="19">
        <v>44043</v>
      </c>
      <c r="K30" s="3">
        <f t="shared" si="2"/>
        <v>31</v>
      </c>
      <c r="L30" s="3">
        <f t="shared" si="3"/>
        <v>40389</v>
      </c>
      <c r="M30" s="3">
        <v>95370000</v>
      </c>
    </row>
    <row r="31" spans="1:13" s="18" customFormat="1" outlineLevel="2">
      <c r="A31" s="19" t="s">
        <v>80</v>
      </c>
      <c r="B31" s="20" t="s">
        <v>48</v>
      </c>
      <c r="C31" s="21" t="s">
        <v>135</v>
      </c>
      <c r="D31" s="20" t="s">
        <v>134</v>
      </c>
      <c r="E31" s="3">
        <v>73910000</v>
      </c>
      <c r="F31" s="19">
        <v>44032</v>
      </c>
      <c r="G31" s="3">
        <v>73910000</v>
      </c>
      <c r="H31" s="2">
        <v>5.0000000000000001E-3</v>
      </c>
      <c r="I31" s="19">
        <v>44032</v>
      </c>
      <c r="J31" s="19">
        <v>44043</v>
      </c>
      <c r="K31" s="3">
        <f t="shared" si="2"/>
        <v>12</v>
      </c>
      <c r="L31" s="3">
        <f t="shared" si="3"/>
        <v>12116</v>
      </c>
      <c r="M31" s="3">
        <v>73910000</v>
      </c>
    </row>
    <row r="32" spans="1:13" s="18" customFormat="1" outlineLevel="2">
      <c r="A32" s="19" t="s">
        <v>80</v>
      </c>
      <c r="B32" s="20" t="s">
        <v>59</v>
      </c>
      <c r="C32" s="21" t="s">
        <v>135</v>
      </c>
      <c r="D32" s="20" t="s">
        <v>134</v>
      </c>
      <c r="E32" s="3">
        <v>291200000</v>
      </c>
      <c r="F32" s="19">
        <v>44032</v>
      </c>
      <c r="G32" s="3">
        <v>291200000</v>
      </c>
      <c r="H32" s="2">
        <v>3.0000000000000001E-3</v>
      </c>
      <c r="I32" s="19">
        <v>44032</v>
      </c>
      <c r="J32" s="19">
        <v>44043</v>
      </c>
      <c r="K32" s="3">
        <f t="shared" si="2"/>
        <v>12</v>
      </c>
      <c r="L32" s="3">
        <f t="shared" si="3"/>
        <v>28643</v>
      </c>
      <c r="M32" s="3">
        <v>291200000</v>
      </c>
    </row>
    <row r="33" spans="1:13" s="18" customFormat="1" outlineLevel="2">
      <c r="A33" s="19" t="s">
        <v>80</v>
      </c>
      <c r="B33" s="20" t="s">
        <v>58</v>
      </c>
      <c r="C33" s="21" t="s">
        <v>137</v>
      </c>
      <c r="D33" s="20" t="s">
        <v>136</v>
      </c>
      <c r="E33" s="3">
        <v>10000000</v>
      </c>
      <c r="F33" s="19">
        <v>44025</v>
      </c>
      <c r="G33" s="3">
        <v>10000000</v>
      </c>
      <c r="H33" s="2">
        <v>5.0000000000000001E-3</v>
      </c>
      <c r="I33" s="19">
        <v>44025</v>
      </c>
      <c r="J33" s="19">
        <v>44043</v>
      </c>
      <c r="K33" s="3">
        <f t="shared" si="2"/>
        <v>19</v>
      </c>
      <c r="L33" s="3">
        <f t="shared" si="3"/>
        <v>2596</v>
      </c>
      <c r="M33" s="3">
        <v>10000000</v>
      </c>
    </row>
    <row r="34" spans="1:13" s="18" customFormat="1" ht="13.5" outlineLevel="1">
      <c r="A34" s="22" t="s">
        <v>79</v>
      </c>
      <c r="B34" s="23"/>
      <c r="C34" s="24"/>
      <c r="D34" s="23"/>
      <c r="E34" s="25">
        <f>SUBTOTAL(9,E21:E33)</f>
        <v>1045890000</v>
      </c>
      <c r="F34" s="26"/>
      <c r="G34" s="25"/>
      <c r="H34" s="27"/>
      <c r="I34" s="26"/>
      <c r="J34" s="26"/>
      <c r="K34" s="25"/>
      <c r="L34" s="25">
        <f>SUBTOTAL(9,L21:L33)</f>
        <v>326508</v>
      </c>
      <c r="M34" s="25">
        <f>SUBTOTAL(9,M21:M33)</f>
        <v>1043392377</v>
      </c>
    </row>
    <row r="35" spans="1:13" s="18" customFormat="1" outlineLevel="2">
      <c r="A35" s="19" t="s">
        <v>78</v>
      </c>
      <c r="B35" s="20" t="s">
        <v>16</v>
      </c>
      <c r="C35" s="21" t="s">
        <v>77</v>
      </c>
      <c r="D35" s="20" t="s">
        <v>76</v>
      </c>
      <c r="E35" s="3">
        <v>81465386</v>
      </c>
      <c r="F35" s="19">
        <v>43900</v>
      </c>
      <c r="G35" s="3">
        <v>81465386</v>
      </c>
      <c r="H35" s="2">
        <v>5.0000000000000001E-3</v>
      </c>
      <c r="I35" s="19">
        <v>44013</v>
      </c>
      <c r="J35" s="19">
        <v>44043</v>
      </c>
      <c r="K35" s="3">
        <f t="shared" ref="K35:K57" si="4">J35-I35+1</f>
        <v>31</v>
      </c>
      <c r="L35" s="3">
        <f t="shared" ref="L35:L57" si="5">ROUND(G35*H35*K35/366,0)</f>
        <v>34500</v>
      </c>
      <c r="M35" s="3">
        <v>81465386</v>
      </c>
    </row>
    <row r="36" spans="1:13" s="18" customFormat="1" outlineLevel="2">
      <c r="A36" s="19" t="s">
        <v>78</v>
      </c>
      <c r="B36" s="20" t="s">
        <v>61</v>
      </c>
      <c r="C36" s="21" t="s">
        <v>95</v>
      </c>
      <c r="D36" s="20" t="s">
        <v>94</v>
      </c>
      <c r="E36" s="3">
        <v>8860000</v>
      </c>
      <c r="F36" s="19">
        <v>43997</v>
      </c>
      <c r="G36" s="3">
        <v>8860000</v>
      </c>
      <c r="H36" s="2">
        <v>5.0000000000000001E-3</v>
      </c>
      <c r="I36" s="19">
        <v>44013</v>
      </c>
      <c r="J36" s="19">
        <v>44043</v>
      </c>
      <c r="K36" s="3">
        <f t="shared" si="4"/>
        <v>31</v>
      </c>
      <c r="L36" s="3">
        <f t="shared" si="5"/>
        <v>3752</v>
      </c>
      <c r="M36" s="3">
        <v>8860000</v>
      </c>
    </row>
    <row r="37" spans="1:13" s="18" customFormat="1" outlineLevel="2">
      <c r="A37" s="19" t="s">
        <v>78</v>
      </c>
      <c r="B37" s="20" t="s">
        <v>60</v>
      </c>
      <c r="C37" s="21" t="s">
        <v>93</v>
      </c>
      <c r="D37" s="20" t="s">
        <v>92</v>
      </c>
      <c r="E37" s="3">
        <v>20390000</v>
      </c>
      <c r="F37" s="19">
        <v>43997</v>
      </c>
      <c r="G37" s="3">
        <v>20390000</v>
      </c>
      <c r="H37" s="2">
        <v>5.0000000000000001E-3</v>
      </c>
      <c r="I37" s="19">
        <v>44013</v>
      </c>
      <c r="J37" s="19">
        <v>44026</v>
      </c>
      <c r="K37" s="3">
        <f t="shared" si="4"/>
        <v>14</v>
      </c>
      <c r="L37" s="3">
        <f t="shared" si="5"/>
        <v>3900</v>
      </c>
      <c r="M37" s="3">
        <v>20141342</v>
      </c>
    </row>
    <row r="38" spans="1:13" s="18" customFormat="1" outlineLevel="2">
      <c r="A38" s="19" t="s">
        <v>78</v>
      </c>
      <c r="B38" s="20" t="s">
        <v>60</v>
      </c>
      <c r="C38" s="21" t="s">
        <v>93</v>
      </c>
      <c r="D38" s="20"/>
      <c r="E38" s="3"/>
      <c r="F38" s="19"/>
      <c r="G38" s="3">
        <v>20141342</v>
      </c>
      <c r="H38" s="2">
        <v>5.0000000000000001E-3</v>
      </c>
      <c r="I38" s="19">
        <v>44027</v>
      </c>
      <c r="J38" s="19">
        <v>44043</v>
      </c>
      <c r="K38" s="3">
        <f t="shared" si="4"/>
        <v>17</v>
      </c>
      <c r="L38" s="3">
        <f t="shared" si="5"/>
        <v>4678</v>
      </c>
      <c r="M38" s="3"/>
    </row>
    <row r="39" spans="1:13" s="18" customFormat="1" outlineLevel="2">
      <c r="A39" s="19" t="s">
        <v>78</v>
      </c>
      <c r="B39" s="20" t="s">
        <v>66</v>
      </c>
      <c r="C39" s="21" t="s">
        <v>93</v>
      </c>
      <c r="D39" s="20" t="s">
        <v>92</v>
      </c>
      <c r="E39" s="3">
        <v>69600000</v>
      </c>
      <c r="F39" s="19">
        <v>43997</v>
      </c>
      <c r="G39" s="3">
        <v>69600000</v>
      </c>
      <c r="H39" s="2">
        <v>5.0000000000000001E-3</v>
      </c>
      <c r="I39" s="19">
        <v>44013</v>
      </c>
      <c r="J39" s="19">
        <v>44026</v>
      </c>
      <c r="K39" s="3">
        <f t="shared" si="4"/>
        <v>14</v>
      </c>
      <c r="L39" s="3">
        <f t="shared" si="5"/>
        <v>13311</v>
      </c>
      <c r="M39" s="3">
        <v>69020000</v>
      </c>
    </row>
    <row r="40" spans="1:13" s="18" customFormat="1" outlineLevel="2">
      <c r="A40" s="19" t="s">
        <v>78</v>
      </c>
      <c r="B40" s="20" t="s">
        <v>66</v>
      </c>
      <c r="C40" s="21" t="s">
        <v>93</v>
      </c>
      <c r="D40" s="20"/>
      <c r="E40" s="3"/>
      <c r="F40" s="19"/>
      <c r="G40" s="3">
        <v>69020000</v>
      </c>
      <c r="H40" s="2">
        <v>5.0000000000000001E-3</v>
      </c>
      <c r="I40" s="19">
        <v>44027</v>
      </c>
      <c r="J40" s="19">
        <v>44043</v>
      </c>
      <c r="K40" s="3">
        <f t="shared" si="4"/>
        <v>17</v>
      </c>
      <c r="L40" s="3">
        <f t="shared" si="5"/>
        <v>16029</v>
      </c>
      <c r="M40" s="3"/>
    </row>
    <row r="41" spans="1:13" s="18" customFormat="1" outlineLevel="2">
      <c r="A41" s="19" t="s">
        <v>78</v>
      </c>
      <c r="B41" s="20" t="s">
        <v>65</v>
      </c>
      <c r="C41" s="21" t="s">
        <v>77</v>
      </c>
      <c r="D41" s="20" t="s">
        <v>76</v>
      </c>
      <c r="E41" s="3">
        <v>16630000</v>
      </c>
      <c r="F41" s="19">
        <v>44011</v>
      </c>
      <c r="G41" s="3">
        <v>16630000</v>
      </c>
      <c r="H41" s="2">
        <v>5.0000000000000001E-3</v>
      </c>
      <c r="I41" s="19">
        <v>44013</v>
      </c>
      <c r="J41" s="19">
        <v>44043</v>
      </c>
      <c r="K41" s="3">
        <f t="shared" si="4"/>
        <v>31</v>
      </c>
      <c r="L41" s="3">
        <f t="shared" si="5"/>
        <v>7043</v>
      </c>
      <c r="M41" s="3">
        <v>16630000</v>
      </c>
    </row>
    <row r="42" spans="1:13" s="18" customFormat="1" outlineLevel="2">
      <c r="A42" s="19" t="s">
        <v>78</v>
      </c>
      <c r="B42" s="20" t="s">
        <v>64</v>
      </c>
      <c r="C42" s="21" t="s">
        <v>95</v>
      </c>
      <c r="D42" s="20" t="s">
        <v>94</v>
      </c>
      <c r="E42" s="3">
        <v>4650000</v>
      </c>
      <c r="F42" s="19">
        <v>44027</v>
      </c>
      <c r="G42" s="3">
        <v>4650000</v>
      </c>
      <c r="H42" s="2">
        <v>5.0000000000000001E-3</v>
      </c>
      <c r="I42" s="19">
        <v>44027</v>
      </c>
      <c r="J42" s="19">
        <v>44043</v>
      </c>
      <c r="K42" s="3">
        <f t="shared" si="4"/>
        <v>17</v>
      </c>
      <c r="L42" s="3">
        <f t="shared" si="5"/>
        <v>1080</v>
      </c>
      <c r="M42" s="3">
        <v>4650000</v>
      </c>
    </row>
    <row r="43" spans="1:13" s="18" customFormat="1" outlineLevel="2">
      <c r="A43" s="19" t="s">
        <v>78</v>
      </c>
      <c r="B43" s="20" t="s">
        <v>85</v>
      </c>
      <c r="C43" s="21" t="s">
        <v>93</v>
      </c>
      <c r="D43" s="20" t="s">
        <v>92</v>
      </c>
      <c r="E43" s="3">
        <v>10860000</v>
      </c>
      <c r="F43" s="19">
        <v>44027</v>
      </c>
      <c r="G43" s="3">
        <v>10860000</v>
      </c>
      <c r="H43" s="2">
        <v>5.0000000000000001E-3</v>
      </c>
      <c r="I43" s="19">
        <v>44027</v>
      </c>
      <c r="J43" s="19">
        <v>44043</v>
      </c>
      <c r="K43" s="3">
        <f t="shared" si="4"/>
        <v>17</v>
      </c>
      <c r="L43" s="3">
        <f t="shared" si="5"/>
        <v>2522</v>
      </c>
      <c r="M43" s="3">
        <v>10860000</v>
      </c>
    </row>
    <row r="44" spans="1:13" s="18" customFormat="1" outlineLevel="2">
      <c r="A44" s="19" t="s">
        <v>78</v>
      </c>
      <c r="B44" s="20" t="s">
        <v>84</v>
      </c>
      <c r="C44" s="21" t="s">
        <v>93</v>
      </c>
      <c r="D44" s="20" t="s">
        <v>92</v>
      </c>
      <c r="E44" s="3">
        <v>11600000</v>
      </c>
      <c r="F44" s="19">
        <v>44027</v>
      </c>
      <c r="G44" s="3">
        <v>11600000</v>
      </c>
      <c r="H44" s="2">
        <v>5.0000000000000001E-3</v>
      </c>
      <c r="I44" s="19">
        <v>44027</v>
      </c>
      <c r="J44" s="19">
        <v>44043</v>
      </c>
      <c r="K44" s="3">
        <f t="shared" si="4"/>
        <v>17</v>
      </c>
      <c r="L44" s="3">
        <f t="shared" si="5"/>
        <v>2694</v>
      </c>
      <c r="M44" s="3">
        <v>11600000</v>
      </c>
    </row>
    <row r="45" spans="1:13" s="18" customFormat="1" outlineLevel="2">
      <c r="A45" s="19" t="s">
        <v>78</v>
      </c>
      <c r="B45" s="20" t="s">
        <v>83</v>
      </c>
      <c r="C45" s="21" t="s">
        <v>139</v>
      </c>
      <c r="D45" s="20" t="s">
        <v>138</v>
      </c>
      <c r="E45" s="3">
        <v>18700000</v>
      </c>
      <c r="F45" s="19">
        <v>44032</v>
      </c>
      <c r="G45" s="3">
        <v>18700000</v>
      </c>
      <c r="H45" s="2">
        <v>5.0000000000000001E-3</v>
      </c>
      <c r="I45" s="19">
        <v>44032</v>
      </c>
      <c r="J45" s="19">
        <v>44043</v>
      </c>
      <c r="K45" s="3">
        <f t="shared" si="4"/>
        <v>12</v>
      </c>
      <c r="L45" s="3">
        <f t="shared" si="5"/>
        <v>3066</v>
      </c>
      <c r="M45" s="3">
        <v>18700000</v>
      </c>
    </row>
    <row r="46" spans="1:13" s="18" customFormat="1" outlineLevel="2">
      <c r="A46" s="19" t="s">
        <v>78</v>
      </c>
      <c r="B46" s="20" t="s">
        <v>23</v>
      </c>
      <c r="C46" s="21" t="s">
        <v>95</v>
      </c>
      <c r="D46" s="20" t="s">
        <v>94</v>
      </c>
      <c r="E46" s="3">
        <v>6200000</v>
      </c>
      <c r="F46" s="19">
        <v>43929</v>
      </c>
      <c r="G46" s="3">
        <v>6200000</v>
      </c>
      <c r="H46" s="2">
        <v>5.0000000000000001E-3</v>
      </c>
      <c r="I46" s="19">
        <v>44013</v>
      </c>
      <c r="J46" s="19">
        <v>44043</v>
      </c>
      <c r="K46" s="3">
        <f t="shared" si="4"/>
        <v>31</v>
      </c>
      <c r="L46" s="3">
        <f t="shared" si="5"/>
        <v>2626</v>
      </c>
      <c r="M46" s="3">
        <v>6200000</v>
      </c>
    </row>
    <row r="47" spans="1:13" s="18" customFormat="1" outlineLevel="2">
      <c r="A47" s="19" t="s">
        <v>78</v>
      </c>
      <c r="B47" s="20" t="s">
        <v>29</v>
      </c>
      <c r="C47" s="21" t="s">
        <v>95</v>
      </c>
      <c r="D47" s="20" t="s">
        <v>94</v>
      </c>
      <c r="E47" s="3">
        <v>23630000</v>
      </c>
      <c r="F47" s="19">
        <v>43936</v>
      </c>
      <c r="G47" s="3">
        <v>23630000</v>
      </c>
      <c r="H47" s="2">
        <v>5.0000000000000001E-3</v>
      </c>
      <c r="I47" s="19">
        <v>44013</v>
      </c>
      <c r="J47" s="19">
        <v>44043</v>
      </c>
      <c r="K47" s="3">
        <f t="shared" si="4"/>
        <v>31</v>
      </c>
      <c r="L47" s="3">
        <f t="shared" si="5"/>
        <v>10007</v>
      </c>
      <c r="M47" s="3">
        <v>23630000</v>
      </c>
    </row>
    <row r="48" spans="1:13" s="18" customFormat="1" outlineLevel="2">
      <c r="A48" s="19" t="s">
        <v>78</v>
      </c>
      <c r="B48" s="20" t="s">
        <v>30</v>
      </c>
      <c r="C48" s="21" t="s">
        <v>72</v>
      </c>
      <c r="D48" s="20" t="s">
        <v>71</v>
      </c>
      <c r="E48" s="3">
        <v>24000000</v>
      </c>
      <c r="F48" s="19">
        <v>43937</v>
      </c>
      <c r="G48" s="3">
        <v>23600000</v>
      </c>
      <c r="H48" s="2">
        <v>5.0000000000000001E-3</v>
      </c>
      <c r="I48" s="19">
        <v>44013</v>
      </c>
      <c r="J48" s="19">
        <v>44026</v>
      </c>
      <c r="K48" s="3">
        <f t="shared" si="4"/>
        <v>14</v>
      </c>
      <c r="L48" s="3">
        <f t="shared" si="5"/>
        <v>4514</v>
      </c>
      <c r="M48" s="3">
        <v>23400000</v>
      </c>
    </row>
    <row r="49" spans="1:13" s="18" customFormat="1" outlineLevel="2">
      <c r="A49" s="19" t="s">
        <v>78</v>
      </c>
      <c r="B49" s="20" t="s">
        <v>30</v>
      </c>
      <c r="C49" s="21" t="s">
        <v>72</v>
      </c>
      <c r="D49" s="20"/>
      <c r="E49" s="3"/>
      <c r="F49" s="19"/>
      <c r="G49" s="3">
        <v>23400000</v>
      </c>
      <c r="H49" s="2">
        <v>5.0000000000000001E-3</v>
      </c>
      <c r="I49" s="19">
        <v>44027</v>
      </c>
      <c r="J49" s="19">
        <v>44043</v>
      </c>
      <c r="K49" s="3">
        <f t="shared" si="4"/>
        <v>17</v>
      </c>
      <c r="L49" s="3">
        <f t="shared" si="5"/>
        <v>5434</v>
      </c>
      <c r="M49" s="3"/>
    </row>
    <row r="50" spans="1:13" s="18" customFormat="1" outlineLevel="2">
      <c r="A50" s="19" t="s">
        <v>78</v>
      </c>
      <c r="B50" s="20" t="s">
        <v>31</v>
      </c>
      <c r="C50" s="21" t="s">
        <v>93</v>
      </c>
      <c r="D50" s="20" t="s">
        <v>92</v>
      </c>
      <c r="E50" s="3">
        <v>28240000</v>
      </c>
      <c r="F50" s="19">
        <v>43951</v>
      </c>
      <c r="G50" s="3">
        <v>27567620</v>
      </c>
      <c r="H50" s="2">
        <v>5.0000000000000001E-3</v>
      </c>
      <c r="I50" s="19">
        <v>44013</v>
      </c>
      <c r="J50" s="19">
        <v>44026</v>
      </c>
      <c r="K50" s="3">
        <f t="shared" si="4"/>
        <v>14</v>
      </c>
      <c r="L50" s="3">
        <f t="shared" si="5"/>
        <v>5272</v>
      </c>
      <c r="M50" s="3">
        <v>27231430</v>
      </c>
    </row>
    <row r="51" spans="1:13" s="18" customFormat="1" outlineLevel="2">
      <c r="A51" s="19" t="s">
        <v>78</v>
      </c>
      <c r="B51" s="20" t="s">
        <v>31</v>
      </c>
      <c r="C51" s="21" t="s">
        <v>93</v>
      </c>
      <c r="D51" s="20"/>
      <c r="E51" s="3"/>
      <c r="F51" s="19"/>
      <c r="G51" s="3">
        <v>27231430</v>
      </c>
      <c r="H51" s="2">
        <v>5.0000000000000001E-3</v>
      </c>
      <c r="I51" s="19">
        <v>44027</v>
      </c>
      <c r="J51" s="19">
        <v>44043</v>
      </c>
      <c r="K51" s="3">
        <f t="shared" si="4"/>
        <v>17</v>
      </c>
      <c r="L51" s="3">
        <f t="shared" si="5"/>
        <v>6324</v>
      </c>
      <c r="M51" s="3"/>
    </row>
    <row r="52" spans="1:13" s="18" customFormat="1" outlineLevel="2">
      <c r="A52" s="19" t="s">
        <v>78</v>
      </c>
      <c r="B52" s="20" t="s">
        <v>32</v>
      </c>
      <c r="C52" s="21" t="s">
        <v>95</v>
      </c>
      <c r="D52" s="20" t="s">
        <v>94</v>
      </c>
      <c r="E52" s="3">
        <v>8000000</v>
      </c>
      <c r="F52" s="19">
        <v>43957</v>
      </c>
      <c r="G52" s="3">
        <v>7733334</v>
      </c>
      <c r="H52" s="2">
        <v>5.0000000000000001E-3</v>
      </c>
      <c r="I52" s="19">
        <v>44013</v>
      </c>
      <c r="J52" s="19">
        <v>44026</v>
      </c>
      <c r="K52" s="3">
        <f t="shared" si="4"/>
        <v>14</v>
      </c>
      <c r="L52" s="3">
        <f t="shared" si="5"/>
        <v>1479</v>
      </c>
      <c r="M52" s="3">
        <v>7600001</v>
      </c>
    </row>
    <row r="53" spans="1:13" s="18" customFormat="1" outlineLevel="2">
      <c r="A53" s="19" t="s">
        <v>78</v>
      </c>
      <c r="B53" s="20" t="s">
        <v>32</v>
      </c>
      <c r="C53" s="21" t="s">
        <v>95</v>
      </c>
      <c r="D53" s="20"/>
      <c r="E53" s="3"/>
      <c r="F53" s="19"/>
      <c r="G53" s="3">
        <v>7600001</v>
      </c>
      <c r="H53" s="2">
        <v>5.0000000000000001E-3</v>
      </c>
      <c r="I53" s="19">
        <v>44027</v>
      </c>
      <c r="J53" s="19">
        <v>44043</v>
      </c>
      <c r="K53" s="3">
        <f t="shared" si="4"/>
        <v>17</v>
      </c>
      <c r="L53" s="3">
        <f t="shared" si="5"/>
        <v>1765</v>
      </c>
      <c r="M53" s="3"/>
    </row>
    <row r="54" spans="1:13" s="18" customFormat="1" outlineLevel="2">
      <c r="A54" s="19" t="s">
        <v>78</v>
      </c>
      <c r="B54" s="20" t="s">
        <v>48</v>
      </c>
      <c r="C54" s="21" t="s">
        <v>95</v>
      </c>
      <c r="D54" s="20" t="s">
        <v>94</v>
      </c>
      <c r="E54" s="3">
        <v>5910000</v>
      </c>
      <c r="F54" s="19">
        <v>43966</v>
      </c>
      <c r="G54" s="3">
        <v>5910000</v>
      </c>
      <c r="H54" s="2">
        <v>5.0000000000000001E-3</v>
      </c>
      <c r="I54" s="19">
        <v>44013</v>
      </c>
      <c r="J54" s="19">
        <v>44043</v>
      </c>
      <c r="K54" s="3">
        <f t="shared" si="4"/>
        <v>31</v>
      </c>
      <c r="L54" s="3">
        <f t="shared" si="5"/>
        <v>2503</v>
      </c>
      <c r="M54" s="3">
        <v>5910000</v>
      </c>
    </row>
    <row r="55" spans="1:13" s="18" customFormat="1" outlineLevel="2">
      <c r="A55" s="19" t="s">
        <v>78</v>
      </c>
      <c r="B55" s="20" t="s">
        <v>59</v>
      </c>
      <c r="C55" s="21" t="s">
        <v>93</v>
      </c>
      <c r="D55" s="20" t="s">
        <v>92</v>
      </c>
      <c r="E55" s="3">
        <v>20510000</v>
      </c>
      <c r="F55" s="19">
        <v>43966</v>
      </c>
      <c r="G55" s="3">
        <v>20262892</v>
      </c>
      <c r="H55" s="2">
        <v>5.0000000000000001E-3</v>
      </c>
      <c r="I55" s="19">
        <v>44013</v>
      </c>
      <c r="J55" s="19">
        <v>44026</v>
      </c>
      <c r="K55" s="3">
        <f t="shared" si="4"/>
        <v>14</v>
      </c>
      <c r="L55" s="3">
        <f t="shared" si="5"/>
        <v>3875</v>
      </c>
      <c r="M55" s="3">
        <v>20015784</v>
      </c>
    </row>
    <row r="56" spans="1:13" s="18" customFormat="1" outlineLevel="2">
      <c r="A56" s="19" t="s">
        <v>78</v>
      </c>
      <c r="B56" s="20" t="s">
        <v>59</v>
      </c>
      <c r="C56" s="21" t="s">
        <v>93</v>
      </c>
      <c r="D56" s="20"/>
      <c r="E56" s="3"/>
      <c r="F56" s="19"/>
      <c r="G56" s="3">
        <v>20015784</v>
      </c>
      <c r="H56" s="2">
        <v>5.0000000000000001E-3</v>
      </c>
      <c r="I56" s="19">
        <v>44027</v>
      </c>
      <c r="J56" s="19">
        <v>44043</v>
      </c>
      <c r="K56" s="3">
        <f t="shared" si="4"/>
        <v>17</v>
      </c>
      <c r="L56" s="3">
        <f t="shared" si="5"/>
        <v>4648</v>
      </c>
      <c r="M56" s="3"/>
    </row>
    <row r="57" spans="1:13" s="18" customFormat="1" outlineLevel="2">
      <c r="A57" s="19" t="s">
        <v>78</v>
      </c>
      <c r="B57" s="20" t="s">
        <v>58</v>
      </c>
      <c r="C57" s="21" t="s">
        <v>77</v>
      </c>
      <c r="D57" s="20" t="s">
        <v>76</v>
      </c>
      <c r="E57" s="3">
        <v>33960000</v>
      </c>
      <c r="F57" s="19">
        <v>43978</v>
      </c>
      <c r="G57" s="3">
        <v>33960000</v>
      </c>
      <c r="H57" s="2">
        <v>5.0000000000000001E-3</v>
      </c>
      <c r="I57" s="19">
        <v>44013</v>
      </c>
      <c r="J57" s="19">
        <v>44043</v>
      </c>
      <c r="K57" s="3">
        <f t="shared" si="4"/>
        <v>31</v>
      </c>
      <c r="L57" s="3">
        <f t="shared" si="5"/>
        <v>14382</v>
      </c>
      <c r="M57" s="3">
        <v>33960000</v>
      </c>
    </row>
    <row r="58" spans="1:13" s="18" customFormat="1" ht="13.5" outlineLevel="1">
      <c r="A58" s="22" t="s">
        <v>75</v>
      </c>
      <c r="B58" s="23"/>
      <c r="C58" s="24"/>
      <c r="D58" s="23"/>
      <c r="E58" s="25">
        <f>SUBTOTAL(9,E35:E57)</f>
        <v>393205386</v>
      </c>
      <c r="F58" s="26"/>
      <c r="G58" s="25"/>
      <c r="H58" s="27"/>
      <c r="I58" s="26"/>
      <c r="J58" s="26"/>
      <c r="K58" s="25"/>
      <c r="L58" s="25">
        <f>SUBTOTAL(9,L35:L57)</f>
        <v>155404</v>
      </c>
      <c r="M58" s="25">
        <f>SUBTOTAL(9,M35:M57)</f>
        <v>389873943</v>
      </c>
    </row>
    <row r="59" spans="1:13" s="18" customFormat="1" outlineLevel="2">
      <c r="A59" s="19" t="s">
        <v>20</v>
      </c>
      <c r="B59" s="20" t="s">
        <v>16</v>
      </c>
      <c r="C59" s="21" t="s">
        <v>21</v>
      </c>
      <c r="D59" s="20" t="s">
        <v>22</v>
      </c>
      <c r="E59" s="3">
        <v>69000000</v>
      </c>
      <c r="F59" s="19">
        <v>43822</v>
      </c>
      <c r="G59" s="3">
        <v>69000000</v>
      </c>
      <c r="H59" s="2">
        <v>5.0000000000000001E-3</v>
      </c>
      <c r="I59" s="19">
        <v>44013</v>
      </c>
      <c r="J59" s="19">
        <v>44043</v>
      </c>
      <c r="K59" s="3">
        <f t="shared" ref="K59:K81" si="6">J59-I59+1</f>
        <v>31</v>
      </c>
      <c r="L59" s="3">
        <f t="shared" ref="L59:L81" si="7">ROUND(G59*H59*K59/366,0)</f>
        <v>29221</v>
      </c>
      <c r="M59" s="3">
        <v>69000000</v>
      </c>
    </row>
    <row r="60" spans="1:13" s="18" customFormat="1" outlineLevel="2">
      <c r="A60" s="19" t="s">
        <v>20</v>
      </c>
      <c r="B60" s="20" t="s">
        <v>61</v>
      </c>
      <c r="C60" s="21" t="s">
        <v>133</v>
      </c>
      <c r="D60" s="20" t="s">
        <v>132</v>
      </c>
      <c r="E60" s="3">
        <v>247700000</v>
      </c>
      <c r="F60" s="19">
        <v>43985</v>
      </c>
      <c r="G60" s="3">
        <v>247700000</v>
      </c>
      <c r="H60" s="2">
        <v>5.0000000000000001E-3</v>
      </c>
      <c r="I60" s="19">
        <v>44013</v>
      </c>
      <c r="J60" s="19">
        <v>44043</v>
      </c>
      <c r="K60" s="3">
        <f t="shared" si="6"/>
        <v>31</v>
      </c>
      <c r="L60" s="3">
        <f t="shared" si="7"/>
        <v>104900</v>
      </c>
      <c r="M60" s="3">
        <v>247700000</v>
      </c>
    </row>
    <row r="61" spans="1:13" s="18" customFormat="1" outlineLevel="2">
      <c r="A61" s="19" t="s">
        <v>20</v>
      </c>
      <c r="B61" s="20" t="s">
        <v>60</v>
      </c>
      <c r="C61" s="21" t="s">
        <v>111</v>
      </c>
      <c r="D61" s="20" t="s">
        <v>110</v>
      </c>
      <c r="E61" s="3">
        <v>18612000</v>
      </c>
      <c r="F61" s="19">
        <v>43997</v>
      </c>
      <c r="G61" s="3">
        <v>18612000</v>
      </c>
      <c r="H61" s="2">
        <v>5.0000000000000001E-3</v>
      </c>
      <c r="I61" s="19">
        <v>44013</v>
      </c>
      <c r="J61" s="19">
        <v>44043</v>
      </c>
      <c r="K61" s="3">
        <f t="shared" si="6"/>
        <v>31</v>
      </c>
      <c r="L61" s="3">
        <f t="shared" si="7"/>
        <v>7882</v>
      </c>
      <c r="M61" s="3">
        <v>18612000</v>
      </c>
    </row>
    <row r="62" spans="1:13" s="18" customFormat="1" outlineLevel="2">
      <c r="A62" s="19" t="s">
        <v>20</v>
      </c>
      <c r="B62" s="20" t="s">
        <v>66</v>
      </c>
      <c r="C62" s="21" t="s">
        <v>69</v>
      </c>
      <c r="D62" s="20" t="s">
        <v>68</v>
      </c>
      <c r="E62" s="3">
        <v>624000000</v>
      </c>
      <c r="F62" s="19">
        <v>44014</v>
      </c>
      <c r="G62" s="3">
        <v>624000000</v>
      </c>
      <c r="H62" s="2">
        <v>5.0000000000000001E-3</v>
      </c>
      <c r="I62" s="19">
        <v>44014</v>
      </c>
      <c r="J62" s="19">
        <v>44043</v>
      </c>
      <c r="K62" s="3">
        <f t="shared" si="6"/>
        <v>30</v>
      </c>
      <c r="L62" s="3">
        <f t="shared" si="7"/>
        <v>255738</v>
      </c>
      <c r="M62" s="3">
        <v>624000000</v>
      </c>
    </row>
    <row r="63" spans="1:13" s="18" customFormat="1" outlineLevel="2">
      <c r="A63" s="19" t="s">
        <v>20</v>
      </c>
      <c r="B63" s="20" t="s">
        <v>65</v>
      </c>
      <c r="C63" s="21" t="s">
        <v>69</v>
      </c>
      <c r="D63" s="20" t="s">
        <v>68</v>
      </c>
      <c r="E63" s="3">
        <v>82000000</v>
      </c>
      <c r="F63" s="19">
        <v>44042</v>
      </c>
      <c r="G63" s="3">
        <v>82000000</v>
      </c>
      <c r="H63" s="2">
        <v>5.0000000000000001E-3</v>
      </c>
      <c r="I63" s="19">
        <v>44042</v>
      </c>
      <c r="J63" s="19">
        <v>44043</v>
      </c>
      <c r="K63" s="3">
        <f t="shared" si="6"/>
        <v>2</v>
      </c>
      <c r="L63" s="3">
        <f t="shared" si="7"/>
        <v>2240</v>
      </c>
      <c r="M63" s="3">
        <v>82000000</v>
      </c>
    </row>
    <row r="64" spans="1:13" s="18" customFormat="1" outlineLevel="2">
      <c r="A64" s="19" t="s">
        <v>20</v>
      </c>
      <c r="B64" s="20" t="s">
        <v>64</v>
      </c>
      <c r="C64" s="21" t="s">
        <v>69</v>
      </c>
      <c r="D64" s="20" t="s">
        <v>68</v>
      </c>
      <c r="E64" s="3">
        <v>406400000</v>
      </c>
      <c r="F64" s="19">
        <v>44042</v>
      </c>
      <c r="G64" s="3">
        <v>406400000</v>
      </c>
      <c r="H64" s="2">
        <v>3.0000000000000001E-3</v>
      </c>
      <c r="I64" s="19">
        <v>44042</v>
      </c>
      <c r="J64" s="19">
        <v>44043</v>
      </c>
      <c r="K64" s="3">
        <f t="shared" si="6"/>
        <v>2</v>
      </c>
      <c r="L64" s="3">
        <f t="shared" si="7"/>
        <v>6662</v>
      </c>
      <c r="M64" s="3">
        <v>406400000</v>
      </c>
    </row>
    <row r="65" spans="1:13" s="18" customFormat="1" outlineLevel="2">
      <c r="A65" s="19" t="s">
        <v>20</v>
      </c>
      <c r="B65" s="20" t="s">
        <v>85</v>
      </c>
      <c r="C65" s="21" t="s">
        <v>69</v>
      </c>
      <c r="D65" s="20" t="s">
        <v>68</v>
      </c>
      <c r="E65" s="3">
        <v>51600000</v>
      </c>
      <c r="F65" s="19">
        <v>44042</v>
      </c>
      <c r="G65" s="3">
        <v>51600000</v>
      </c>
      <c r="H65" s="2">
        <v>3.0000000000000001E-3</v>
      </c>
      <c r="I65" s="19">
        <v>44042</v>
      </c>
      <c r="J65" s="19">
        <v>44043</v>
      </c>
      <c r="K65" s="3">
        <f t="shared" si="6"/>
        <v>2</v>
      </c>
      <c r="L65" s="3">
        <f t="shared" si="7"/>
        <v>846</v>
      </c>
      <c r="M65" s="3">
        <v>51600000</v>
      </c>
    </row>
    <row r="66" spans="1:13" s="18" customFormat="1" outlineLevel="2">
      <c r="A66" s="19" t="s">
        <v>20</v>
      </c>
      <c r="B66" s="20" t="s">
        <v>84</v>
      </c>
      <c r="C66" s="21" t="s">
        <v>115</v>
      </c>
      <c r="D66" s="20" t="s">
        <v>114</v>
      </c>
      <c r="E66" s="3">
        <v>1850000</v>
      </c>
      <c r="F66" s="19">
        <v>44018</v>
      </c>
      <c r="G66" s="3">
        <v>1850000</v>
      </c>
      <c r="H66" s="2">
        <v>5.0000000000000001E-3</v>
      </c>
      <c r="I66" s="19">
        <v>44018</v>
      </c>
      <c r="J66" s="19">
        <v>44043</v>
      </c>
      <c r="K66" s="3">
        <f t="shared" si="6"/>
        <v>26</v>
      </c>
      <c r="L66" s="3">
        <f t="shared" si="7"/>
        <v>657</v>
      </c>
      <c r="M66" s="3">
        <v>1850000</v>
      </c>
    </row>
    <row r="67" spans="1:13" s="18" customFormat="1" outlineLevel="2">
      <c r="A67" s="19" t="s">
        <v>20</v>
      </c>
      <c r="B67" s="20" t="s">
        <v>83</v>
      </c>
      <c r="C67" s="21" t="s">
        <v>115</v>
      </c>
      <c r="D67" s="20" t="s">
        <v>114</v>
      </c>
      <c r="E67" s="3">
        <v>5400000</v>
      </c>
      <c r="F67" s="19">
        <v>44019</v>
      </c>
      <c r="G67" s="3">
        <v>5400000</v>
      </c>
      <c r="H67" s="2">
        <v>5.0000000000000001E-3</v>
      </c>
      <c r="I67" s="19">
        <v>44019</v>
      </c>
      <c r="J67" s="19">
        <v>44043</v>
      </c>
      <c r="K67" s="3">
        <f t="shared" si="6"/>
        <v>25</v>
      </c>
      <c r="L67" s="3">
        <f t="shared" si="7"/>
        <v>1844</v>
      </c>
      <c r="M67" s="3">
        <v>5400000</v>
      </c>
    </row>
    <row r="68" spans="1:13" s="18" customFormat="1" outlineLevel="2">
      <c r="A68" s="19" t="s">
        <v>20</v>
      </c>
      <c r="B68" s="20" t="s">
        <v>102</v>
      </c>
      <c r="C68" s="21" t="s">
        <v>115</v>
      </c>
      <c r="D68" s="20" t="s">
        <v>114</v>
      </c>
      <c r="E68" s="3">
        <v>2300000</v>
      </c>
      <c r="F68" s="19">
        <v>44027</v>
      </c>
      <c r="G68" s="3">
        <v>2300000</v>
      </c>
      <c r="H68" s="2">
        <v>5.0000000000000001E-3</v>
      </c>
      <c r="I68" s="19">
        <v>44027</v>
      </c>
      <c r="J68" s="19">
        <v>44043</v>
      </c>
      <c r="K68" s="3">
        <f t="shared" si="6"/>
        <v>17</v>
      </c>
      <c r="L68" s="3">
        <f t="shared" si="7"/>
        <v>534</v>
      </c>
      <c r="M68" s="3">
        <v>2300000</v>
      </c>
    </row>
    <row r="69" spans="1:13" s="18" customFormat="1" outlineLevel="2">
      <c r="A69" s="19" t="s">
        <v>20</v>
      </c>
      <c r="B69" s="20" t="s">
        <v>101</v>
      </c>
      <c r="C69" s="21" t="s">
        <v>115</v>
      </c>
      <c r="D69" s="20" t="s">
        <v>114</v>
      </c>
      <c r="E69" s="3">
        <v>16280000</v>
      </c>
      <c r="F69" s="19">
        <v>44041</v>
      </c>
      <c r="G69" s="3">
        <v>16280000</v>
      </c>
      <c r="H69" s="2">
        <v>5.0000000000000001E-3</v>
      </c>
      <c r="I69" s="19">
        <v>44041</v>
      </c>
      <c r="J69" s="19">
        <v>44043</v>
      </c>
      <c r="K69" s="3">
        <f t="shared" si="6"/>
        <v>3</v>
      </c>
      <c r="L69" s="3">
        <f t="shared" si="7"/>
        <v>667</v>
      </c>
      <c r="M69" s="3">
        <v>16280000</v>
      </c>
    </row>
    <row r="70" spans="1:13" s="18" customFormat="1" outlineLevel="2">
      <c r="A70" s="19" t="s">
        <v>20</v>
      </c>
      <c r="B70" s="20" t="s">
        <v>23</v>
      </c>
      <c r="C70" s="21" t="s">
        <v>24</v>
      </c>
      <c r="D70" s="20" t="s">
        <v>18</v>
      </c>
      <c r="E70" s="3">
        <v>162300000</v>
      </c>
      <c r="F70" s="19">
        <v>43829</v>
      </c>
      <c r="G70" s="3">
        <v>146070000</v>
      </c>
      <c r="H70" s="2">
        <v>5.0000000000000001E-3</v>
      </c>
      <c r="I70" s="19">
        <v>44013</v>
      </c>
      <c r="J70" s="19">
        <v>44026</v>
      </c>
      <c r="K70" s="3">
        <f t="shared" si="6"/>
        <v>14</v>
      </c>
      <c r="L70" s="3">
        <f t="shared" si="7"/>
        <v>27937</v>
      </c>
      <c r="M70" s="3">
        <v>143365000</v>
      </c>
    </row>
    <row r="71" spans="1:13" s="18" customFormat="1" outlineLevel="2">
      <c r="A71" s="19" t="s">
        <v>20</v>
      </c>
      <c r="B71" s="20" t="s">
        <v>23</v>
      </c>
      <c r="C71" s="21" t="s">
        <v>24</v>
      </c>
      <c r="D71" s="20"/>
      <c r="E71" s="3"/>
      <c r="F71" s="19"/>
      <c r="G71" s="3">
        <v>143365000</v>
      </c>
      <c r="H71" s="2">
        <v>5.0000000000000001E-3</v>
      </c>
      <c r="I71" s="19">
        <v>44027</v>
      </c>
      <c r="J71" s="19">
        <v>44043</v>
      </c>
      <c r="K71" s="3">
        <f t="shared" si="6"/>
        <v>17</v>
      </c>
      <c r="L71" s="3">
        <f t="shared" si="7"/>
        <v>33295</v>
      </c>
      <c r="M71" s="3"/>
    </row>
    <row r="72" spans="1:13" s="18" customFormat="1" outlineLevel="2">
      <c r="A72" s="19" t="s">
        <v>20</v>
      </c>
      <c r="B72" s="20" t="s">
        <v>100</v>
      </c>
      <c r="C72" s="21" t="s">
        <v>160</v>
      </c>
      <c r="D72" s="20" t="s">
        <v>159</v>
      </c>
      <c r="E72" s="3">
        <v>30000000</v>
      </c>
      <c r="F72" s="19">
        <v>44020</v>
      </c>
      <c r="G72" s="3">
        <v>30000000</v>
      </c>
      <c r="H72" s="2">
        <v>5.0000000000000001E-3</v>
      </c>
      <c r="I72" s="19">
        <v>44020</v>
      </c>
      <c r="J72" s="19">
        <v>44043</v>
      </c>
      <c r="K72" s="3">
        <f t="shared" si="6"/>
        <v>24</v>
      </c>
      <c r="L72" s="3">
        <f t="shared" si="7"/>
        <v>9836</v>
      </c>
      <c r="M72" s="3">
        <v>30000000</v>
      </c>
    </row>
    <row r="73" spans="1:13" s="18" customFormat="1" outlineLevel="2">
      <c r="A73" s="19" t="s">
        <v>20</v>
      </c>
      <c r="B73" s="20" t="s">
        <v>99</v>
      </c>
      <c r="C73" s="21" t="s">
        <v>158</v>
      </c>
      <c r="D73" s="20" t="s">
        <v>157</v>
      </c>
      <c r="E73" s="3">
        <v>35100000</v>
      </c>
      <c r="F73" s="19">
        <v>44013</v>
      </c>
      <c r="G73" s="3">
        <v>35100000</v>
      </c>
      <c r="H73" s="2">
        <v>5.0000000000000001E-3</v>
      </c>
      <c r="I73" s="19">
        <v>44013</v>
      </c>
      <c r="J73" s="19">
        <v>44043</v>
      </c>
      <c r="K73" s="3">
        <f t="shared" si="6"/>
        <v>31</v>
      </c>
      <c r="L73" s="3">
        <f t="shared" si="7"/>
        <v>14865</v>
      </c>
      <c r="M73" s="3">
        <v>35100000</v>
      </c>
    </row>
    <row r="74" spans="1:13" s="18" customFormat="1" outlineLevel="2">
      <c r="A74" s="19" t="s">
        <v>20</v>
      </c>
      <c r="B74" s="20" t="s">
        <v>98</v>
      </c>
      <c r="C74" s="21" t="s">
        <v>158</v>
      </c>
      <c r="D74" s="20" t="s">
        <v>157</v>
      </c>
      <c r="E74" s="3">
        <v>14900000</v>
      </c>
      <c r="F74" s="19">
        <v>44021</v>
      </c>
      <c r="G74" s="3">
        <v>14900000</v>
      </c>
      <c r="H74" s="2">
        <v>5.0000000000000001E-3</v>
      </c>
      <c r="I74" s="19">
        <v>44021</v>
      </c>
      <c r="J74" s="19">
        <v>44043</v>
      </c>
      <c r="K74" s="3">
        <f t="shared" si="6"/>
        <v>23</v>
      </c>
      <c r="L74" s="3">
        <f t="shared" si="7"/>
        <v>4682</v>
      </c>
      <c r="M74" s="3">
        <v>14900000</v>
      </c>
    </row>
    <row r="75" spans="1:13" s="18" customFormat="1" outlineLevel="2">
      <c r="A75" s="19" t="s">
        <v>20</v>
      </c>
      <c r="B75" s="20" t="s">
        <v>29</v>
      </c>
      <c r="C75" s="21" t="s">
        <v>69</v>
      </c>
      <c r="D75" s="20" t="s">
        <v>68</v>
      </c>
      <c r="E75" s="3">
        <v>60000000</v>
      </c>
      <c r="F75" s="19">
        <v>43922</v>
      </c>
      <c r="G75" s="3">
        <v>60000000</v>
      </c>
      <c r="H75" s="2">
        <v>3.0000000000000001E-3</v>
      </c>
      <c r="I75" s="19">
        <v>44013</v>
      </c>
      <c r="J75" s="19">
        <v>44043</v>
      </c>
      <c r="K75" s="3">
        <f t="shared" si="6"/>
        <v>31</v>
      </c>
      <c r="L75" s="3">
        <f t="shared" si="7"/>
        <v>15246</v>
      </c>
      <c r="M75" s="3">
        <v>60000000</v>
      </c>
    </row>
    <row r="76" spans="1:13" s="18" customFormat="1" outlineLevel="2">
      <c r="A76" s="19" t="s">
        <v>20</v>
      </c>
      <c r="B76" s="20" t="s">
        <v>30</v>
      </c>
      <c r="C76" s="21" t="s">
        <v>69</v>
      </c>
      <c r="D76" s="20" t="s">
        <v>68</v>
      </c>
      <c r="E76" s="3">
        <v>144000000</v>
      </c>
      <c r="F76" s="19">
        <v>43922</v>
      </c>
      <c r="G76" s="3">
        <v>144000000</v>
      </c>
      <c r="H76" s="2">
        <v>5.0000000000000001E-3</v>
      </c>
      <c r="I76" s="19">
        <v>44013</v>
      </c>
      <c r="J76" s="19">
        <v>44043</v>
      </c>
      <c r="K76" s="3">
        <f t="shared" si="6"/>
        <v>31</v>
      </c>
      <c r="L76" s="3">
        <f t="shared" si="7"/>
        <v>60984</v>
      </c>
      <c r="M76" s="3">
        <v>144000000</v>
      </c>
    </row>
    <row r="77" spans="1:13" s="18" customFormat="1" outlineLevel="2">
      <c r="A77" s="19" t="s">
        <v>20</v>
      </c>
      <c r="B77" s="20" t="s">
        <v>31</v>
      </c>
      <c r="C77" s="21" t="s">
        <v>115</v>
      </c>
      <c r="D77" s="20" t="s">
        <v>114</v>
      </c>
      <c r="E77" s="3">
        <v>34480000</v>
      </c>
      <c r="F77" s="19">
        <v>43980</v>
      </c>
      <c r="G77" s="3">
        <v>34480000</v>
      </c>
      <c r="H77" s="2">
        <v>5.0000000000000001E-3</v>
      </c>
      <c r="I77" s="19">
        <v>44013</v>
      </c>
      <c r="J77" s="19">
        <v>44043</v>
      </c>
      <c r="K77" s="3">
        <f t="shared" si="6"/>
        <v>31</v>
      </c>
      <c r="L77" s="3">
        <f t="shared" si="7"/>
        <v>14602</v>
      </c>
      <c r="M77" s="3">
        <v>34480000</v>
      </c>
    </row>
    <row r="78" spans="1:13" s="18" customFormat="1" outlineLevel="2">
      <c r="A78" s="19" t="s">
        <v>20</v>
      </c>
      <c r="B78" s="20" t="s">
        <v>32</v>
      </c>
      <c r="C78" s="21" t="s">
        <v>113</v>
      </c>
      <c r="D78" s="20" t="s">
        <v>112</v>
      </c>
      <c r="E78" s="3">
        <v>56000000</v>
      </c>
      <c r="F78" s="19">
        <v>43966</v>
      </c>
      <c r="G78" s="3">
        <v>56000000</v>
      </c>
      <c r="H78" s="2">
        <v>5.0000000000000001E-3</v>
      </c>
      <c r="I78" s="19">
        <v>44013</v>
      </c>
      <c r="J78" s="19">
        <v>44043</v>
      </c>
      <c r="K78" s="3">
        <f t="shared" si="6"/>
        <v>31</v>
      </c>
      <c r="L78" s="3">
        <f t="shared" si="7"/>
        <v>23716</v>
      </c>
      <c r="M78" s="3">
        <v>56000000</v>
      </c>
    </row>
    <row r="79" spans="1:13" s="18" customFormat="1" outlineLevel="2">
      <c r="A79" s="19" t="s">
        <v>20</v>
      </c>
      <c r="B79" s="20" t="s">
        <v>48</v>
      </c>
      <c r="C79" s="21" t="s">
        <v>69</v>
      </c>
      <c r="D79" s="20" t="s">
        <v>68</v>
      </c>
      <c r="E79" s="3">
        <v>150000000</v>
      </c>
      <c r="F79" s="19">
        <v>43958</v>
      </c>
      <c r="G79" s="3">
        <v>150000000</v>
      </c>
      <c r="H79" s="2">
        <v>5.0000000000000001E-3</v>
      </c>
      <c r="I79" s="19">
        <v>44013</v>
      </c>
      <c r="J79" s="19">
        <v>44043</v>
      </c>
      <c r="K79" s="3">
        <f t="shared" si="6"/>
        <v>31</v>
      </c>
      <c r="L79" s="3">
        <f t="shared" si="7"/>
        <v>63525</v>
      </c>
      <c r="M79" s="3">
        <v>150000000</v>
      </c>
    </row>
    <row r="80" spans="1:13" s="18" customFormat="1" outlineLevel="2">
      <c r="A80" s="19" t="s">
        <v>20</v>
      </c>
      <c r="B80" s="20" t="s">
        <v>59</v>
      </c>
      <c r="C80" s="21" t="s">
        <v>115</v>
      </c>
      <c r="D80" s="20" t="s">
        <v>114</v>
      </c>
      <c r="E80" s="3">
        <v>5000000</v>
      </c>
      <c r="F80" s="19">
        <v>43998</v>
      </c>
      <c r="G80" s="3">
        <v>5000000</v>
      </c>
      <c r="H80" s="2">
        <v>5.0000000000000001E-3</v>
      </c>
      <c r="I80" s="19">
        <v>44013</v>
      </c>
      <c r="J80" s="19">
        <v>44043</v>
      </c>
      <c r="K80" s="3">
        <f t="shared" si="6"/>
        <v>31</v>
      </c>
      <c r="L80" s="3">
        <f t="shared" si="7"/>
        <v>2117</v>
      </c>
      <c r="M80" s="3">
        <v>5000000</v>
      </c>
    </row>
    <row r="81" spans="1:13" s="18" customFormat="1" outlineLevel="2">
      <c r="A81" s="19" t="s">
        <v>20</v>
      </c>
      <c r="B81" s="20" t="s">
        <v>58</v>
      </c>
      <c r="C81" s="21" t="s">
        <v>115</v>
      </c>
      <c r="D81" s="20" t="s">
        <v>114</v>
      </c>
      <c r="E81" s="3">
        <v>17292000</v>
      </c>
      <c r="F81" s="19">
        <v>44002</v>
      </c>
      <c r="G81" s="3">
        <v>17292000</v>
      </c>
      <c r="H81" s="2">
        <v>5.0000000000000001E-3</v>
      </c>
      <c r="I81" s="19">
        <v>44013</v>
      </c>
      <c r="J81" s="19">
        <v>44043</v>
      </c>
      <c r="K81" s="3">
        <f t="shared" si="6"/>
        <v>31</v>
      </c>
      <c r="L81" s="3">
        <f t="shared" si="7"/>
        <v>7323</v>
      </c>
      <c r="M81" s="3">
        <v>17292000</v>
      </c>
    </row>
    <row r="82" spans="1:13" s="18" customFormat="1" ht="13.5" outlineLevel="1">
      <c r="A82" s="22" t="s">
        <v>25</v>
      </c>
      <c r="B82" s="23"/>
      <c r="C82" s="24"/>
      <c r="D82" s="23"/>
      <c r="E82" s="25">
        <f>SUBTOTAL(9,E59:E81)</f>
        <v>2234214000</v>
      </c>
      <c r="F82" s="26"/>
      <c r="G82" s="25"/>
      <c r="H82" s="27"/>
      <c r="I82" s="26"/>
      <c r="J82" s="26"/>
      <c r="K82" s="25"/>
      <c r="L82" s="25">
        <f>SUBTOTAL(9,L59:L81)</f>
        <v>689319</v>
      </c>
      <c r="M82" s="25">
        <f>SUBTOTAL(9,M59:M81)</f>
        <v>2215279000</v>
      </c>
    </row>
    <row r="83" spans="1:13" s="18" customFormat="1" outlineLevel="2">
      <c r="A83" s="19" t="s">
        <v>26</v>
      </c>
      <c r="B83" s="20" t="s">
        <v>16</v>
      </c>
      <c r="C83" s="21" t="s">
        <v>27</v>
      </c>
      <c r="D83" s="20" t="s">
        <v>28</v>
      </c>
      <c r="E83" s="3">
        <v>38000000</v>
      </c>
      <c r="F83" s="19">
        <v>43762</v>
      </c>
      <c r="G83" s="3">
        <v>38000000</v>
      </c>
      <c r="H83" s="2">
        <v>5.0000000000000001E-3</v>
      </c>
      <c r="I83" s="19">
        <v>44013</v>
      </c>
      <c r="J83" s="19">
        <v>44043</v>
      </c>
      <c r="K83" s="3">
        <f t="shared" ref="K83:K114" si="8">J83-I83+1</f>
        <v>31</v>
      </c>
      <c r="L83" s="3">
        <f t="shared" ref="L83:L114" si="9">ROUND(G83*H83*K83/366,0)</f>
        <v>16093</v>
      </c>
      <c r="M83" s="3">
        <v>38000000</v>
      </c>
    </row>
    <row r="84" spans="1:13" s="18" customFormat="1" outlineLevel="2">
      <c r="A84" s="19" t="s">
        <v>26</v>
      </c>
      <c r="B84" s="20" t="s">
        <v>61</v>
      </c>
      <c r="C84" s="21" t="s">
        <v>74</v>
      </c>
      <c r="D84" s="20" t="s">
        <v>73</v>
      </c>
      <c r="E84" s="3">
        <v>110000000</v>
      </c>
      <c r="F84" s="19">
        <v>43913</v>
      </c>
      <c r="G84" s="3">
        <v>110000000</v>
      </c>
      <c r="H84" s="2">
        <v>5.0000000000000001E-3</v>
      </c>
      <c r="I84" s="19">
        <v>44013</v>
      </c>
      <c r="J84" s="19">
        <v>44043</v>
      </c>
      <c r="K84" s="3">
        <f t="shared" si="8"/>
        <v>31</v>
      </c>
      <c r="L84" s="3">
        <f t="shared" si="9"/>
        <v>46585</v>
      </c>
      <c r="M84" s="3">
        <v>110000000</v>
      </c>
    </row>
    <row r="85" spans="1:13" s="18" customFormat="1" outlineLevel="2">
      <c r="A85" s="19" t="s">
        <v>26</v>
      </c>
      <c r="B85" s="20" t="s">
        <v>60</v>
      </c>
      <c r="C85" s="21" t="s">
        <v>33</v>
      </c>
      <c r="D85" s="20" t="s">
        <v>34</v>
      </c>
      <c r="E85" s="3">
        <v>95655336</v>
      </c>
      <c r="F85" s="19">
        <v>43951</v>
      </c>
      <c r="G85" s="3">
        <v>95655336</v>
      </c>
      <c r="H85" s="2">
        <v>5.0000000000000001E-3</v>
      </c>
      <c r="I85" s="19">
        <v>44013</v>
      </c>
      <c r="J85" s="19">
        <v>44043</v>
      </c>
      <c r="K85" s="3">
        <f t="shared" si="8"/>
        <v>31</v>
      </c>
      <c r="L85" s="3">
        <f t="shared" si="9"/>
        <v>40510</v>
      </c>
      <c r="M85" s="3">
        <v>95655336</v>
      </c>
    </row>
    <row r="86" spans="1:13" s="18" customFormat="1" outlineLevel="2">
      <c r="A86" s="19" t="s">
        <v>26</v>
      </c>
      <c r="B86" s="20" t="s">
        <v>66</v>
      </c>
      <c r="C86" s="21" t="s">
        <v>27</v>
      </c>
      <c r="D86" s="20" t="s">
        <v>28</v>
      </c>
      <c r="E86" s="3">
        <v>38000000</v>
      </c>
      <c r="F86" s="19">
        <v>43962</v>
      </c>
      <c r="G86" s="3">
        <v>38000000</v>
      </c>
      <c r="H86" s="2">
        <v>5.0000000000000001E-3</v>
      </c>
      <c r="I86" s="19">
        <v>44013</v>
      </c>
      <c r="J86" s="19">
        <v>44043</v>
      </c>
      <c r="K86" s="3">
        <f t="shared" si="8"/>
        <v>31</v>
      </c>
      <c r="L86" s="3">
        <f t="shared" si="9"/>
        <v>16093</v>
      </c>
      <c r="M86" s="3">
        <v>38000000</v>
      </c>
    </row>
    <row r="87" spans="1:13" s="18" customFormat="1" outlineLevel="2">
      <c r="A87" s="19" t="s">
        <v>26</v>
      </c>
      <c r="B87" s="20" t="s">
        <v>65</v>
      </c>
      <c r="C87" s="21" t="s">
        <v>27</v>
      </c>
      <c r="D87" s="20" t="s">
        <v>28</v>
      </c>
      <c r="E87" s="3">
        <v>10500000</v>
      </c>
      <c r="F87" s="19">
        <v>43962</v>
      </c>
      <c r="G87" s="3">
        <v>10500000</v>
      </c>
      <c r="H87" s="2">
        <v>5.0000000000000001E-3</v>
      </c>
      <c r="I87" s="19">
        <v>44013</v>
      </c>
      <c r="J87" s="19">
        <v>44043</v>
      </c>
      <c r="K87" s="3">
        <f t="shared" si="8"/>
        <v>31</v>
      </c>
      <c r="L87" s="3">
        <f t="shared" si="9"/>
        <v>4447</v>
      </c>
      <c r="M87" s="3">
        <v>10500000</v>
      </c>
    </row>
    <row r="88" spans="1:13" s="18" customFormat="1" outlineLevel="2">
      <c r="A88" s="19" t="s">
        <v>26</v>
      </c>
      <c r="B88" s="20" t="s">
        <v>64</v>
      </c>
      <c r="C88" s="21" t="s">
        <v>111</v>
      </c>
      <c r="D88" s="20" t="s">
        <v>110</v>
      </c>
      <c r="E88" s="3">
        <v>160000000</v>
      </c>
      <c r="F88" s="19">
        <v>43970</v>
      </c>
      <c r="G88" s="3">
        <v>160000000</v>
      </c>
      <c r="H88" s="2">
        <v>5.0000000000000001E-3</v>
      </c>
      <c r="I88" s="19">
        <v>44013</v>
      </c>
      <c r="J88" s="19">
        <v>44043</v>
      </c>
      <c r="K88" s="3">
        <f t="shared" si="8"/>
        <v>31</v>
      </c>
      <c r="L88" s="3">
        <f t="shared" si="9"/>
        <v>67760</v>
      </c>
      <c r="M88" s="3">
        <v>160000000</v>
      </c>
    </row>
    <row r="89" spans="1:13" s="18" customFormat="1" outlineLevel="2">
      <c r="A89" s="19" t="s">
        <v>26</v>
      </c>
      <c r="B89" s="20" t="s">
        <v>85</v>
      </c>
      <c r="C89" s="21" t="s">
        <v>109</v>
      </c>
      <c r="D89" s="20" t="s">
        <v>34</v>
      </c>
      <c r="E89" s="3">
        <v>13104000</v>
      </c>
      <c r="F89" s="19">
        <v>43979</v>
      </c>
      <c r="G89" s="3">
        <v>13104000</v>
      </c>
      <c r="H89" s="2">
        <v>5.0000000000000001E-3</v>
      </c>
      <c r="I89" s="19">
        <v>44013</v>
      </c>
      <c r="J89" s="19">
        <v>44043</v>
      </c>
      <c r="K89" s="3">
        <f t="shared" si="8"/>
        <v>31</v>
      </c>
      <c r="L89" s="3">
        <f t="shared" si="9"/>
        <v>5550</v>
      </c>
      <c r="M89" s="3">
        <v>13104000</v>
      </c>
    </row>
    <row r="90" spans="1:13" s="18" customFormat="1" outlineLevel="2">
      <c r="A90" s="19" t="s">
        <v>26</v>
      </c>
      <c r="B90" s="20" t="s">
        <v>84</v>
      </c>
      <c r="C90" s="21" t="s">
        <v>130</v>
      </c>
      <c r="D90" s="20" t="s">
        <v>129</v>
      </c>
      <c r="E90" s="3">
        <v>6550000</v>
      </c>
      <c r="F90" s="19">
        <v>43993</v>
      </c>
      <c r="G90" s="3">
        <v>6550000</v>
      </c>
      <c r="H90" s="2">
        <v>5.0000000000000001E-3</v>
      </c>
      <c r="I90" s="19">
        <v>44013</v>
      </c>
      <c r="J90" s="19">
        <v>44043</v>
      </c>
      <c r="K90" s="3">
        <f t="shared" si="8"/>
        <v>31</v>
      </c>
      <c r="L90" s="3">
        <f t="shared" si="9"/>
        <v>2774</v>
      </c>
      <c r="M90" s="3">
        <v>6550000</v>
      </c>
    </row>
    <row r="91" spans="1:13" s="18" customFormat="1" outlineLevel="2">
      <c r="A91" s="19" t="s">
        <v>26</v>
      </c>
      <c r="B91" s="20" t="s">
        <v>83</v>
      </c>
      <c r="C91" s="21" t="s">
        <v>130</v>
      </c>
      <c r="D91" s="20" t="s">
        <v>129</v>
      </c>
      <c r="E91" s="3">
        <v>19710000</v>
      </c>
      <c r="F91" s="19">
        <v>43993</v>
      </c>
      <c r="G91" s="3">
        <v>19710000</v>
      </c>
      <c r="H91" s="2">
        <v>5.0000000000000001E-3</v>
      </c>
      <c r="I91" s="19">
        <v>44013</v>
      </c>
      <c r="J91" s="19">
        <v>44043</v>
      </c>
      <c r="K91" s="3">
        <f t="shared" si="8"/>
        <v>31</v>
      </c>
      <c r="L91" s="3">
        <f t="shared" si="9"/>
        <v>8347</v>
      </c>
      <c r="M91" s="3">
        <v>19710000</v>
      </c>
    </row>
    <row r="92" spans="1:13" s="18" customFormat="1" outlineLevel="2">
      <c r="A92" s="19" t="s">
        <v>26</v>
      </c>
      <c r="B92" s="20" t="s">
        <v>102</v>
      </c>
      <c r="C92" s="21" t="s">
        <v>130</v>
      </c>
      <c r="D92" s="20" t="s">
        <v>129</v>
      </c>
      <c r="E92" s="3">
        <v>16860000</v>
      </c>
      <c r="F92" s="19">
        <v>43993</v>
      </c>
      <c r="G92" s="3">
        <v>16860000</v>
      </c>
      <c r="H92" s="2">
        <v>5.0000000000000001E-3</v>
      </c>
      <c r="I92" s="19">
        <v>44013</v>
      </c>
      <c r="J92" s="19">
        <v>44043</v>
      </c>
      <c r="K92" s="3">
        <f t="shared" si="8"/>
        <v>31</v>
      </c>
      <c r="L92" s="3">
        <f t="shared" si="9"/>
        <v>7140</v>
      </c>
      <c r="M92" s="3">
        <v>16860000</v>
      </c>
    </row>
    <row r="93" spans="1:13" s="18" customFormat="1" outlineLevel="2">
      <c r="A93" s="19" t="s">
        <v>26</v>
      </c>
      <c r="B93" s="20" t="s">
        <v>101</v>
      </c>
      <c r="C93" s="21" t="s">
        <v>128</v>
      </c>
      <c r="D93" s="20" t="s">
        <v>127</v>
      </c>
      <c r="E93" s="3">
        <v>240000000</v>
      </c>
      <c r="F93" s="19">
        <v>44000</v>
      </c>
      <c r="G93" s="3">
        <v>240000000</v>
      </c>
      <c r="H93" s="2">
        <v>5.0000000000000001E-3</v>
      </c>
      <c r="I93" s="19">
        <v>44013</v>
      </c>
      <c r="J93" s="19">
        <v>44043</v>
      </c>
      <c r="K93" s="3">
        <f t="shared" si="8"/>
        <v>31</v>
      </c>
      <c r="L93" s="3">
        <f t="shared" si="9"/>
        <v>101639</v>
      </c>
      <c r="M93" s="3">
        <v>240000000</v>
      </c>
    </row>
    <row r="94" spans="1:13" s="18" customFormat="1" outlineLevel="2">
      <c r="A94" s="19" t="s">
        <v>26</v>
      </c>
      <c r="B94" s="20" t="s">
        <v>23</v>
      </c>
      <c r="C94" s="21" t="s">
        <v>27</v>
      </c>
      <c r="D94" s="20" t="s">
        <v>28</v>
      </c>
      <c r="E94" s="3">
        <v>57000000</v>
      </c>
      <c r="F94" s="19">
        <v>43822</v>
      </c>
      <c r="G94" s="3">
        <v>57000000</v>
      </c>
      <c r="H94" s="2">
        <v>5.0000000000000001E-3</v>
      </c>
      <c r="I94" s="19">
        <v>44013</v>
      </c>
      <c r="J94" s="19">
        <v>44043</v>
      </c>
      <c r="K94" s="3">
        <f t="shared" si="8"/>
        <v>31</v>
      </c>
      <c r="L94" s="3">
        <f t="shared" si="9"/>
        <v>24139</v>
      </c>
      <c r="M94" s="3">
        <v>57000000</v>
      </c>
    </row>
    <row r="95" spans="1:13" s="18" customFormat="1" outlineLevel="2">
      <c r="A95" s="19" t="s">
        <v>26</v>
      </c>
      <c r="B95" s="20" t="s">
        <v>100</v>
      </c>
      <c r="C95" s="21" t="s">
        <v>111</v>
      </c>
      <c r="D95" s="20" t="s">
        <v>110</v>
      </c>
      <c r="E95" s="3">
        <v>55000000</v>
      </c>
      <c r="F95" s="19">
        <v>44001</v>
      </c>
      <c r="G95" s="3">
        <v>55000000</v>
      </c>
      <c r="H95" s="2">
        <v>5.0000000000000001E-3</v>
      </c>
      <c r="I95" s="19">
        <v>44013</v>
      </c>
      <c r="J95" s="19">
        <v>44043</v>
      </c>
      <c r="K95" s="3">
        <f t="shared" si="8"/>
        <v>31</v>
      </c>
      <c r="L95" s="3">
        <f t="shared" si="9"/>
        <v>23292</v>
      </c>
      <c r="M95" s="3">
        <v>55000000</v>
      </c>
    </row>
    <row r="96" spans="1:13" s="18" customFormat="1" outlineLevel="2">
      <c r="A96" s="19" t="s">
        <v>26</v>
      </c>
      <c r="B96" s="20" t="s">
        <v>99</v>
      </c>
      <c r="C96" s="21" t="s">
        <v>126</v>
      </c>
      <c r="D96" s="20" t="s">
        <v>125</v>
      </c>
      <c r="E96" s="3">
        <v>8907064</v>
      </c>
      <c r="F96" s="19">
        <v>44006</v>
      </c>
      <c r="G96" s="3">
        <v>8907064</v>
      </c>
      <c r="H96" s="2">
        <v>5.0000000000000001E-3</v>
      </c>
      <c r="I96" s="19">
        <v>44013</v>
      </c>
      <c r="J96" s="19">
        <v>44043</v>
      </c>
      <c r="K96" s="3">
        <f t="shared" si="8"/>
        <v>31</v>
      </c>
      <c r="L96" s="3">
        <f t="shared" si="9"/>
        <v>3772</v>
      </c>
      <c r="M96" s="3">
        <v>8907064</v>
      </c>
    </row>
    <row r="97" spans="1:13" s="18" customFormat="1" outlineLevel="2">
      <c r="A97" s="19" t="s">
        <v>26</v>
      </c>
      <c r="B97" s="20" t="s">
        <v>98</v>
      </c>
      <c r="C97" s="21" t="s">
        <v>33</v>
      </c>
      <c r="D97" s="20" t="s">
        <v>34</v>
      </c>
      <c r="E97" s="3">
        <v>7560000</v>
      </c>
      <c r="F97" s="19">
        <v>44018</v>
      </c>
      <c r="G97" s="3">
        <v>7560000</v>
      </c>
      <c r="H97" s="2">
        <v>5.0000000000000001E-3</v>
      </c>
      <c r="I97" s="19">
        <v>44018</v>
      </c>
      <c r="J97" s="19">
        <v>44043</v>
      </c>
      <c r="K97" s="3">
        <f t="shared" si="8"/>
        <v>26</v>
      </c>
      <c r="L97" s="3">
        <f t="shared" si="9"/>
        <v>2685</v>
      </c>
      <c r="M97" s="3">
        <v>7560000</v>
      </c>
    </row>
    <row r="98" spans="1:13" s="18" customFormat="1" outlineLevel="2">
      <c r="A98" s="19" t="s">
        <v>26</v>
      </c>
      <c r="B98" s="20" t="s">
        <v>122</v>
      </c>
      <c r="C98" s="21" t="s">
        <v>27</v>
      </c>
      <c r="D98" s="20" t="s">
        <v>28</v>
      </c>
      <c r="E98" s="3">
        <v>38000000</v>
      </c>
      <c r="F98" s="19">
        <v>44022</v>
      </c>
      <c r="G98" s="3">
        <v>38000000</v>
      </c>
      <c r="H98" s="2">
        <v>5.0000000000000001E-3</v>
      </c>
      <c r="I98" s="19">
        <v>44022</v>
      </c>
      <c r="J98" s="19">
        <v>44043</v>
      </c>
      <c r="K98" s="3">
        <f t="shared" si="8"/>
        <v>22</v>
      </c>
      <c r="L98" s="3">
        <f t="shared" si="9"/>
        <v>11421</v>
      </c>
      <c r="M98" s="3">
        <v>38000000</v>
      </c>
    </row>
    <row r="99" spans="1:13" s="18" customFormat="1" outlineLevel="2">
      <c r="A99" s="19" t="s">
        <v>26</v>
      </c>
      <c r="B99" s="20" t="s">
        <v>121</v>
      </c>
      <c r="C99" s="21" t="s">
        <v>27</v>
      </c>
      <c r="D99" s="20" t="s">
        <v>28</v>
      </c>
      <c r="E99" s="3">
        <v>10500000</v>
      </c>
      <c r="F99" s="19">
        <v>44022</v>
      </c>
      <c r="G99" s="3">
        <v>10500000</v>
      </c>
      <c r="H99" s="2">
        <v>5.0000000000000001E-3</v>
      </c>
      <c r="I99" s="19">
        <v>44022</v>
      </c>
      <c r="J99" s="19">
        <v>44043</v>
      </c>
      <c r="K99" s="3">
        <f t="shared" si="8"/>
        <v>22</v>
      </c>
      <c r="L99" s="3">
        <f t="shared" si="9"/>
        <v>3156</v>
      </c>
      <c r="M99" s="3">
        <v>10500000</v>
      </c>
    </row>
    <row r="100" spans="1:13" s="18" customFormat="1" outlineLevel="2">
      <c r="A100" s="19" t="s">
        <v>26</v>
      </c>
      <c r="B100" s="20" t="s">
        <v>120</v>
      </c>
      <c r="C100" s="21" t="s">
        <v>156</v>
      </c>
      <c r="D100" s="20" t="s">
        <v>155</v>
      </c>
      <c r="E100" s="3">
        <v>72000000</v>
      </c>
      <c r="F100" s="19">
        <v>44025</v>
      </c>
      <c r="G100" s="3">
        <v>72000000</v>
      </c>
      <c r="H100" s="2">
        <v>5.0000000000000001E-3</v>
      </c>
      <c r="I100" s="19">
        <v>44025</v>
      </c>
      <c r="J100" s="19">
        <v>44043</v>
      </c>
      <c r="K100" s="3">
        <f t="shared" si="8"/>
        <v>19</v>
      </c>
      <c r="L100" s="3">
        <f t="shared" si="9"/>
        <v>18689</v>
      </c>
      <c r="M100" s="3">
        <v>72000000</v>
      </c>
    </row>
    <row r="101" spans="1:13" s="18" customFormat="1" outlineLevel="2">
      <c r="A101" s="19" t="s">
        <v>26</v>
      </c>
      <c r="B101" s="20" t="s">
        <v>147</v>
      </c>
      <c r="C101" s="21" t="s">
        <v>141</v>
      </c>
      <c r="D101" s="20" t="s">
        <v>140</v>
      </c>
      <c r="E101" s="3">
        <v>87500000</v>
      </c>
      <c r="F101" s="19">
        <v>44027</v>
      </c>
      <c r="G101" s="3">
        <v>87500000</v>
      </c>
      <c r="H101" s="2">
        <v>5.0000000000000001E-3</v>
      </c>
      <c r="I101" s="19">
        <v>44027</v>
      </c>
      <c r="J101" s="19">
        <v>44043</v>
      </c>
      <c r="K101" s="3">
        <f t="shared" si="8"/>
        <v>17</v>
      </c>
      <c r="L101" s="3">
        <f t="shared" si="9"/>
        <v>20321</v>
      </c>
      <c r="M101" s="3">
        <v>87500000</v>
      </c>
    </row>
    <row r="102" spans="1:13" s="18" customFormat="1" outlineLevel="2">
      <c r="A102" s="19" t="s">
        <v>26</v>
      </c>
      <c r="B102" s="20" t="s">
        <v>146</v>
      </c>
      <c r="C102" s="21" t="s">
        <v>154</v>
      </c>
      <c r="D102" s="20" t="s">
        <v>153</v>
      </c>
      <c r="E102" s="3">
        <v>84000000</v>
      </c>
      <c r="F102" s="19">
        <v>44027</v>
      </c>
      <c r="G102" s="3">
        <v>84000000</v>
      </c>
      <c r="H102" s="2">
        <v>5.0000000000000001E-3</v>
      </c>
      <c r="I102" s="19">
        <v>44027</v>
      </c>
      <c r="J102" s="19">
        <v>44043</v>
      </c>
      <c r="K102" s="3">
        <f t="shared" si="8"/>
        <v>17</v>
      </c>
      <c r="L102" s="3">
        <f t="shared" si="9"/>
        <v>19508</v>
      </c>
      <c r="M102" s="3">
        <v>84000000</v>
      </c>
    </row>
    <row r="103" spans="1:13" s="18" customFormat="1" outlineLevel="2">
      <c r="A103" s="19" t="s">
        <v>26</v>
      </c>
      <c r="B103" s="20" t="s">
        <v>145</v>
      </c>
      <c r="C103" s="21" t="s">
        <v>97</v>
      </c>
      <c r="D103" s="20" t="s">
        <v>96</v>
      </c>
      <c r="E103" s="3">
        <v>12230000</v>
      </c>
      <c r="F103" s="19">
        <v>44034</v>
      </c>
      <c r="G103" s="3">
        <v>12230000</v>
      </c>
      <c r="H103" s="2">
        <v>5.0000000000000001E-3</v>
      </c>
      <c r="I103" s="19">
        <v>44034</v>
      </c>
      <c r="J103" s="19">
        <v>44043</v>
      </c>
      <c r="K103" s="3">
        <f t="shared" si="8"/>
        <v>10</v>
      </c>
      <c r="L103" s="3">
        <f t="shared" si="9"/>
        <v>1671</v>
      </c>
      <c r="M103" s="3">
        <v>12230000</v>
      </c>
    </row>
    <row r="104" spans="1:13" s="18" customFormat="1" outlineLevel="2">
      <c r="A104" s="19" t="s">
        <v>26</v>
      </c>
      <c r="B104" s="20" t="s">
        <v>144</v>
      </c>
      <c r="C104" s="21" t="s">
        <v>111</v>
      </c>
      <c r="D104" s="20" t="s">
        <v>110</v>
      </c>
      <c r="E104" s="3">
        <v>40000000</v>
      </c>
      <c r="F104" s="19">
        <v>44040</v>
      </c>
      <c r="G104" s="3">
        <v>40000000</v>
      </c>
      <c r="H104" s="2">
        <v>5.0000000000000001E-3</v>
      </c>
      <c r="I104" s="19">
        <v>44040</v>
      </c>
      <c r="J104" s="19">
        <v>44043</v>
      </c>
      <c r="K104" s="3">
        <f t="shared" si="8"/>
        <v>4</v>
      </c>
      <c r="L104" s="3">
        <f t="shared" si="9"/>
        <v>2186</v>
      </c>
      <c r="M104" s="3">
        <v>40000000</v>
      </c>
    </row>
    <row r="105" spans="1:13" s="18" customFormat="1" outlineLevel="2">
      <c r="A105" s="19" t="s">
        <v>26</v>
      </c>
      <c r="B105" s="20" t="s">
        <v>29</v>
      </c>
      <c r="C105" s="21" t="s">
        <v>21</v>
      </c>
      <c r="D105" s="20" t="s">
        <v>22</v>
      </c>
      <c r="E105" s="3">
        <v>171000000</v>
      </c>
      <c r="F105" s="19">
        <v>43822</v>
      </c>
      <c r="G105" s="3">
        <v>171000000</v>
      </c>
      <c r="H105" s="2">
        <v>5.0000000000000001E-3</v>
      </c>
      <c r="I105" s="19">
        <v>44013</v>
      </c>
      <c r="J105" s="19">
        <v>44043</v>
      </c>
      <c r="K105" s="3">
        <f t="shared" si="8"/>
        <v>31</v>
      </c>
      <c r="L105" s="3">
        <f t="shared" si="9"/>
        <v>72418</v>
      </c>
      <c r="M105" s="3">
        <v>171000000</v>
      </c>
    </row>
    <row r="106" spans="1:13" s="18" customFormat="1" outlineLevel="2">
      <c r="A106" s="19" t="s">
        <v>26</v>
      </c>
      <c r="B106" s="20" t="s">
        <v>143</v>
      </c>
      <c r="C106" s="21" t="s">
        <v>151</v>
      </c>
      <c r="D106" s="20" t="s">
        <v>150</v>
      </c>
      <c r="E106" s="3">
        <v>18000000</v>
      </c>
      <c r="F106" s="19">
        <v>44043</v>
      </c>
      <c r="G106" s="3">
        <v>18000000</v>
      </c>
      <c r="H106" s="2">
        <v>5.0000000000000001E-3</v>
      </c>
      <c r="I106" s="19">
        <v>44043</v>
      </c>
      <c r="J106" s="19">
        <v>44043</v>
      </c>
      <c r="K106" s="3">
        <f t="shared" si="8"/>
        <v>1</v>
      </c>
      <c r="L106" s="3">
        <f t="shared" si="9"/>
        <v>246</v>
      </c>
      <c r="M106" s="3">
        <v>18000000</v>
      </c>
    </row>
    <row r="107" spans="1:13" s="18" customFormat="1" outlineLevel="2">
      <c r="A107" s="19" t="s">
        <v>26</v>
      </c>
      <c r="B107" s="20" t="s">
        <v>142</v>
      </c>
      <c r="C107" s="21" t="s">
        <v>151</v>
      </c>
      <c r="D107" s="20" t="s">
        <v>150</v>
      </c>
      <c r="E107" s="3">
        <v>21000000</v>
      </c>
      <c r="F107" s="19">
        <v>44043</v>
      </c>
      <c r="G107" s="3">
        <v>21000000</v>
      </c>
      <c r="H107" s="2">
        <v>5.0000000000000001E-3</v>
      </c>
      <c r="I107" s="19">
        <v>44043</v>
      </c>
      <c r="J107" s="19">
        <v>44043</v>
      </c>
      <c r="K107" s="3">
        <f t="shared" si="8"/>
        <v>1</v>
      </c>
      <c r="L107" s="3">
        <f t="shared" si="9"/>
        <v>287</v>
      </c>
      <c r="M107" s="3">
        <v>21000000</v>
      </c>
    </row>
    <row r="108" spans="1:13" s="18" customFormat="1" outlineLevel="2">
      <c r="A108" s="19" t="s">
        <v>26</v>
      </c>
      <c r="B108" s="20" t="s">
        <v>152</v>
      </c>
      <c r="C108" s="21" t="s">
        <v>151</v>
      </c>
      <c r="D108" s="20" t="s">
        <v>150</v>
      </c>
      <c r="E108" s="3">
        <v>13600000</v>
      </c>
      <c r="F108" s="19">
        <v>44043</v>
      </c>
      <c r="G108" s="3">
        <v>13600000</v>
      </c>
      <c r="H108" s="2">
        <v>5.0000000000000001E-3</v>
      </c>
      <c r="I108" s="19">
        <v>44043</v>
      </c>
      <c r="J108" s="19">
        <v>44043</v>
      </c>
      <c r="K108" s="3">
        <f t="shared" si="8"/>
        <v>1</v>
      </c>
      <c r="L108" s="3">
        <f t="shared" si="9"/>
        <v>186</v>
      </c>
      <c r="M108" s="3">
        <v>13600000</v>
      </c>
    </row>
    <row r="109" spans="1:13" s="18" customFormat="1" outlineLevel="2">
      <c r="A109" s="19" t="s">
        <v>26</v>
      </c>
      <c r="B109" s="20" t="s">
        <v>30</v>
      </c>
      <c r="C109" s="21" t="s">
        <v>27</v>
      </c>
      <c r="D109" s="20" t="s">
        <v>28</v>
      </c>
      <c r="E109" s="3">
        <v>38000000</v>
      </c>
      <c r="F109" s="19">
        <v>43850</v>
      </c>
      <c r="G109" s="3">
        <v>38000000</v>
      </c>
      <c r="H109" s="2">
        <v>5.0000000000000001E-3</v>
      </c>
      <c r="I109" s="19">
        <v>44013</v>
      </c>
      <c r="J109" s="19">
        <v>44043</v>
      </c>
      <c r="K109" s="3">
        <f t="shared" si="8"/>
        <v>31</v>
      </c>
      <c r="L109" s="3">
        <f t="shared" si="9"/>
        <v>16093</v>
      </c>
      <c r="M109" s="3">
        <v>38000000</v>
      </c>
    </row>
    <row r="110" spans="1:13" s="18" customFormat="1" outlineLevel="2">
      <c r="A110" s="19" t="s">
        <v>26</v>
      </c>
      <c r="B110" s="20" t="s">
        <v>31</v>
      </c>
      <c r="C110" s="21" t="s">
        <v>27</v>
      </c>
      <c r="D110" s="20" t="s">
        <v>28</v>
      </c>
      <c r="E110" s="3">
        <v>10000000</v>
      </c>
      <c r="F110" s="19">
        <v>43850</v>
      </c>
      <c r="G110" s="3">
        <v>10000000</v>
      </c>
      <c r="H110" s="2">
        <v>5.0000000000000001E-3</v>
      </c>
      <c r="I110" s="19">
        <v>44013</v>
      </c>
      <c r="J110" s="19">
        <v>44043</v>
      </c>
      <c r="K110" s="3">
        <f t="shared" si="8"/>
        <v>31</v>
      </c>
      <c r="L110" s="3">
        <f t="shared" si="9"/>
        <v>4235</v>
      </c>
      <c r="M110" s="3">
        <v>10000000</v>
      </c>
    </row>
    <row r="111" spans="1:13" s="18" customFormat="1" outlineLevel="2">
      <c r="A111" s="19" t="s">
        <v>26</v>
      </c>
      <c r="B111" s="20" t="s">
        <v>32</v>
      </c>
      <c r="C111" s="21" t="s">
        <v>33</v>
      </c>
      <c r="D111" s="20" t="s">
        <v>34</v>
      </c>
      <c r="E111" s="3">
        <v>96176976</v>
      </c>
      <c r="F111" s="19">
        <v>43861</v>
      </c>
      <c r="G111" s="3">
        <v>96176976</v>
      </c>
      <c r="H111" s="2">
        <v>5.0000000000000001E-3</v>
      </c>
      <c r="I111" s="19">
        <v>44013</v>
      </c>
      <c r="J111" s="19">
        <v>44043</v>
      </c>
      <c r="K111" s="3">
        <f t="shared" si="8"/>
        <v>31</v>
      </c>
      <c r="L111" s="3">
        <f t="shared" si="9"/>
        <v>40731</v>
      </c>
      <c r="M111" s="3">
        <v>96176976</v>
      </c>
    </row>
    <row r="112" spans="1:13" s="18" customFormat="1" outlineLevel="2">
      <c r="A112" s="19" t="s">
        <v>26</v>
      </c>
      <c r="B112" s="20" t="s">
        <v>48</v>
      </c>
      <c r="C112" s="21" t="s">
        <v>27</v>
      </c>
      <c r="D112" s="20" t="s">
        <v>28</v>
      </c>
      <c r="E112" s="3">
        <v>1800000</v>
      </c>
      <c r="F112" s="19">
        <v>43876</v>
      </c>
      <c r="G112" s="3">
        <v>1800000</v>
      </c>
      <c r="H112" s="2">
        <v>5.0000000000000001E-3</v>
      </c>
      <c r="I112" s="19">
        <v>44013</v>
      </c>
      <c r="J112" s="19">
        <v>44043</v>
      </c>
      <c r="K112" s="3">
        <f t="shared" si="8"/>
        <v>31</v>
      </c>
      <c r="L112" s="3">
        <f t="shared" si="9"/>
        <v>762</v>
      </c>
      <c r="M112" s="3">
        <v>1800000</v>
      </c>
    </row>
    <row r="113" spans="1:13" s="18" customFormat="1" outlineLevel="2">
      <c r="A113" s="19" t="s">
        <v>26</v>
      </c>
      <c r="B113" s="20" t="s">
        <v>59</v>
      </c>
      <c r="C113" s="21" t="s">
        <v>72</v>
      </c>
      <c r="D113" s="20" t="s">
        <v>71</v>
      </c>
      <c r="E113" s="3">
        <v>30000000</v>
      </c>
      <c r="F113" s="19">
        <v>43906</v>
      </c>
      <c r="G113" s="3">
        <v>30000000</v>
      </c>
      <c r="H113" s="2">
        <v>5.0000000000000001E-3</v>
      </c>
      <c r="I113" s="19">
        <v>44013</v>
      </c>
      <c r="J113" s="19">
        <v>44043</v>
      </c>
      <c r="K113" s="3">
        <f t="shared" si="8"/>
        <v>31</v>
      </c>
      <c r="L113" s="3">
        <f t="shared" si="9"/>
        <v>12705</v>
      </c>
      <c r="M113" s="3">
        <v>30000000</v>
      </c>
    </row>
    <row r="114" spans="1:13" s="18" customFormat="1" outlineLevel="2">
      <c r="A114" s="19" t="s">
        <v>26</v>
      </c>
      <c r="B114" s="20" t="s">
        <v>58</v>
      </c>
      <c r="C114" s="21" t="s">
        <v>72</v>
      </c>
      <c r="D114" s="20" t="s">
        <v>71</v>
      </c>
      <c r="E114" s="3">
        <v>50000000</v>
      </c>
      <c r="F114" s="19">
        <v>43908</v>
      </c>
      <c r="G114" s="3">
        <v>50000000</v>
      </c>
      <c r="H114" s="2">
        <v>5.0000000000000001E-3</v>
      </c>
      <c r="I114" s="19">
        <v>44013</v>
      </c>
      <c r="J114" s="19">
        <v>44043</v>
      </c>
      <c r="K114" s="3">
        <f t="shared" si="8"/>
        <v>31</v>
      </c>
      <c r="L114" s="3">
        <f t="shared" si="9"/>
        <v>21175</v>
      </c>
      <c r="M114" s="3">
        <v>50000000</v>
      </c>
    </row>
    <row r="115" spans="1:13" s="18" customFormat="1" ht="13.5" outlineLevel="1">
      <c r="A115" s="22" t="s">
        <v>35</v>
      </c>
      <c r="B115" s="23"/>
      <c r="C115" s="24"/>
      <c r="D115" s="23"/>
      <c r="E115" s="25">
        <f>SUBTOTAL(9,E83:E114)</f>
        <v>1670653376</v>
      </c>
      <c r="F115" s="26"/>
      <c r="G115" s="25"/>
      <c r="H115" s="27"/>
      <c r="I115" s="26"/>
      <c r="J115" s="26"/>
      <c r="K115" s="25"/>
      <c r="L115" s="25">
        <f>SUBTOTAL(9,L83:L114)</f>
        <v>616616</v>
      </c>
      <c r="M115" s="25">
        <f>SUBTOTAL(9,M83:M114)</f>
        <v>1670653376</v>
      </c>
    </row>
    <row r="116" spans="1:13" s="18" customFormat="1" outlineLevel="2">
      <c r="A116" s="19" t="s">
        <v>36</v>
      </c>
      <c r="B116" s="20" t="s">
        <v>16</v>
      </c>
      <c r="C116" s="21" t="s">
        <v>17</v>
      </c>
      <c r="D116" s="20" t="s">
        <v>18</v>
      </c>
      <c r="E116" s="3">
        <v>150000000</v>
      </c>
      <c r="F116" s="19">
        <v>43829</v>
      </c>
      <c r="G116" s="3">
        <v>135000000</v>
      </c>
      <c r="H116" s="2">
        <v>5.0000000000000001E-3</v>
      </c>
      <c r="I116" s="19">
        <v>44013</v>
      </c>
      <c r="J116" s="19">
        <v>44026</v>
      </c>
      <c r="K116" s="3">
        <f t="shared" ref="K116:K134" si="10">J116-I116+1</f>
        <v>14</v>
      </c>
      <c r="L116" s="3">
        <f t="shared" ref="L116:L134" si="11">ROUND(G116*H116*K116/366,0)</f>
        <v>25820</v>
      </c>
      <c r="M116" s="3">
        <v>132500000</v>
      </c>
    </row>
    <row r="117" spans="1:13" s="18" customFormat="1" outlineLevel="2">
      <c r="A117" s="19" t="s">
        <v>36</v>
      </c>
      <c r="B117" s="20" t="s">
        <v>16</v>
      </c>
      <c r="C117" s="21" t="s">
        <v>17</v>
      </c>
      <c r="D117" s="20"/>
      <c r="E117" s="3"/>
      <c r="F117" s="19"/>
      <c r="G117" s="3">
        <v>132500000</v>
      </c>
      <c r="H117" s="2">
        <v>5.0000000000000001E-3</v>
      </c>
      <c r="I117" s="19">
        <v>44027</v>
      </c>
      <c r="J117" s="19">
        <v>44043</v>
      </c>
      <c r="K117" s="3">
        <f t="shared" si="10"/>
        <v>17</v>
      </c>
      <c r="L117" s="3">
        <f t="shared" si="11"/>
        <v>30772</v>
      </c>
      <c r="M117" s="3"/>
    </row>
    <row r="118" spans="1:13" s="18" customFormat="1" outlineLevel="2">
      <c r="A118" s="19" t="s">
        <v>36</v>
      </c>
      <c r="B118" s="20" t="s">
        <v>61</v>
      </c>
      <c r="C118" s="21" t="s">
        <v>17</v>
      </c>
      <c r="D118" s="20" t="s">
        <v>18</v>
      </c>
      <c r="E118" s="3">
        <v>9460000</v>
      </c>
      <c r="F118" s="19">
        <v>43990</v>
      </c>
      <c r="G118" s="3">
        <v>9288000</v>
      </c>
      <c r="H118" s="2">
        <v>5.0000000000000001E-3</v>
      </c>
      <c r="I118" s="19">
        <v>44013</v>
      </c>
      <c r="J118" s="19">
        <v>44026</v>
      </c>
      <c r="K118" s="3">
        <f t="shared" si="10"/>
        <v>14</v>
      </c>
      <c r="L118" s="3">
        <f t="shared" si="11"/>
        <v>1776</v>
      </c>
      <c r="M118" s="3">
        <v>9116000</v>
      </c>
    </row>
    <row r="119" spans="1:13" s="18" customFormat="1" outlineLevel="2">
      <c r="A119" s="19" t="s">
        <v>36</v>
      </c>
      <c r="B119" s="20" t="s">
        <v>61</v>
      </c>
      <c r="C119" s="21" t="s">
        <v>17</v>
      </c>
      <c r="D119" s="20"/>
      <c r="E119" s="3"/>
      <c r="F119" s="19"/>
      <c r="G119" s="3">
        <v>9116000</v>
      </c>
      <c r="H119" s="2">
        <v>5.0000000000000001E-3</v>
      </c>
      <c r="I119" s="19">
        <v>44027</v>
      </c>
      <c r="J119" s="19">
        <v>44043</v>
      </c>
      <c r="K119" s="3">
        <f t="shared" si="10"/>
        <v>17</v>
      </c>
      <c r="L119" s="3">
        <f t="shared" si="11"/>
        <v>2117</v>
      </c>
      <c r="M119" s="3"/>
    </row>
    <row r="120" spans="1:13" s="18" customFormat="1" outlineLevel="2">
      <c r="A120" s="19" t="s">
        <v>36</v>
      </c>
      <c r="B120" s="20" t="s">
        <v>23</v>
      </c>
      <c r="C120" s="21" t="s">
        <v>17</v>
      </c>
      <c r="D120" s="20" t="s">
        <v>18</v>
      </c>
      <c r="E120" s="3">
        <v>32900000</v>
      </c>
      <c r="F120" s="19">
        <v>43829</v>
      </c>
      <c r="G120" s="3">
        <v>29610002</v>
      </c>
      <c r="H120" s="2">
        <v>5.0000000000000001E-3</v>
      </c>
      <c r="I120" s="19">
        <v>44013</v>
      </c>
      <c r="J120" s="19">
        <v>44026</v>
      </c>
      <c r="K120" s="3">
        <f t="shared" si="10"/>
        <v>14</v>
      </c>
      <c r="L120" s="3">
        <f t="shared" si="11"/>
        <v>5663</v>
      </c>
      <c r="M120" s="3">
        <v>29061669</v>
      </c>
    </row>
    <row r="121" spans="1:13" s="18" customFormat="1" outlineLevel="2">
      <c r="A121" s="19" t="s">
        <v>36</v>
      </c>
      <c r="B121" s="20" t="s">
        <v>23</v>
      </c>
      <c r="C121" s="21" t="s">
        <v>17</v>
      </c>
      <c r="D121" s="20"/>
      <c r="E121" s="3"/>
      <c r="F121" s="19"/>
      <c r="G121" s="3">
        <v>29061669</v>
      </c>
      <c r="H121" s="2">
        <v>5.0000000000000001E-3</v>
      </c>
      <c r="I121" s="19">
        <v>44027</v>
      </c>
      <c r="J121" s="19">
        <v>44043</v>
      </c>
      <c r="K121" s="3">
        <f t="shared" si="10"/>
        <v>17</v>
      </c>
      <c r="L121" s="3">
        <f t="shared" si="11"/>
        <v>6749</v>
      </c>
      <c r="M121" s="3"/>
    </row>
    <row r="122" spans="1:13" s="18" customFormat="1" outlineLevel="2">
      <c r="A122" s="19" t="s">
        <v>36</v>
      </c>
      <c r="B122" s="20" t="s">
        <v>29</v>
      </c>
      <c r="C122" s="21" t="s">
        <v>17</v>
      </c>
      <c r="D122" s="20" t="s">
        <v>18</v>
      </c>
      <c r="E122" s="3">
        <v>2790000</v>
      </c>
      <c r="F122" s="19">
        <v>43921</v>
      </c>
      <c r="G122" s="3">
        <v>2643159</v>
      </c>
      <c r="H122" s="2">
        <v>5.0000000000000001E-3</v>
      </c>
      <c r="I122" s="19">
        <v>44013</v>
      </c>
      <c r="J122" s="19">
        <v>44026</v>
      </c>
      <c r="K122" s="3">
        <f t="shared" si="10"/>
        <v>14</v>
      </c>
      <c r="L122" s="3">
        <f t="shared" si="11"/>
        <v>506</v>
      </c>
      <c r="M122" s="3">
        <v>2594212</v>
      </c>
    </row>
    <row r="123" spans="1:13" s="18" customFormat="1" outlineLevel="2">
      <c r="A123" s="19" t="s">
        <v>36</v>
      </c>
      <c r="B123" s="20" t="s">
        <v>29</v>
      </c>
      <c r="C123" s="21" t="s">
        <v>17</v>
      </c>
      <c r="D123" s="20"/>
      <c r="E123" s="3"/>
      <c r="F123" s="19"/>
      <c r="G123" s="3">
        <v>2594212</v>
      </c>
      <c r="H123" s="2">
        <v>5.0000000000000001E-3</v>
      </c>
      <c r="I123" s="19">
        <v>44027</v>
      </c>
      <c r="J123" s="19">
        <v>44043</v>
      </c>
      <c r="K123" s="3">
        <f t="shared" si="10"/>
        <v>17</v>
      </c>
      <c r="L123" s="3">
        <f t="shared" si="11"/>
        <v>602</v>
      </c>
      <c r="M123" s="3"/>
    </row>
    <row r="124" spans="1:13" s="18" customFormat="1" outlineLevel="2">
      <c r="A124" s="19" t="s">
        <v>36</v>
      </c>
      <c r="B124" s="20" t="s">
        <v>30</v>
      </c>
      <c r="C124" s="21" t="s">
        <v>57</v>
      </c>
      <c r="D124" s="20" t="s">
        <v>56</v>
      </c>
      <c r="E124" s="3">
        <v>12000000</v>
      </c>
      <c r="F124" s="19">
        <v>43948</v>
      </c>
      <c r="G124" s="3">
        <v>11600000</v>
      </c>
      <c r="H124" s="2">
        <v>5.0000000000000001E-3</v>
      </c>
      <c r="I124" s="19">
        <v>44013</v>
      </c>
      <c r="J124" s="19">
        <v>44026</v>
      </c>
      <c r="K124" s="3">
        <f t="shared" si="10"/>
        <v>14</v>
      </c>
      <c r="L124" s="3">
        <f t="shared" si="11"/>
        <v>2219</v>
      </c>
      <c r="M124" s="3">
        <v>11400000</v>
      </c>
    </row>
    <row r="125" spans="1:13" s="18" customFormat="1" outlineLevel="2">
      <c r="A125" s="19" t="s">
        <v>36</v>
      </c>
      <c r="B125" s="20" t="s">
        <v>30</v>
      </c>
      <c r="C125" s="21" t="s">
        <v>57</v>
      </c>
      <c r="D125" s="20"/>
      <c r="E125" s="3"/>
      <c r="F125" s="19"/>
      <c r="G125" s="3">
        <v>11400000</v>
      </c>
      <c r="H125" s="2">
        <v>5.0000000000000001E-3</v>
      </c>
      <c r="I125" s="19">
        <v>44027</v>
      </c>
      <c r="J125" s="19">
        <v>44043</v>
      </c>
      <c r="K125" s="3">
        <f t="shared" si="10"/>
        <v>17</v>
      </c>
      <c r="L125" s="3">
        <f t="shared" si="11"/>
        <v>2648</v>
      </c>
      <c r="M125" s="3"/>
    </row>
    <row r="126" spans="1:13" s="18" customFormat="1" outlineLevel="2">
      <c r="A126" s="19" t="s">
        <v>36</v>
      </c>
      <c r="B126" s="20" t="s">
        <v>31</v>
      </c>
      <c r="C126" s="21" t="s">
        <v>97</v>
      </c>
      <c r="D126" s="20" t="s">
        <v>96</v>
      </c>
      <c r="E126" s="3">
        <v>71750000</v>
      </c>
      <c r="F126" s="19">
        <v>43955</v>
      </c>
      <c r="G126" s="3">
        <v>71750000</v>
      </c>
      <c r="H126" s="2">
        <v>5.0000000000000001E-3</v>
      </c>
      <c r="I126" s="19">
        <v>44013</v>
      </c>
      <c r="J126" s="19">
        <v>44043</v>
      </c>
      <c r="K126" s="3">
        <f t="shared" si="10"/>
        <v>31</v>
      </c>
      <c r="L126" s="3">
        <f t="shared" si="11"/>
        <v>30386</v>
      </c>
      <c r="M126" s="3">
        <v>71750000</v>
      </c>
    </row>
    <row r="127" spans="1:13" s="18" customFormat="1" outlineLevel="2">
      <c r="A127" s="19" t="s">
        <v>36</v>
      </c>
      <c r="B127" s="20" t="s">
        <v>32</v>
      </c>
      <c r="C127" s="21" t="s">
        <v>57</v>
      </c>
      <c r="D127" s="20" t="s">
        <v>56</v>
      </c>
      <c r="E127" s="3">
        <v>10000000</v>
      </c>
      <c r="F127" s="19">
        <v>43963</v>
      </c>
      <c r="G127" s="3">
        <v>9666667</v>
      </c>
      <c r="H127" s="2">
        <v>5.0000000000000001E-3</v>
      </c>
      <c r="I127" s="19">
        <v>44013</v>
      </c>
      <c r="J127" s="19">
        <v>44026</v>
      </c>
      <c r="K127" s="3">
        <f t="shared" si="10"/>
        <v>14</v>
      </c>
      <c r="L127" s="3">
        <f t="shared" si="11"/>
        <v>1849</v>
      </c>
      <c r="M127" s="3">
        <v>9500001</v>
      </c>
    </row>
    <row r="128" spans="1:13" s="18" customFormat="1" outlineLevel="2">
      <c r="A128" s="19" t="s">
        <v>36</v>
      </c>
      <c r="B128" s="20" t="s">
        <v>32</v>
      </c>
      <c r="C128" s="21" t="s">
        <v>57</v>
      </c>
      <c r="D128" s="20"/>
      <c r="E128" s="3"/>
      <c r="F128" s="19"/>
      <c r="G128" s="3">
        <v>9500001</v>
      </c>
      <c r="H128" s="2">
        <v>5.0000000000000001E-3</v>
      </c>
      <c r="I128" s="19">
        <v>44027</v>
      </c>
      <c r="J128" s="19">
        <v>44043</v>
      </c>
      <c r="K128" s="3">
        <f t="shared" si="10"/>
        <v>17</v>
      </c>
      <c r="L128" s="3">
        <f t="shared" si="11"/>
        <v>2206</v>
      </c>
      <c r="M128" s="3"/>
    </row>
    <row r="129" spans="1:13" s="18" customFormat="1" outlineLevel="2">
      <c r="A129" s="19" t="s">
        <v>36</v>
      </c>
      <c r="B129" s="20" t="s">
        <v>48</v>
      </c>
      <c r="C129" s="21" t="s">
        <v>57</v>
      </c>
      <c r="D129" s="20" t="s">
        <v>56</v>
      </c>
      <c r="E129" s="3">
        <v>4000000</v>
      </c>
      <c r="F129" s="19">
        <v>43970</v>
      </c>
      <c r="G129" s="3">
        <v>3932204</v>
      </c>
      <c r="H129" s="2">
        <v>5.0000000000000001E-3</v>
      </c>
      <c r="I129" s="19">
        <v>44013</v>
      </c>
      <c r="J129" s="19">
        <v>44026</v>
      </c>
      <c r="K129" s="3">
        <f t="shared" si="10"/>
        <v>14</v>
      </c>
      <c r="L129" s="3">
        <f t="shared" si="11"/>
        <v>752</v>
      </c>
      <c r="M129" s="3">
        <v>3864408</v>
      </c>
    </row>
    <row r="130" spans="1:13" s="18" customFormat="1" outlineLevel="2">
      <c r="A130" s="19" t="s">
        <v>36</v>
      </c>
      <c r="B130" s="20" t="s">
        <v>48</v>
      </c>
      <c r="C130" s="21" t="s">
        <v>57</v>
      </c>
      <c r="D130" s="20"/>
      <c r="E130" s="3"/>
      <c r="F130" s="19"/>
      <c r="G130" s="3">
        <v>3864408</v>
      </c>
      <c r="H130" s="2">
        <v>5.0000000000000001E-3</v>
      </c>
      <c r="I130" s="19">
        <v>44027</v>
      </c>
      <c r="J130" s="19">
        <v>44043</v>
      </c>
      <c r="K130" s="3">
        <f t="shared" si="10"/>
        <v>17</v>
      </c>
      <c r="L130" s="3">
        <f t="shared" si="11"/>
        <v>897</v>
      </c>
      <c r="M130" s="3"/>
    </row>
    <row r="131" spans="1:13" s="18" customFormat="1" outlineLevel="2">
      <c r="A131" s="19" t="s">
        <v>36</v>
      </c>
      <c r="B131" s="20" t="s">
        <v>59</v>
      </c>
      <c r="C131" s="21" t="s">
        <v>57</v>
      </c>
      <c r="D131" s="20" t="s">
        <v>56</v>
      </c>
      <c r="E131" s="3">
        <v>18000000</v>
      </c>
      <c r="F131" s="19">
        <v>43977</v>
      </c>
      <c r="G131" s="3">
        <v>17694916</v>
      </c>
      <c r="H131" s="2">
        <v>5.0000000000000001E-3</v>
      </c>
      <c r="I131" s="19">
        <v>44013</v>
      </c>
      <c r="J131" s="19">
        <v>44026</v>
      </c>
      <c r="K131" s="3">
        <f t="shared" si="10"/>
        <v>14</v>
      </c>
      <c r="L131" s="3">
        <f t="shared" si="11"/>
        <v>3384</v>
      </c>
      <c r="M131" s="3">
        <v>17389832</v>
      </c>
    </row>
    <row r="132" spans="1:13" s="18" customFormat="1" outlineLevel="2">
      <c r="A132" s="19" t="s">
        <v>36</v>
      </c>
      <c r="B132" s="20" t="s">
        <v>59</v>
      </c>
      <c r="C132" s="21" t="s">
        <v>57</v>
      </c>
      <c r="D132" s="20"/>
      <c r="E132" s="3"/>
      <c r="F132" s="19"/>
      <c r="G132" s="3">
        <v>17389832</v>
      </c>
      <c r="H132" s="2">
        <v>5.0000000000000001E-3</v>
      </c>
      <c r="I132" s="19">
        <v>44027</v>
      </c>
      <c r="J132" s="19">
        <v>44043</v>
      </c>
      <c r="K132" s="3">
        <f t="shared" si="10"/>
        <v>17</v>
      </c>
      <c r="L132" s="3">
        <f t="shared" si="11"/>
        <v>4039</v>
      </c>
      <c r="M132" s="3"/>
    </row>
    <row r="133" spans="1:13" s="18" customFormat="1" outlineLevel="2">
      <c r="A133" s="19" t="s">
        <v>36</v>
      </c>
      <c r="B133" s="20" t="s">
        <v>58</v>
      </c>
      <c r="C133" s="21" t="s">
        <v>57</v>
      </c>
      <c r="D133" s="20" t="s">
        <v>56</v>
      </c>
      <c r="E133" s="3">
        <v>6000000</v>
      </c>
      <c r="F133" s="19">
        <v>43984</v>
      </c>
      <c r="G133" s="3">
        <v>5898306</v>
      </c>
      <c r="H133" s="2">
        <v>5.0000000000000001E-3</v>
      </c>
      <c r="I133" s="19">
        <v>44013</v>
      </c>
      <c r="J133" s="19">
        <v>44026</v>
      </c>
      <c r="K133" s="3">
        <f t="shared" si="10"/>
        <v>14</v>
      </c>
      <c r="L133" s="3">
        <f t="shared" si="11"/>
        <v>1128</v>
      </c>
      <c r="M133" s="3">
        <v>5796612</v>
      </c>
    </row>
    <row r="134" spans="1:13" s="18" customFormat="1" outlineLevel="2">
      <c r="A134" s="19" t="s">
        <v>36</v>
      </c>
      <c r="B134" s="20" t="s">
        <v>58</v>
      </c>
      <c r="C134" s="21" t="s">
        <v>57</v>
      </c>
      <c r="D134" s="20"/>
      <c r="E134" s="3"/>
      <c r="F134" s="19"/>
      <c r="G134" s="3">
        <v>5796612</v>
      </c>
      <c r="H134" s="2">
        <v>5.0000000000000001E-3</v>
      </c>
      <c r="I134" s="19">
        <v>44027</v>
      </c>
      <c r="J134" s="19">
        <v>44043</v>
      </c>
      <c r="K134" s="3">
        <f t="shared" si="10"/>
        <v>17</v>
      </c>
      <c r="L134" s="3">
        <f t="shared" si="11"/>
        <v>1346</v>
      </c>
      <c r="M134" s="3"/>
    </row>
    <row r="135" spans="1:13" s="18" customFormat="1" ht="13.5" outlineLevel="1">
      <c r="A135" s="22" t="s">
        <v>37</v>
      </c>
      <c r="B135" s="23"/>
      <c r="C135" s="24"/>
      <c r="D135" s="23"/>
      <c r="E135" s="25">
        <f>SUBTOTAL(9,E116:E134)</f>
        <v>316900000</v>
      </c>
      <c r="F135" s="26"/>
      <c r="G135" s="25"/>
      <c r="H135" s="27"/>
      <c r="I135" s="26"/>
      <c r="J135" s="26"/>
      <c r="K135" s="25"/>
      <c r="L135" s="25">
        <f>SUBTOTAL(9,L116:L134)</f>
        <v>124859</v>
      </c>
      <c r="M135" s="25">
        <f>SUBTOTAL(9,M116:M134)</f>
        <v>292972734</v>
      </c>
    </row>
    <row r="136" spans="1:13" s="18" customFormat="1" outlineLevel="2">
      <c r="A136" s="19" t="s">
        <v>38</v>
      </c>
      <c r="B136" s="20" t="s">
        <v>16</v>
      </c>
      <c r="C136" s="21" t="s">
        <v>17</v>
      </c>
      <c r="D136" s="20" t="s">
        <v>18</v>
      </c>
      <c r="E136" s="3">
        <v>50000000</v>
      </c>
      <c r="F136" s="19">
        <v>43829</v>
      </c>
      <c r="G136" s="3">
        <v>44999996</v>
      </c>
      <c r="H136" s="2">
        <v>5.0000000000000001E-3</v>
      </c>
      <c r="I136" s="19">
        <v>44013</v>
      </c>
      <c r="J136" s="19">
        <v>44026</v>
      </c>
      <c r="K136" s="3">
        <f t="shared" ref="K136:K143" si="12">J136-I136+1</f>
        <v>14</v>
      </c>
      <c r="L136" s="3">
        <f t="shared" ref="L136:L143" si="13">ROUND(G136*H136*K136/366,0)</f>
        <v>8607</v>
      </c>
      <c r="M136" s="3">
        <v>44166662</v>
      </c>
    </row>
    <row r="137" spans="1:13" s="18" customFormat="1" outlineLevel="2">
      <c r="A137" s="19" t="s">
        <v>38</v>
      </c>
      <c r="B137" s="20" t="s">
        <v>16</v>
      </c>
      <c r="C137" s="21" t="s">
        <v>17</v>
      </c>
      <c r="D137" s="20"/>
      <c r="E137" s="3"/>
      <c r="F137" s="19"/>
      <c r="G137" s="3">
        <v>44166662</v>
      </c>
      <c r="H137" s="2">
        <v>5.0000000000000001E-3</v>
      </c>
      <c r="I137" s="19">
        <v>44027</v>
      </c>
      <c r="J137" s="19">
        <v>44043</v>
      </c>
      <c r="K137" s="3">
        <f t="shared" si="12"/>
        <v>17</v>
      </c>
      <c r="L137" s="3">
        <f t="shared" si="13"/>
        <v>10257</v>
      </c>
      <c r="M137" s="3"/>
    </row>
    <row r="138" spans="1:13" s="18" customFormat="1" outlineLevel="2">
      <c r="A138" s="19" t="s">
        <v>38</v>
      </c>
      <c r="B138" s="20" t="s">
        <v>23</v>
      </c>
      <c r="C138" s="21" t="s">
        <v>17</v>
      </c>
      <c r="D138" s="20" t="s">
        <v>18</v>
      </c>
      <c r="E138" s="3">
        <v>25200000</v>
      </c>
      <c r="F138" s="19">
        <v>43829</v>
      </c>
      <c r="G138" s="3">
        <v>22680000</v>
      </c>
      <c r="H138" s="2">
        <v>5.0000000000000001E-3</v>
      </c>
      <c r="I138" s="19">
        <v>44013</v>
      </c>
      <c r="J138" s="19">
        <v>44026</v>
      </c>
      <c r="K138" s="3">
        <f t="shared" si="12"/>
        <v>14</v>
      </c>
      <c r="L138" s="3">
        <f t="shared" si="13"/>
        <v>4338</v>
      </c>
      <c r="M138" s="3">
        <v>22260000</v>
      </c>
    </row>
    <row r="139" spans="1:13" s="18" customFormat="1" outlineLevel="2">
      <c r="A139" s="19" t="s">
        <v>38</v>
      </c>
      <c r="B139" s="20" t="s">
        <v>23</v>
      </c>
      <c r="C139" s="21" t="s">
        <v>17</v>
      </c>
      <c r="D139" s="20"/>
      <c r="E139" s="3"/>
      <c r="F139" s="19"/>
      <c r="G139" s="3">
        <v>22260000</v>
      </c>
      <c r="H139" s="2">
        <v>5.0000000000000001E-3</v>
      </c>
      <c r="I139" s="19">
        <v>44027</v>
      </c>
      <c r="J139" s="19">
        <v>44043</v>
      </c>
      <c r="K139" s="3">
        <f t="shared" si="12"/>
        <v>17</v>
      </c>
      <c r="L139" s="3">
        <f t="shared" si="13"/>
        <v>5170</v>
      </c>
      <c r="M139" s="3"/>
    </row>
    <row r="140" spans="1:13" s="18" customFormat="1" outlineLevel="2">
      <c r="A140" s="19" t="s">
        <v>38</v>
      </c>
      <c r="B140" s="20" t="s">
        <v>29</v>
      </c>
      <c r="C140" s="21" t="s">
        <v>17</v>
      </c>
      <c r="D140" s="20" t="s">
        <v>18</v>
      </c>
      <c r="E140" s="3">
        <v>11310000</v>
      </c>
      <c r="F140" s="19">
        <v>43920</v>
      </c>
      <c r="G140" s="3">
        <v>10714737</v>
      </c>
      <c r="H140" s="2">
        <v>5.0000000000000001E-3</v>
      </c>
      <c r="I140" s="19">
        <v>44013</v>
      </c>
      <c r="J140" s="19">
        <v>44026</v>
      </c>
      <c r="K140" s="3">
        <f t="shared" si="12"/>
        <v>14</v>
      </c>
      <c r="L140" s="3">
        <f t="shared" si="13"/>
        <v>2049</v>
      </c>
      <c r="M140" s="3">
        <v>10516316</v>
      </c>
    </row>
    <row r="141" spans="1:13" s="18" customFormat="1" outlineLevel="2">
      <c r="A141" s="19" t="s">
        <v>38</v>
      </c>
      <c r="B141" s="20" t="s">
        <v>29</v>
      </c>
      <c r="C141" s="21" t="s">
        <v>17</v>
      </c>
      <c r="D141" s="20"/>
      <c r="E141" s="3"/>
      <c r="F141" s="19"/>
      <c r="G141" s="3">
        <v>10516316</v>
      </c>
      <c r="H141" s="2">
        <v>5.0000000000000001E-3</v>
      </c>
      <c r="I141" s="19">
        <v>44027</v>
      </c>
      <c r="J141" s="19">
        <v>44043</v>
      </c>
      <c r="K141" s="3">
        <f t="shared" si="12"/>
        <v>17</v>
      </c>
      <c r="L141" s="3">
        <f t="shared" si="13"/>
        <v>2442</v>
      </c>
      <c r="M141" s="3"/>
    </row>
    <row r="142" spans="1:13" s="18" customFormat="1" outlineLevel="2">
      <c r="A142" s="19" t="s">
        <v>38</v>
      </c>
      <c r="B142" s="20" t="s">
        <v>30</v>
      </c>
      <c r="C142" s="21" t="s">
        <v>17</v>
      </c>
      <c r="D142" s="20" t="s">
        <v>18</v>
      </c>
      <c r="E142" s="3">
        <v>6050000</v>
      </c>
      <c r="F142" s="19">
        <v>43990</v>
      </c>
      <c r="G142" s="3">
        <v>5940000</v>
      </c>
      <c r="H142" s="2">
        <v>5.0000000000000001E-3</v>
      </c>
      <c r="I142" s="19">
        <v>44013</v>
      </c>
      <c r="J142" s="19">
        <v>44026</v>
      </c>
      <c r="K142" s="3">
        <f t="shared" si="12"/>
        <v>14</v>
      </c>
      <c r="L142" s="3">
        <f t="shared" si="13"/>
        <v>1136</v>
      </c>
      <c r="M142" s="3">
        <v>5830000</v>
      </c>
    </row>
    <row r="143" spans="1:13" s="18" customFormat="1" outlineLevel="2">
      <c r="A143" s="19" t="s">
        <v>38</v>
      </c>
      <c r="B143" s="20" t="s">
        <v>30</v>
      </c>
      <c r="C143" s="21" t="s">
        <v>17</v>
      </c>
      <c r="D143" s="20"/>
      <c r="E143" s="3"/>
      <c r="F143" s="19"/>
      <c r="G143" s="3">
        <v>5830000</v>
      </c>
      <c r="H143" s="2">
        <v>5.0000000000000001E-3</v>
      </c>
      <c r="I143" s="19">
        <v>44027</v>
      </c>
      <c r="J143" s="19">
        <v>44043</v>
      </c>
      <c r="K143" s="3">
        <f t="shared" si="12"/>
        <v>17</v>
      </c>
      <c r="L143" s="3">
        <f t="shared" si="13"/>
        <v>1354</v>
      </c>
      <c r="M143" s="3"/>
    </row>
    <row r="144" spans="1:13" s="18" customFormat="1" ht="13.5" outlineLevel="1">
      <c r="A144" s="22" t="s">
        <v>39</v>
      </c>
      <c r="B144" s="23"/>
      <c r="C144" s="24"/>
      <c r="D144" s="23"/>
      <c r="E144" s="25">
        <f>SUBTOTAL(9,E136:E143)</f>
        <v>92560000</v>
      </c>
      <c r="F144" s="26"/>
      <c r="G144" s="25"/>
      <c r="H144" s="27"/>
      <c r="I144" s="26"/>
      <c r="J144" s="26"/>
      <c r="K144" s="25"/>
      <c r="L144" s="25">
        <f>SUBTOTAL(9,L136:L143)</f>
        <v>35353</v>
      </c>
      <c r="M144" s="25">
        <f>SUBTOTAL(9,M136:M143)</f>
        <v>82772978</v>
      </c>
    </row>
    <row r="145" spans="1:13" s="18" customFormat="1" outlineLevel="2">
      <c r="A145" s="19" t="s">
        <v>108</v>
      </c>
      <c r="B145" s="20" t="s">
        <v>16</v>
      </c>
      <c r="C145" s="21" t="s">
        <v>107</v>
      </c>
      <c r="D145" s="20" t="s">
        <v>106</v>
      </c>
      <c r="E145" s="3">
        <v>4300000</v>
      </c>
      <c r="F145" s="19">
        <v>43966</v>
      </c>
      <c r="G145" s="3">
        <v>4300000</v>
      </c>
      <c r="H145" s="2">
        <v>5.0000000000000001E-3</v>
      </c>
      <c r="I145" s="19">
        <v>44013</v>
      </c>
      <c r="J145" s="19">
        <v>44043</v>
      </c>
      <c r="K145" s="3">
        <f>J145-I145+1</f>
        <v>31</v>
      </c>
      <c r="L145" s="3">
        <f>ROUND(G145*H145*K145/366,0)</f>
        <v>1821</v>
      </c>
      <c r="M145" s="3">
        <v>4300000</v>
      </c>
    </row>
    <row r="146" spans="1:13" s="18" customFormat="1" ht="13.5" outlineLevel="1">
      <c r="A146" s="22" t="s">
        <v>105</v>
      </c>
      <c r="B146" s="23"/>
      <c r="C146" s="24"/>
      <c r="D146" s="23"/>
      <c r="E146" s="25">
        <f>SUBTOTAL(9,E145:E145)</f>
        <v>4300000</v>
      </c>
      <c r="F146" s="26"/>
      <c r="G146" s="25"/>
      <c r="H146" s="27"/>
      <c r="I146" s="26"/>
      <c r="J146" s="26"/>
      <c r="K146" s="25"/>
      <c r="L146" s="25">
        <f>SUBTOTAL(9,L145:L145)</f>
        <v>1821</v>
      </c>
      <c r="M146" s="25">
        <f>SUBTOTAL(9,M145:M145)</f>
        <v>4300000</v>
      </c>
    </row>
    <row r="147" spans="1:13" s="18" customFormat="1" outlineLevel="2">
      <c r="A147" s="19" t="s">
        <v>124</v>
      </c>
      <c r="B147" s="20" t="s">
        <v>16</v>
      </c>
      <c r="C147" s="21" t="s">
        <v>77</v>
      </c>
      <c r="D147" s="20" t="s">
        <v>76</v>
      </c>
      <c r="E147" s="3">
        <v>38650000</v>
      </c>
      <c r="F147" s="19">
        <v>43986</v>
      </c>
      <c r="G147" s="3">
        <v>38650000</v>
      </c>
      <c r="H147" s="2">
        <v>5.0000000000000001E-3</v>
      </c>
      <c r="I147" s="19">
        <v>44013</v>
      </c>
      <c r="J147" s="19">
        <v>44043</v>
      </c>
      <c r="K147" s="3">
        <f>J147-I147+1</f>
        <v>31</v>
      </c>
      <c r="L147" s="3">
        <f>ROUND(G147*H147*K147/366,0)</f>
        <v>16368</v>
      </c>
      <c r="M147" s="3">
        <v>38650000</v>
      </c>
    </row>
    <row r="148" spans="1:13" s="18" customFormat="1" outlineLevel="2">
      <c r="A148" s="19" t="s">
        <v>124</v>
      </c>
      <c r="B148" s="20" t="s">
        <v>23</v>
      </c>
      <c r="C148" s="21" t="s">
        <v>104</v>
      </c>
      <c r="D148" s="20" t="s">
        <v>103</v>
      </c>
      <c r="E148" s="3">
        <v>23530000</v>
      </c>
      <c r="F148" s="19">
        <v>44013</v>
      </c>
      <c r="G148" s="3">
        <v>23530000</v>
      </c>
      <c r="H148" s="2">
        <v>5.0000000000000001E-3</v>
      </c>
      <c r="I148" s="19">
        <v>44013</v>
      </c>
      <c r="J148" s="19">
        <v>44043</v>
      </c>
      <c r="K148" s="3">
        <f>J148-I148+1</f>
        <v>31</v>
      </c>
      <c r="L148" s="3">
        <f>ROUND(G148*H148*K148/366,0)</f>
        <v>9965</v>
      </c>
      <c r="M148" s="3">
        <v>23530000</v>
      </c>
    </row>
    <row r="149" spans="1:13" s="18" customFormat="1" outlineLevel="2">
      <c r="A149" s="19" t="s">
        <v>124</v>
      </c>
      <c r="B149" s="20" t="s">
        <v>29</v>
      </c>
      <c r="C149" s="21" t="s">
        <v>104</v>
      </c>
      <c r="D149" s="20" t="s">
        <v>103</v>
      </c>
      <c r="E149" s="3">
        <v>47470000</v>
      </c>
      <c r="F149" s="19">
        <v>44013</v>
      </c>
      <c r="G149" s="3">
        <v>47470000</v>
      </c>
      <c r="H149" s="2">
        <v>5.0000000000000001E-3</v>
      </c>
      <c r="I149" s="19">
        <v>44013</v>
      </c>
      <c r="J149" s="19">
        <v>44043</v>
      </c>
      <c r="K149" s="3">
        <f>J149-I149+1</f>
        <v>31</v>
      </c>
      <c r="L149" s="3">
        <f>ROUND(G149*H149*K149/366,0)</f>
        <v>20103</v>
      </c>
      <c r="M149" s="3">
        <v>47470000</v>
      </c>
    </row>
    <row r="150" spans="1:13" s="18" customFormat="1" outlineLevel="2">
      <c r="A150" s="19" t="s">
        <v>124</v>
      </c>
      <c r="B150" s="20" t="s">
        <v>30</v>
      </c>
      <c r="C150" s="21" t="s">
        <v>149</v>
      </c>
      <c r="D150" s="20" t="s">
        <v>148</v>
      </c>
      <c r="E150" s="3">
        <v>6665394</v>
      </c>
      <c r="F150" s="19">
        <v>44029</v>
      </c>
      <c r="G150" s="3">
        <v>6665394</v>
      </c>
      <c r="H150" s="2">
        <v>5.0000000000000001E-3</v>
      </c>
      <c r="I150" s="19">
        <v>44029</v>
      </c>
      <c r="J150" s="19">
        <v>44043</v>
      </c>
      <c r="K150" s="3">
        <f>J150-I150+1</f>
        <v>15</v>
      </c>
      <c r="L150" s="3">
        <f>ROUND(G150*H150*K150/366,0)</f>
        <v>1366</v>
      </c>
      <c r="M150" s="3">
        <v>6665394</v>
      </c>
    </row>
    <row r="151" spans="1:13" s="18" customFormat="1" outlineLevel="2">
      <c r="A151" s="19" t="s">
        <v>124</v>
      </c>
      <c r="B151" s="20" t="s">
        <v>31</v>
      </c>
      <c r="C151" s="21" t="s">
        <v>149</v>
      </c>
      <c r="D151" s="20" t="s">
        <v>148</v>
      </c>
      <c r="E151" s="3">
        <v>12334606</v>
      </c>
      <c r="F151" s="19">
        <v>44029</v>
      </c>
      <c r="G151" s="3">
        <v>12334606</v>
      </c>
      <c r="H151" s="2">
        <v>5.0000000000000001E-3</v>
      </c>
      <c r="I151" s="19">
        <v>44029</v>
      </c>
      <c r="J151" s="19">
        <v>44043</v>
      </c>
      <c r="K151" s="3">
        <f>J151-I151+1</f>
        <v>15</v>
      </c>
      <c r="L151" s="3">
        <f>ROUND(G151*H151*K151/366,0)</f>
        <v>2528</v>
      </c>
      <c r="M151" s="3">
        <v>12334606</v>
      </c>
    </row>
    <row r="152" spans="1:13" s="18" customFormat="1" ht="13.5" outlineLevel="1">
      <c r="A152" s="22" t="s">
        <v>123</v>
      </c>
      <c r="B152" s="23"/>
      <c r="C152" s="24"/>
      <c r="D152" s="23"/>
      <c r="E152" s="25">
        <f>SUBTOTAL(9,E147:E151)</f>
        <v>128650000</v>
      </c>
      <c r="F152" s="26"/>
      <c r="G152" s="25"/>
      <c r="H152" s="27"/>
      <c r="I152" s="26"/>
      <c r="J152" s="26"/>
      <c r="K152" s="25"/>
      <c r="L152" s="25">
        <f>SUBTOTAL(9,L147:L151)</f>
        <v>50330</v>
      </c>
      <c r="M152" s="25">
        <f>SUBTOTAL(9,M147:M151)</f>
        <v>128650000</v>
      </c>
    </row>
    <row r="153" spans="1:13" s="18" customFormat="1" outlineLevel="2">
      <c r="A153" s="19" t="s">
        <v>70</v>
      </c>
      <c r="B153" s="20" t="s">
        <v>16</v>
      </c>
      <c r="C153" s="21" t="s">
        <v>69</v>
      </c>
      <c r="D153" s="20" t="s">
        <v>68</v>
      </c>
      <c r="E153" s="3">
        <v>330000000</v>
      </c>
      <c r="F153" s="19">
        <v>43915</v>
      </c>
      <c r="G153" s="3">
        <v>330000000</v>
      </c>
      <c r="H153" s="2">
        <v>5.0000000000000001E-3</v>
      </c>
      <c r="I153" s="19">
        <v>44013</v>
      </c>
      <c r="J153" s="19">
        <v>44043</v>
      </c>
      <c r="K153" s="3">
        <f>J153-I153+1</f>
        <v>31</v>
      </c>
      <c r="L153" s="3">
        <f>ROUND(G153*H153*K153/366,0)</f>
        <v>139754</v>
      </c>
      <c r="M153" s="3">
        <v>330000000</v>
      </c>
    </row>
    <row r="154" spans="1:13" s="18" customFormat="1" outlineLevel="2">
      <c r="A154" s="19" t="s">
        <v>70</v>
      </c>
      <c r="B154" s="20" t="s">
        <v>23</v>
      </c>
      <c r="C154" s="21" t="s">
        <v>69</v>
      </c>
      <c r="D154" s="20" t="s">
        <v>68</v>
      </c>
      <c r="E154" s="3">
        <v>93600000</v>
      </c>
      <c r="F154" s="19">
        <v>43955</v>
      </c>
      <c r="G154" s="3">
        <v>93600000</v>
      </c>
      <c r="H154" s="2">
        <v>5.0000000000000001E-3</v>
      </c>
      <c r="I154" s="19">
        <v>44013</v>
      </c>
      <c r="J154" s="19">
        <v>44043</v>
      </c>
      <c r="K154" s="3">
        <f>J154-I154+1</f>
        <v>31</v>
      </c>
      <c r="L154" s="3">
        <f>ROUND(G154*H154*K154/366,0)</f>
        <v>39639</v>
      </c>
      <c r="M154" s="3">
        <v>93600000</v>
      </c>
    </row>
    <row r="155" spans="1:13" s="18" customFormat="1" outlineLevel="2">
      <c r="A155" s="19" t="s">
        <v>70</v>
      </c>
      <c r="B155" s="20" t="s">
        <v>29</v>
      </c>
      <c r="C155" s="21" t="s">
        <v>69</v>
      </c>
      <c r="D155" s="20" t="s">
        <v>68</v>
      </c>
      <c r="E155" s="3">
        <v>576400000</v>
      </c>
      <c r="F155" s="19">
        <v>44013</v>
      </c>
      <c r="G155" s="3">
        <v>576400000</v>
      </c>
      <c r="H155" s="2">
        <v>5.0000000000000001E-3</v>
      </c>
      <c r="I155" s="19">
        <v>44013</v>
      </c>
      <c r="J155" s="19">
        <v>44043</v>
      </c>
      <c r="K155" s="3">
        <f>J155-I155+1</f>
        <v>31</v>
      </c>
      <c r="L155" s="3">
        <f>ROUND(G155*H155*K155/366,0)</f>
        <v>244104</v>
      </c>
      <c r="M155" s="3">
        <v>576400000</v>
      </c>
    </row>
    <row r="156" spans="1:13" s="18" customFormat="1" ht="13.5" outlineLevel="1">
      <c r="A156" s="22" t="s">
        <v>67</v>
      </c>
      <c r="B156" s="23"/>
      <c r="C156" s="24"/>
      <c r="D156" s="23"/>
      <c r="E156" s="25">
        <f>SUBTOTAL(9,E153:E155)</f>
        <v>1000000000</v>
      </c>
      <c r="F156" s="26"/>
      <c r="G156" s="25"/>
      <c r="H156" s="27"/>
      <c r="I156" s="26"/>
      <c r="J156" s="26"/>
      <c r="K156" s="25"/>
      <c r="L156" s="25">
        <f>SUBTOTAL(9,L153:L155)</f>
        <v>423497</v>
      </c>
      <c r="M156" s="25">
        <f>SUBTOTAL(9,M153:M155)</f>
        <v>1000000000</v>
      </c>
    </row>
    <row r="157" spans="1:13" s="18" customFormat="1" outlineLevel="2">
      <c r="A157" s="19" t="s">
        <v>91</v>
      </c>
      <c r="B157" s="20" t="s">
        <v>16</v>
      </c>
      <c r="C157" s="21" t="s">
        <v>90</v>
      </c>
      <c r="D157" s="20" t="s">
        <v>89</v>
      </c>
      <c r="E157" s="3">
        <v>3400000</v>
      </c>
      <c r="F157" s="19">
        <v>43927</v>
      </c>
      <c r="G157" s="3">
        <v>3400000</v>
      </c>
      <c r="H157" s="2">
        <v>5.0000000000000001E-3</v>
      </c>
      <c r="I157" s="19">
        <v>44013</v>
      </c>
      <c r="J157" s="19">
        <v>44043</v>
      </c>
      <c r="K157" s="3">
        <f>J157-I157+1</f>
        <v>31</v>
      </c>
      <c r="L157" s="3">
        <f>ROUND(G157*H157*K157/366,0)</f>
        <v>1440</v>
      </c>
      <c r="M157" s="3">
        <v>3400000</v>
      </c>
    </row>
    <row r="158" spans="1:13" s="18" customFormat="1" outlineLevel="2">
      <c r="A158" s="19" t="s">
        <v>91</v>
      </c>
      <c r="B158" s="20" t="s">
        <v>23</v>
      </c>
      <c r="C158" s="21" t="s">
        <v>90</v>
      </c>
      <c r="D158" s="20" t="s">
        <v>89</v>
      </c>
      <c r="E158" s="3">
        <v>70440000</v>
      </c>
      <c r="F158" s="19">
        <v>43951</v>
      </c>
      <c r="G158" s="3">
        <v>70440000</v>
      </c>
      <c r="H158" s="2">
        <v>5.0000000000000001E-3</v>
      </c>
      <c r="I158" s="19">
        <v>44013</v>
      </c>
      <c r="J158" s="19">
        <v>44043</v>
      </c>
      <c r="K158" s="3">
        <f>J158-I158+1</f>
        <v>31</v>
      </c>
      <c r="L158" s="3">
        <f>ROUND(G158*H158*K158/366,0)</f>
        <v>29831</v>
      </c>
      <c r="M158" s="3">
        <v>70440000</v>
      </c>
    </row>
    <row r="159" spans="1:13" s="18" customFormat="1" outlineLevel="2">
      <c r="A159" s="19" t="s">
        <v>91</v>
      </c>
      <c r="B159" s="20" t="s">
        <v>29</v>
      </c>
      <c r="C159" s="21" t="s">
        <v>104</v>
      </c>
      <c r="D159" s="20" t="s">
        <v>103</v>
      </c>
      <c r="E159" s="3">
        <v>182300000</v>
      </c>
      <c r="F159" s="19">
        <v>43959</v>
      </c>
      <c r="G159" s="3">
        <v>182300000</v>
      </c>
      <c r="H159" s="2">
        <v>5.0000000000000001E-3</v>
      </c>
      <c r="I159" s="19">
        <v>44013</v>
      </c>
      <c r="J159" s="19">
        <v>44043</v>
      </c>
      <c r="K159" s="3">
        <f>J159-I159+1</f>
        <v>31</v>
      </c>
      <c r="L159" s="3">
        <f>ROUND(G159*H159*K159/366,0)</f>
        <v>77204</v>
      </c>
      <c r="M159" s="3">
        <v>182300000</v>
      </c>
    </row>
    <row r="160" spans="1:13" s="18" customFormat="1" ht="13.5" outlineLevel="1">
      <c r="A160" s="22" t="s">
        <v>88</v>
      </c>
      <c r="B160" s="23"/>
      <c r="C160" s="24"/>
      <c r="D160" s="23"/>
      <c r="E160" s="25">
        <f>SUBTOTAL(9,E157:E159)</f>
        <v>256140000</v>
      </c>
      <c r="F160" s="26"/>
      <c r="G160" s="25"/>
      <c r="H160" s="27"/>
      <c r="I160" s="26"/>
      <c r="J160" s="26"/>
      <c r="K160" s="25"/>
      <c r="L160" s="25">
        <f>SUBTOTAL(9,L157:L159)</f>
        <v>108475</v>
      </c>
      <c r="M160" s="25">
        <f>SUBTOTAL(9,M157:M159)</f>
        <v>256140000</v>
      </c>
    </row>
    <row r="161" spans="1:13" s="18" customFormat="1" outlineLevel="2">
      <c r="A161" s="19" t="s">
        <v>87</v>
      </c>
      <c r="B161" s="20" t="s">
        <v>16</v>
      </c>
      <c r="C161" s="21" t="s">
        <v>69</v>
      </c>
      <c r="D161" s="20" t="s">
        <v>68</v>
      </c>
      <c r="E161" s="3">
        <v>43200000</v>
      </c>
      <c r="F161" s="19">
        <v>43937</v>
      </c>
      <c r="G161" s="3">
        <v>43200000</v>
      </c>
      <c r="H161" s="2">
        <v>3.0000000000000001E-3</v>
      </c>
      <c r="I161" s="19">
        <v>44013</v>
      </c>
      <c r="J161" s="19">
        <v>44043</v>
      </c>
      <c r="K161" s="3">
        <f>J161-I161+1</f>
        <v>31</v>
      </c>
      <c r="L161" s="3">
        <f>ROUND(G161*H161*K161/366,0)</f>
        <v>10977</v>
      </c>
      <c r="M161" s="3">
        <v>43200000</v>
      </c>
    </row>
    <row r="162" spans="1:13" s="18" customFormat="1" outlineLevel="2">
      <c r="A162" s="19" t="s">
        <v>87</v>
      </c>
      <c r="B162" s="20" t="s">
        <v>23</v>
      </c>
      <c r="C162" s="21" t="s">
        <v>69</v>
      </c>
      <c r="D162" s="20" t="s">
        <v>68</v>
      </c>
      <c r="E162" s="3">
        <v>330000000</v>
      </c>
      <c r="F162" s="19">
        <v>44013</v>
      </c>
      <c r="G162" s="3">
        <v>330000000</v>
      </c>
      <c r="H162" s="2">
        <v>3.0000000000000001E-3</v>
      </c>
      <c r="I162" s="19">
        <v>44013</v>
      </c>
      <c r="J162" s="19">
        <v>44043</v>
      </c>
      <c r="K162" s="3">
        <f>J162-I162+1</f>
        <v>31</v>
      </c>
      <c r="L162" s="3">
        <f>ROUND(G162*H162*K162/366,0)</f>
        <v>83852</v>
      </c>
      <c r="M162" s="3">
        <v>330000000</v>
      </c>
    </row>
    <row r="163" spans="1:13" s="18" customFormat="1" ht="13.5" outlineLevel="1">
      <c r="A163" s="22" t="s">
        <v>86</v>
      </c>
      <c r="B163" s="23"/>
      <c r="C163" s="24"/>
      <c r="D163" s="23"/>
      <c r="E163" s="25">
        <f>SUBTOTAL(9,E161:E162)</f>
        <v>373200000</v>
      </c>
      <c r="F163" s="26"/>
      <c r="G163" s="25"/>
      <c r="H163" s="27"/>
      <c r="I163" s="26"/>
      <c r="J163" s="26"/>
      <c r="K163" s="25"/>
      <c r="L163" s="25">
        <f>SUBTOTAL(9,L161:L162)</f>
        <v>94829</v>
      </c>
      <c r="M163" s="25">
        <f>SUBTOTAL(9,M161:M162)</f>
        <v>373200000</v>
      </c>
    </row>
    <row r="164" spans="1:13" s="18" customFormat="1" outlineLevel="2">
      <c r="A164" s="19" t="s">
        <v>40</v>
      </c>
      <c r="B164" s="20" t="s">
        <v>16</v>
      </c>
      <c r="C164" s="21" t="s">
        <v>41</v>
      </c>
      <c r="D164" s="20" t="s">
        <v>42</v>
      </c>
      <c r="E164" s="3">
        <v>126000000</v>
      </c>
      <c r="F164" s="19">
        <v>43804</v>
      </c>
      <c r="G164" s="3">
        <v>126000000</v>
      </c>
      <c r="H164" s="2">
        <v>5.0000000000000001E-3</v>
      </c>
      <c r="I164" s="19">
        <v>44013</v>
      </c>
      <c r="J164" s="19">
        <v>44043</v>
      </c>
      <c r="K164" s="3">
        <f t="shared" ref="K164:K194" si="14">J164-I164+1</f>
        <v>31</v>
      </c>
      <c r="L164" s="3">
        <f t="shared" ref="L164:L194" si="15">ROUND(G164*H164*K164/366,0)</f>
        <v>53361</v>
      </c>
      <c r="M164" s="3">
        <v>126000000</v>
      </c>
    </row>
    <row r="165" spans="1:13" s="18" customFormat="1" outlineLevel="2">
      <c r="A165" s="19" t="s">
        <v>40</v>
      </c>
      <c r="B165" s="20" t="s">
        <v>61</v>
      </c>
      <c r="C165" s="21" t="s">
        <v>47</v>
      </c>
      <c r="D165" s="20" t="s">
        <v>42</v>
      </c>
      <c r="E165" s="3">
        <v>46600000</v>
      </c>
      <c r="F165" s="19">
        <v>43866</v>
      </c>
      <c r="G165" s="3">
        <v>46600000</v>
      </c>
      <c r="H165" s="2">
        <v>5.0000000000000001E-3</v>
      </c>
      <c r="I165" s="19">
        <v>44013</v>
      </c>
      <c r="J165" s="19">
        <v>44043</v>
      </c>
      <c r="K165" s="3">
        <f t="shared" si="14"/>
        <v>31</v>
      </c>
      <c r="L165" s="3">
        <f t="shared" si="15"/>
        <v>19735</v>
      </c>
      <c r="M165" s="3">
        <v>46600000</v>
      </c>
    </row>
    <row r="166" spans="1:13" s="18" customFormat="1" outlineLevel="2">
      <c r="A166" s="19" t="s">
        <v>40</v>
      </c>
      <c r="B166" s="20" t="s">
        <v>60</v>
      </c>
      <c r="C166" s="21" t="s">
        <v>47</v>
      </c>
      <c r="D166" s="20" t="s">
        <v>42</v>
      </c>
      <c r="E166" s="3">
        <v>1300000</v>
      </c>
      <c r="F166" s="19">
        <v>43866</v>
      </c>
      <c r="G166" s="3">
        <v>1300000</v>
      </c>
      <c r="H166" s="2">
        <v>5.0000000000000001E-3</v>
      </c>
      <c r="I166" s="19">
        <v>44013</v>
      </c>
      <c r="J166" s="19">
        <v>44043</v>
      </c>
      <c r="K166" s="3">
        <f t="shared" si="14"/>
        <v>31</v>
      </c>
      <c r="L166" s="3">
        <f t="shared" si="15"/>
        <v>551</v>
      </c>
      <c r="M166" s="3">
        <v>1300000</v>
      </c>
    </row>
    <row r="167" spans="1:13" s="18" customFormat="1" outlineLevel="2">
      <c r="A167" s="19" t="s">
        <v>40</v>
      </c>
      <c r="B167" s="20" t="s">
        <v>66</v>
      </c>
      <c r="C167" s="21" t="s">
        <v>43</v>
      </c>
      <c r="D167" s="20" t="s">
        <v>44</v>
      </c>
      <c r="E167" s="3">
        <v>9087600</v>
      </c>
      <c r="F167" s="19">
        <v>43901</v>
      </c>
      <c r="G167" s="3">
        <v>9087600</v>
      </c>
      <c r="H167" s="2">
        <v>5.0000000000000001E-3</v>
      </c>
      <c r="I167" s="19">
        <v>44013</v>
      </c>
      <c r="J167" s="19">
        <v>44043</v>
      </c>
      <c r="K167" s="3">
        <f t="shared" si="14"/>
        <v>31</v>
      </c>
      <c r="L167" s="3">
        <f t="shared" si="15"/>
        <v>3849</v>
      </c>
      <c r="M167" s="3">
        <v>9087600</v>
      </c>
    </row>
    <row r="168" spans="1:13" s="18" customFormat="1" outlineLevel="2">
      <c r="A168" s="19" t="s">
        <v>40</v>
      </c>
      <c r="B168" s="20" t="s">
        <v>65</v>
      </c>
      <c r="C168" s="21" t="s">
        <v>43</v>
      </c>
      <c r="D168" s="20" t="s">
        <v>44</v>
      </c>
      <c r="E168" s="3">
        <v>7270080</v>
      </c>
      <c r="F168" s="19">
        <v>43901</v>
      </c>
      <c r="G168" s="3">
        <v>7270080</v>
      </c>
      <c r="H168" s="2">
        <v>5.0000000000000001E-3</v>
      </c>
      <c r="I168" s="19">
        <v>44013</v>
      </c>
      <c r="J168" s="19">
        <v>44043</v>
      </c>
      <c r="K168" s="3">
        <f t="shared" si="14"/>
        <v>31</v>
      </c>
      <c r="L168" s="3">
        <f t="shared" si="15"/>
        <v>3079</v>
      </c>
      <c r="M168" s="3">
        <v>7270080</v>
      </c>
    </row>
    <row r="169" spans="1:13" s="18" customFormat="1" outlineLevel="2">
      <c r="A169" s="19" t="s">
        <v>40</v>
      </c>
      <c r="B169" s="20" t="s">
        <v>64</v>
      </c>
      <c r="C169" s="21" t="s">
        <v>47</v>
      </c>
      <c r="D169" s="20" t="s">
        <v>42</v>
      </c>
      <c r="E169" s="3">
        <v>99400000</v>
      </c>
      <c r="F169" s="19">
        <v>43917</v>
      </c>
      <c r="G169" s="3">
        <v>99400000</v>
      </c>
      <c r="H169" s="2">
        <v>5.0000000000000001E-3</v>
      </c>
      <c r="I169" s="19">
        <v>44013</v>
      </c>
      <c r="J169" s="19">
        <v>44043</v>
      </c>
      <c r="K169" s="3">
        <f t="shared" si="14"/>
        <v>31</v>
      </c>
      <c r="L169" s="3">
        <f t="shared" si="15"/>
        <v>42096</v>
      </c>
      <c r="M169" s="3">
        <v>99400000</v>
      </c>
    </row>
    <row r="170" spans="1:13" s="18" customFormat="1" outlineLevel="2">
      <c r="A170" s="19" t="s">
        <v>40</v>
      </c>
      <c r="B170" s="20" t="s">
        <v>85</v>
      </c>
      <c r="C170" s="21" t="s">
        <v>43</v>
      </c>
      <c r="D170" s="20" t="s">
        <v>44</v>
      </c>
      <c r="E170" s="3">
        <v>9087600</v>
      </c>
      <c r="F170" s="19">
        <v>43929</v>
      </c>
      <c r="G170" s="3">
        <v>9087600</v>
      </c>
      <c r="H170" s="2">
        <v>5.0000000000000001E-3</v>
      </c>
      <c r="I170" s="19">
        <v>44013</v>
      </c>
      <c r="J170" s="19">
        <v>44043</v>
      </c>
      <c r="K170" s="3">
        <f t="shared" si="14"/>
        <v>31</v>
      </c>
      <c r="L170" s="3">
        <f t="shared" si="15"/>
        <v>3849</v>
      </c>
      <c r="M170" s="3">
        <v>9087600</v>
      </c>
    </row>
    <row r="171" spans="1:13" s="18" customFormat="1" outlineLevel="2">
      <c r="A171" s="19" t="s">
        <v>40</v>
      </c>
      <c r="B171" s="20" t="s">
        <v>84</v>
      </c>
      <c r="C171" s="21" t="s">
        <v>43</v>
      </c>
      <c r="D171" s="20" t="s">
        <v>44</v>
      </c>
      <c r="E171" s="3">
        <v>13007640</v>
      </c>
      <c r="F171" s="19">
        <v>43929</v>
      </c>
      <c r="G171" s="3">
        <v>13007640</v>
      </c>
      <c r="H171" s="2">
        <v>5.0000000000000001E-3</v>
      </c>
      <c r="I171" s="19">
        <v>44013</v>
      </c>
      <c r="J171" s="19">
        <v>44043</v>
      </c>
      <c r="K171" s="3">
        <f t="shared" si="14"/>
        <v>31</v>
      </c>
      <c r="L171" s="3">
        <f t="shared" si="15"/>
        <v>5509</v>
      </c>
      <c r="M171" s="3">
        <v>13007640</v>
      </c>
    </row>
    <row r="172" spans="1:13" s="18" customFormat="1" outlineLevel="2">
      <c r="A172" s="19" t="s">
        <v>40</v>
      </c>
      <c r="B172" s="20" t="s">
        <v>83</v>
      </c>
      <c r="C172" s="21" t="s">
        <v>82</v>
      </c>
      <c r="D172" s="20" t="s">
        <v>81</v>
      </c>
      <c r="E172" s="3">
        <v>61668037</v>
      </c>
      <c r="F172" s="19">
        <v>43949</v>
      </c>
      <c r="G172" s="3">
        <v>61668037</v>
      </c>
      <c r="H172" s="2">
        <v>5.0000000000000001E-3</v>
      </c>
      <c r="I172" s="19">
        <v>44013</v>
      </c>
      <c r="J172" s="19">
        <v>44043</v>
      </c>
      <c r="K172" s="3">
        <f t="shared" si="14"/>
        <v>31</v>
      </c>
      <c r="L172" s="3">
        <f t="shared" si="15"/>
        <v>26116</v>
      </c>
      <c r="M172" s="3">
        <v>61668037</v>
      </c>
    </row>
    <row r="173" spans="1:13" s="18" customFormat="1" outlineLevel="2">
      <c r="A173" s="19" t="s">
        <v>40</v>
      </c>
      <c r="B173" s="20" t="s">
        <v>102</v>
      </c>
      <c r="C173" s="21" t="s">
        <v>43</v>
      </c>
      <c r="D173" s="20" t="s">
        <v>44</v>
      </c>
      <c r="E173" s="3">
        <v>13007640</v>
      </c>
      <c r="F173" s="19">
        <v>43964</v>
      </c>
      <c r="G173" s="3">
        <v>13007640</v>
      </c>
      <c r="H173" s="2">
        <v>5.0000000000000001E-3</v>
      </c>
      <c r="I173" s="19">
        <v>44013</v>
      </c>
      <c r="J173" s="19">
        <v>44043</v>
      </c>
      <c r="K173" s="3">
        <f t="shared" si="14"/>
        <v>31</v>
      </c>
      <c r="L173" s="3">
        <f t="shared" si="15"/>
        <v>5509</v>
      </c>
      <c r="M173" s="3">
        <v>13007640</v>
      </c>
    </row>
    <row r="174" spans="1:13" s="18" customFormat="1" outlineLevel="2">
      <c r="A174" s="19" t="s">
        <v>40</v>
      </c>
      <c r="B174" s="20" t="s">
        <v>101</v>
      </c>
      <c r="C174" s="21" t="s">
        <v>43</v>
      </c>
      <c r="D174" s="20" t="s">
        <v>44</v>
      </c>
      <c r="E174" s="3">
        <v>6361320</v>
      </c>
      <c r="F174" s="19">
        <v>43964</v>
      </c>
      <c r="G174" s="3">
        <v>6361320</v>
      </c>
      <c r="H174" s="2">
        <v>5.0000000000000001E-3</v>
      </c>
      <c r="I174" s="19">
        <v>44013</v>
      </c>
      <c r="J174" s="19">
        <v>44043</v>
      </c>
      <c r="K174" s="3">
        <f t="shared" si="14"/>
        <v>31</v>
      </c>
      <c r="L174" s="3">
        <f t="shared" si="15"/>
        <v>2694</v>
      </c>
      <c r="M174" s="3">
        <v>6361320</v>
      </c>
    </row>
    <row r="175" spans="1:13" s="18" customFormat="1" outlineLevel="2">
      <c r="A175" s="19" t="s">
        <v>40</v>
      </c>
      <c r="B175" s="20" t="s">
        <v>23</v>
      </c>
      <c r="C175" s="21" t="s">
        <v>43</v>
      </c>
      <c r="D175" s="20" t="s">
        <v>44</v>
      </c>
      <c r="E175" s="3">
        <v>5452560</v>
      </c>
      <c r="F175" s="19">
        <v>43810</v>
      </c>
      <c r="G175" s="3">
        <v>5452560</v>
      </c>
      <c r="H175" s="2">
        <v>5.0000000000000001E-3</v>
      </c>
      <c r="I175" s="19">
        <v>44013</v>
      </c>
      <c r="J175" s="19">
        <v>44043</v>
      </c>
      <c r="K175" s="3">
        <f t="shared" si="14"/>
        <v>31</v>
      </c>
      <c r="L175" s="3">
        <f t="shared" si="15"/>
        <v>2309</v>
      </c>
      <c r="M175" s="3">
        <v>5452560</v>
      </c>
    </row>
    <row r="176" spans="1:13" s="18" customFormat="1" outlineLevel="2">
      <c r="A176" s="19" t="s">
        <v>40</v>
      </c>
      <c r="B176" s="20" t="s">
        <v>100</v>
      </c>
      <c r="C176" s="21" t="s">
        <v>47</v>
      </c>
      <c r="D176" s="20" t="s">
        <v>42</v>
      </c>
      <c r="E176" s="3">
        <v>69800000</v>
      </c>
      <c r="F176" s="19">
        <v>43956</v>
      </c>
      <c r="G176" s="3">
        <v>69800000</v>
      </c>
      <c r="H176" s="2">
        <v>5.0000000000000001E-3</v>
      </c>
      <c r="I176" s="19">
        <v>44013</v>
      </c>
      <c r="J176" s="19">
        <v>44043</v>
      </c>
      <c r="K176" s="3">
        <f t="shared" si="14"/>
        <v>31</v>
      </c>
      <c r="L176" s="3">
        <f t="shared" si="15"/>
        <v>29560</v>
      </c>
      <c r="M176" s="3">
        <v>69800000</v>
      </c>
    </row>
    <row r="177" spans="1:13" s="18" customFormat="1" outlineLevel="2">
      <c r="A177" s="19" t="s">
        <v>40</v>
      </c>
      <c r="B177" s="20" t="s">
        <v>99</v>
      </c>
      <c r="C177" s="21" t="s">
        <v>47</v>
      </c>
      <c r="D177" s="20" t="s">
        <v>42</v>
      </c>
      <c r="E177" s="3">
        <v>1500000</v>
      </c>
      <c r="F177" s="19">
        <v>43956</v>
      </c>
      <c r="G177" s="3">
        <v>1500000</v>
      </c>
      <c r="H177" s="2">
        <v>5.0000000000000001E-3</v>
      </c>
      <c r="I177" s="19">
        <v>44013</v>
      </c>
      <c r="J177" s="19">
        <v>44043</v>
      </c>
      <c r="K177" s="3">
        <f t="shared" si="14"/>
        <v>31</v>
      </c>
      <c r="L177" s="3">
        <f t="shared" si="15"/>
        <v>635</v>
      </c>
      <c r="M177" s="3">
        <v>1500000</v>
      </c>
    </row>
    <row r="178" spans="1:13" s="18" customFormat="1" outlineLevel="2">
      <c r="A178" s="19" t="s">
        <v>40</v>
      </c>
      <c r="B178" s="20" t="s">
        <v>98</v>
      </c>
      <c r="C178" s="21" t="s">
        <v>97</v>
      </c>
      <c r="D178" s="20" t="s">
        <v>96</v>
      </c>
      <c r="E178" s="3">
        <v>50000000</v>
      </c>
      <c r="F178" s="19">
        <v>43976</v>
      </c>
      <c r="G178" s="3">
        <v>50000000</v>
      </c>
      <c r="H178" s="2">
        <v>5.0000000000000001E-3</v>
      </c>
      <c r="I178" s="19">
        <v>44013</v>
      </c>
      <c r="J178" s="19">
        <v>44043</v>
      </c>
      <c r="K178" s="3">
        <f t="shared" si="14"/>
        <v>31</v>
      </c>
      <c r="L178" s="3">
        <f t="shared" si="15"/>
        <v>21175</v>
      </c>
      <c r="M178" s="3">
        <v>50000000</v>
      </c>
    </row>
    <row r="179" spans="1:13" s="18" customFormat="1" outlineLevel="2">
      <c r="A179" s="19" t="s">
        <v>40</v>
      </c>
      <c r="B179" s="20" t="s">
        <v>122</v>
      </c>
      <c r="C179" s="21" t="s">
        <v>43</v>
      </c>
      <c r="D179" s="20" t="s">
        <v>44</v>
      </c>
      <c r="E179" s="3">
        <v>6657720</v>
      </c>
      <c r="F179" s="19">
        <v>43992</v>
      </c>
      <c r="G179" s="3">
        <v>6657720</v>
      </c>
      <c r="H179" s="2">
        <v>5.0000000000000001E-3</v>
      </c>
      <c r="I179" s="19">
        <v>44013</v>
      </c>
      <c r="J179" s="19">
        <v>44043</v>
      </c>
      <c r="K179" s="3">
        <f t="shared" si="14"/>
        <v>31</v>
      </c>
      <c r="L179" s="3">
        <f t="shared" si="15"/>
        <v>2820</v>
      </c>
      <c r="M179" s="3">
        <v>6657720</v>
      </c>
    </row>
    <row r="180" spans="1:13" s="18" customFormat="1" outlineLevel="2">
      <c r="A180" s="19" t="s">
        <v>40</v>
      </c>
      <c r="B180" s="20" t="s">
        <v>121</v>
      </c>
      <c r="C180" s="21" t="s">
        <v>43</v>
      </c>
      <c r="D180" s="20" t="s">
        <v>44</v>
      </c>
      <c r="E180" s="3">
        <v>6361320</v>
      </c>
      <c r="F180" s="19">
        <v>43992</v>
      </c>
      <c r="G180" s="3">
        <v>6361320</v>
      </c>
      <c r="H180" s="2">
        <v>5.0000000000000001E-3</v>
      </c>
      <c r="I180" s="19">
        <v>44013</v>
      </c>
      <c r="J180" s="19">
        <v>44043</v>
      </c>
      <c r="K180" s="3">
        <f t="shared" si="14"/>
        <v>31</v>
      </c>
      <c r="L180" s="3">
        <f t="shared" si="15"/>
        <v>2694</v>
      </c>
      <c r="M180" s="3">
        <v>6361320</v>
      </c>
    </row>
    <row r="181" spans="1:13" s="18" customFormat="1" outlineLevel="2">
      <c r="A181" s="19" t="s">
        <v>40</v>
      </c>
      <c r="B181" s="20" t="s">
        <v>120</v>
      </c>
      <c r="C181" s="21" t="s">
        <v>47</v>
      </c>
      <c r="D181" s="20" t="s">
        <v>42</v>
      </c>
      <c r="E181" s="3">
        <v>41200000</v>
      </c>
      <c r="F181" s="19">
        <v>43987</v>
      </c>
      <c r="G181" s="3">
        <v>41200000</v>
      </c>
      <c r="H181" s="2">
        <v>5.0000000000000001E-3</v>
      </c>
      <c r="I181" s="19">
        <v>44013</v>
      </c>
      <c r="J181" s="19">
        <v>44043</v>
      </c>
      <c r="K181" s="3">
        <f t="shared" si="14"/>
        <v>31</v>
      </c>
      <c r="L181" s="3">
        <f t="shared" si="15"/>
        <v>17448</v>
      </c>
      <c r="M181" s="3">
        <v>41200000</v>
      </c>
    </row>
    <row r="182" spans="1:13" s="18" customFormat="1" outlineLevel="2">
      <c r="A182" s="19" t="s">
        <v>40</v>
      </c>
      <c r="B182" s="20" t="s">
        <v>147</v>
      </c>
      <c r="C182" s="21" t="s">
        <v>43</v>
      </c>
      <c r="D182" s="20" t="s">
        <v>44</v>
      </c>
      <c r="E182" s="3">
        <v>6657720</v>
      </c>
      <c r="F182" s="19">
        <v>44020</v>
      </c>
      <c r="G182" s="3">
        <v>6657720</v>
      </c>
      <c r="H182" s="2">
        <v>5.0000000000000001E-3</v>
      </c>
      <c r="I182" s="19">
        <v>44020</v>
      </c>
      <c r="J182" s="19">
        <v>44043</v>
      </c>
      <c r="K182" s="3">
        <f t="shared" si="14"/>
        <v>24</v>
      </c>
      <c r="L182" s="3">
        <f t="shared" si="15"/>
        <v>2183</v>
      </c>
      <c r="M182" s="3">
        <v>6657720</v>
      </c>
    </row>
    <row r="183" spans="1:13" s="18" customFormat="1" outlineLevel="2">
      <c r="A183" s="19" t="s">
        <v>40</v>
      </c>
      <c r="B183" s="20" t="s">
        <v>146</v>
      </c>
      <c r="C183" s="21" t="s">
        <v>43</v>
      </c>
      <c r="D183" s="20" t="s">
        <v>44</v>
      </c>
      <c r="E183" s="3">
        <v>6657720</v>
      </c>
      <c r="F183" s="19">
        <v>44020</v>
      </c>
      <c r="G183" s="3">
        <v>6657720</v>
      </c>
      <c r="H183" s="2">
        <v>5.0000000000000001E-3</v>
      </c>
      <c r="I183" s="19">
        <v>44020</v>
      </c>
      <c r="J183" s="19">
        <v>44043</v>
      </c>
      <c r="K183" s="3">
        <f t="shared" si="14"/>
        <v>24</v>
      </c>
      <c r="L183" s="3">
        <f t="shared" si="15"/>
        <v>2183</v>
      </c>
      <c r="M183" s="3">
        <v>6657720</v>
      </c>
    </row>
    <row r="184" spans="1:13" s="18" customFormat="1" outlineLevel="2">
      <c r="A184" s="19" t="s">
        <v>40</v>
      </c>
      <c r="B184" s="20" t="s">
        <v>145</v>
      </c>
      <c r="C184" s="21" t="s">
        <v>47</v>
      </c>
      <c r="D184" s="20" t="s">
        <v>42</v>
      </c>
      <c r="E184" s="3">
        <v>11800000</v>
      </c>
      <c r="F184" s="19">
        <v>44015</v>
      </c>
      <c r="G184" s="3">
        <v>11800000</v>
      </c>
      <c r="H184" s="2">
        <v>5.0000000000000001E-3</v>
      </c>
      <c r="I184" s="19">
        <v>44015</v>
      </c>
      <c r="J184" s="19">
        <v>44043</v>
      </c>
      <c r="K184" s="3">
        <f t="shared" si="14"/>
        <v>29</v>
      </c>
      <c r="L184" s="3">
        <f t="shared" si="15"/>
        <v>4675</v>
      </c>
      <c r="M184" s="3">
        <v>11800000</v>
      </c>
    </row>
    <row r="185" spans="1:13" s="18" customFormat="1" outlineLevel="2">
      <c r="A185" s="19" t="s">
        <v>40</v>
      </c>
      <c r="B185" s="20" t="s">
        <v>144</v>
      </c>
      <c r="C185" s="21" t="s">
        <v>47</v>
      </c>
      <c r="D185" s="20" t="s">
        <v>42</v>
      </c>
      <c r="E185" s="3">
        <v>2600000</v>
      </c>
      <c r="F185" s="19">
        <v>44015</v>
      </c>
      <c r="G185" s="3">
        <v>2600000</v>
      </c>
      <c r="H185" s="2">
        <v>5.0000000000000001E-3</v>
      </c>
      <c r="I185" s="19">
        <v>44015</v>
      </c>
      <c r="J185" s="19">
        <v>44043</v>
      </c>
      <c r="K185" s="3">
        <f t="shared" si="14"/>
        <v>29</v>
      </c>
      <c r="L185" s="3">
        <f t="shared" si="15"/>
        <v>1030</v>
      </c>
      <c r="M185" s="3">
        <v>2600000</v>
      </c>
    </row>
    <row r="186" spans="1:13" s="18" customFormat="1" outlineLevel="2">
      <c r="A186" s="19" t="s">
        <v>40</v>
      </c>
      <c r="B186" s="20" t="s">
        <v>29</v>
      </c>
      <c r="C186" s="21" t="s">
        <v>45</v>
      </c>
      <c r="D186" s="20" t="s">
        <v>46</v>
      </c>
      <c r="E186" s="3">
        <v>220000000</v>
      </c>
      <c r="F186" s="19">
        <v>43815</v>
      </c>
      <c r="G186" s="3">
        <v>220000000</v>
      </c>
      <c r="H186" s="2">
        <v>5.0000000000000001E-3</v>
      </c>
      <c r="I186" s="19">
        <v>44013</v>
      </c>
      <c r="J186" s="19">
        <v>44043</v>
      </c>
      <c r="K186" s="3">
        <f t="shared" si="14"/>
        <v>31</v>
      </c>
      <c r="L186" s="3">
        <f t="shared" si="15"/>
        <v>93169</v>
      </c>
      <c r="M186" s="3">
        <v>220000000</v>
      </c>
    </row>
    <row r="187" spans="1:13" s="18" customFormat="1" outlineLevel="2">
      <c r="A187" s="19" t="s">
        <v>40</v>
      </c>
      <c r="B187" s="20" t="s">
        <v>143</v>
      </c>
      <c r="C187" s="21" t="s">
        <v>27</v>
      </c>
      <c r="D187" s="20" t="s">
        <v>28</v>
      </c>
      <c r="E187" s="3">
        <v>10400000</v>
      </c>
      <c r="F187" s="19">
        <v>44033</v>
      </c>
      <c r="G187" s="3">
        <v>10400000</v>
      </c>
      <c r="H187" s="2">
        <v>5.0000000000000001E-3</v>
      </c>
      <c r="I187" s="19">
        <v>44033</v>
      </c>
      <c r="J187" s="19">
        <v>44043</v>
      </c>
      <c r="K187" s="3">
        <f t="shared" si="14"/>
        <v>11</v>
      </c>
      <c r="L187" s="3">
        <f t="shared" si="15"/>
        <v>1563</v>
      </c>
      <c r="M187" s="3">
        <v>10400000</v>
      </c>
    </row>
    <row r="188" spans="1:13" s="18" customFormat="1" outlineLevel="2">
      <c r="A188" s="19" t="s">
        <v>40</v>
      </c>
      <c r="B188" s="20" t="s">
        <v>142</v>
      </c>
      <c r="C188" s="21" t="s">
        <v>141</v>
      </c>
      <c r="D188" s="20" t="s">
        <v>140</v>
      </c>
      <c r="E188" s="3">
        <v>28200000</v>
      </c>
      <c r="F188" s="19">
        <v>44027</v>
      </c>
      <c r="G188" s="3">
        <v>28200000</v>
      </c>
      <c r="H188" s="2">
        <v>5.0000000000000001E-3</v>
      </c>
      <c r="I188" s="19">
        <v>44027</v>
      </c>
      <c r="J188" s="19">
        <v>44043</v>
      </c>
      <c r="K188" s="3">
        <f t="shared" si="14"/>
        <v>17</v>
      </c>
      <c r="L188" s="3">
        <f t="shared" si="15"/>
        <v>6549</v>
      </c>
      <c r="M188" s="3">
        <v>28200000</v>
      </c>
    </row>
    <row r="189" spans="1:13" s="18" customFormat="1" outlineLevel="2">
      <c r="A189" s="19" t="s">
        <v>40</v>
      </c>
      <c r="B189" s="20" t="s">
        <v>30</v>
      </c>
      <c r="C189" s="21" t="s">
        <v>43</v>
      </c>
      <c r="D189" s="20" t="s">
        <v>44</v>
      </c>
      <c r="E189" s="3">
        <v>5452560</v>
      </c>
      <c r="F189" s="19">
        <v>43838</v>
      </c>
      <c r="G189" s="3">
        <v>5452560</v>
      </c>
      <c r="H189" s="2">
        <v>5.0000000000000001E-3</v>
      </c>
      <c r="I189" s="19">
        <v>44013</v>
      </c>
      <c r="J189" s="19">
        <v>44043</v>
      </c>
      <c r="K189" s="3">
        <f t="shared" si="14"/>
        <v>31</v>
      </c>
      <c r="L189" s="3">
        <f t="shared" si="15"/>
        <v>2309</v>
      </c>
      <c r="M189" s="3">
        <v>5452560</v>
      </c>
    </row>
    <row r="190" spans="1:13" s="18" customFormat="1" outlineLevel="2">
      <c r="A190" s="19" t="s">
        <v>40</v>
      </c>
      <c r="B190" s="20" t="s">
        <v>31</v>
      </c>
      <c r="C190" s="21" t="s">
        <v>43</v>
      </c>
      <c r="D190" s="20" t="s">
        <v>44</v>
      </c>
      <c r="E190" s="3">
        <v>5452560</v>
      </c>
      <c r="F190" s="19">
        <v>43838</v>
      </c>
      <c r="G190" s="3">
        <v>5452560</v>
      </c>
      <c r="H190" s="2">
        <v>5.0000000000000001E-3</v>
      </c>
      <c r="I190" s="19">
        <v>44013</v>
      </c>
      <c r="J190" s="19">
        <v>44043</v>
      </c>
      <c r="K190" s="3">
        <f t="shared" si="14"/>
        <v>31</v>
      </c>
      <c r="L190" s="3">
        <f t="shared" si="15"/>
        <v>2309</v>
      </c>
      <c r="M190" s="3">
        <v>5452560</v>
      </c>
    </row>
    <row r="191" spans="1:13" s="18" customFormat="1" outlineLevel="2">
      <c r="A191" s="19" t="s">
        <v>40</v>
      </c>
      <c r="B191" s="20" t="s">
        <v>32</v>
      </c>
      <c r="C191" s="21" t="s">
        <v>47</v>
      </c>
      <c r="D191" s="20" t="s">
        <v>42</v>
      </c>
      <c r="E191" s="3">
        <v>55600000</v>
      </c>
      <c r="F191" s="19">
        <v>43833</v>
      </c>
      <c r="G191" s="3">
        <v>55600000</v>
      </c>
      <c r="H191" s="2">
        <v>5.0000000000000001E-3</v>
      </c>
      <c r="I191" s="19">
        <v>44013</v>
      </c>
      <c r="J191" s="19">
        <v>44043</v>
      </c>
      <c r="K191" s="3">
        <f t="shared" si="14"/>
        <v>31</v>
      </c>
      <c r="L191" s="3">
        <f t="shared" si="15"/>
        <v>23546</v>
      </c>
      <c r="M191" s="3">
        <v>55600000</v>
      </c>
    </row>
    <row r="192" spans="1:13" s="18" customFormat="1" outlineLevel="2">
      <c r="A192" s="19" t="s">
        <v>40</v>
      </c>
      <c r="B192" s="20" t="s">
        <v>48</v>
      </c>
      <c r="C192" s="21" t="s">
        <v>47</v>
      </c>
      <c r="D192" s="20" t="s">
        <v>42</v>
      </c>
      <c r="E192" s="3">
        <v>28400000</v>
      </c>
      <c r="F192" s="19">
        <v>43833</v>
      </c>
      <c r="G192" s="3">
        <v>28400000</v>
      </c>
      <c r="H192" s="2">
        <v>5.0000000000000001E-3</v>
      </c>
      <c r="I192" s="19">
        <v>44013</v>
      </c>
      <c r="J192" s="19">
        <v>44043</v>
      </c>
      <c r="K192" s="3">
        <f t="shared" si="14"/>
        <v>31</v>
      </c>
      <c r="L192" s="3">
        <f t="shared" si="15"/>
        <v>12027</v>
      </c>
      <c r="M192" s="3">
        <v>28400000</v>
      </c>
    </row>
    <row r="193" spans="1:13" s="18" customFormat="1" outlineLevel="2">
      <c r="A193" s="19" t="s">
        <v>40</v>
      </c>
      <c r="B193" s="20" t="s">
        <v>59</v>
      </c>
      <c r="C193" s="21" t="s">
        <v>43</v>
      </c>
      <c r="D193" s="20" t="s">
        <v>44</v>
      </c>
      <c r="E193" s="3">
        <v>5452560</v>
      </c>
      <c r="F193" s="19">
        <v>43873</v>
      </c>
      <c r="G193" s="3">
        <v>5452560</v>
      </c>
      <c r="H193" s="2">
        <v>5.0000000000000001E-3</v>
      </c>
      <c r="I193" s="19">
        <v>44013</v>
      </c>
      <c r="J193" s="19">
        <v>44043</v>
      </c>
      <c r="K193" s="3">
        <f t="shared" si="14"/>
        <v>31</v>
      </c>
      <c r="L193" s="3">
        <f t="shared" si="15"/>
        <v>2309</v>
      </c>
      <c r="M193" s="3">
        <v>5452560</v>
      </c>
    </row>
    <row r="194" spans="1:13" s="18" customFormat="1" outlineLevel="2">
      <c r="A194" s="19" t="s">
        <v>40</v>
      </c>
      <c r="B194" s="20" t="s">
        <v>58</v>
      </c>
      <c r="C194" s="21" t="s">
        <v>43</v>
      </c>
      <c r="D194" s="20" t="s">
        <v>44</v>
      </c>
      <c r="E194" s="3">
        <v>7270080</v>
      </c>
      <c r="F194" s="19">
        <v>43873</v>
      </c>
      <c r="G194" s="3">
        <v>7270080</v>
      </c>
      <c r="H194" s="2">
        <v>5.0000000000000001E-3</v>
      </c>
      <c r="I194" s="19">
        <v>44013</v>
      </c>
      <c r="J194" s="19">
        <v>44043</v>
      </c>
      <c r="K194" s="3">
        <f t="shared" si="14"/>
        <v>31</v>
      </c>
      <c r="L194" s="3">
        <f t="shared" si="15"/>
        <v>3079</v>
      </c>
      <c r="M194" s="3">
        <v>7270080</v>
      </c>
    </row>
    <row r="195" spans="1:13" s="18" customFormat="1" ht="13.5" outlineLevel="1">
      <c r="A195" s="22" t="s">
        <v>49</v>
      </c>
      <c r="B195" s="23"/>
      <c r="C195" s="24"/>
      <c r="D195" s="23"/>
      <c r="E195" s="25">
        <f>SUBTOTAL(9,E164:E194)</f>
        <v>967704717</v>
      </c>
      <c r="F195" s="26"/>
      <c r="G195" s="25"/>
      <c r="H195" s="27"/>
      <c r="I195" s="26"/>
      <c r="J195" s="26"/>
      <c r="K195" s="25"/>
      <c r="L195" s="25">
        <f>SUBTOTAL(9,L164:L194)</f>
        <v>399920</v>
      </c>
      <c r="M195" s="25">
        <f>SUBTOTAL(9,M164:M194)</f>
        <v>967704717</v>
      </c>
    </row>
    <row r="196" spans="1:13" s="18" customFormat="1" outlineLevel="2">
      <c r="A196" s="19" t="s">
        <v>119</v>
      </c>
      <c r="B196" s="20" t="s">
        <v>16</v>
      </c>
      <c r="C196" s="21" t="s">
        <v>97</v>
      </c>
      <c r="D196" s="20" t="s">
        <v>96</v>
      </c>
      <c r="E196" s="3">
        <v>20000000</v>
      </c>
      <c r="F196" s="19">
        <v>43985</v>
      </c>
      <c r="G196" s="3">
        <v>20000000</v>
      </c>
      <c r="H196" s="2">
        <v>5.0000000000000001E-3</v>
      </c>
      <c r="I196" s="19">
        <v>44013</v>
      </c>
      <c r="J196" s="19">
        <v>44043</v>
      </c>
      <c r="K196" s="3">
        <f>J196-I196+1</f>
        <v>31</v>
      </c>
      <c r="L196" s="3">
        <f>ROUND(G196*H196*K196/366,0)</f>
        <v>8470</v>
      </c>
      <c r="M196" s="3">
        <v>20000000</v>
      </c>
    </row>
    <row r="197" spans="1:13" s="18" customFormat="1" outlineLevel="2">
      <c r="A197" s="19" t="s">
        <v>119</v>
      </c>
      <c r="B197" s="20" t="s">
        <v>23</v>
      </c>
      <c r="C197" s="21" t="s">
        <v>97</v>
      </c>
      <c r="D197" s="20" t="s">
        <v>96</v>
      </c>
      <c r="E197" s="3">
        <v>13800000</v>
      </c>
      <c r="F197" s="19">
        <v>44034</v>
      </c>
      <c r="G197" s="3">
        <v>13800000</v>
      </c>
      <c r="H197" s="2">
        <v>5.0000000000000001E-3</v>
      </c>
      <c r="I197" s="19">
        <v>44034</v>
      </c>
      <c r="J197" s="19">
        <v>44043</v>
      </c>
      <c r="K197" s="3">
        <f>J197-I197+1</f>
        <v>10</v>
      </c>
      <c r="L197" s="3">
        <f>ROUND(G197*H197*K197/366,0)</f>
        <v>1885</v>
      </c>
      <c r="M197" s="3">
        <v>13800000</v>
      </c>
    </row>
    <row r="198" spans="1:13" s="18" customFormat="1" ht="13.5" outlineLevel="1">
      <c r="A198" s="22" t="s">
        <v>118</v>
      </c>
      <c r="B198" s="23"/>
      <c r="C198" s="24"/>
      <c r="D198" s="23"/>
      <c r="E198" s="25">
        <f>SUBTOTAL(9,E196:E197)</f>
        <v>33800000</v>
      </c>
      <c r="F198" s="26"/>
      <c r="G198" s="25"/>
      <c r="H198" s="27"/>
      <c r="I198" s="26"/>
      <c r="J198" s="26"/>
      <c r="K198" s="25"/>
      <c r="L198" s="25">
        <f>SUBTOTAL(9,L196:L197)</f>
        <v>10355</v>
      </c>
      <c r="M198" s="25">
        <f>SUBTOTAL(9,M196:M197)</f>
        <v>33800000</v>
      </c>
    </row>
    <row r="199" spans="1:13" s="18" customFormat="1" outlineLevel="2">
      <c r="A199" s="19" t="s">
        <v>63</v>
      </c>
      <c r="B199" s="20" t="s">
        <v>16</v>
      </c>
      <c r="C199" s="21" t="s">
        <v>21</v>
      </c>
      <c r="D199" s="20" t="s">
        <v>22</v>
      </c>
      <c r="E199" s="3">
        <v>72000000</v>
      </c>
      <c r="F199" s="19">
        <v>43917</v>
      </c>
      <c r="G199" s="3">
        <v>72000000</v>
      </c>
      <c r="H199" s="2">
        <v>5.0000000000000001E-3</v>
      </c>
      <c r="I199" s="19">
        <v>44013</v>
      </c>
      <c r="J199" s="19">
        <v>44043</v>
      </c>
      <c r="K199" s="3">
        <f>J199-I199+1</f>
        <v>31</v>
      </c>
      <c r="L199" s="3">
        <f>ROUND(G199*H199*K199/366,0)</f>
        <v>30492</v>
      </c>
      <c r="M199" s="3">
        <v>72000000</v>
      </c>
    </row>
    <row r="200" spans="1:13" s="18" customFormat="1" outlineLevel="2">
      <c r="A200" s="19" t="s">
        <v>63</v>
      </c>
      <c r="B200" s="20" t="s">
        <v>23</v>
      </c>
      <c r="C200" s="21" t="s">
        <v>21</v>
      </c>
      <c r="D200" s="20" t="s">
        <v>22</v>
      </c>
      <c r="E200" s="3">
        <v>144000000</v>
      </c>
      <c r="F200" s="19">
        <v>44018</v>
      </c>
      <c r="G200" s="3">
        <v>144000000</v>
      </c>
      <c r="H200" s="2">
        <v>5.0000000000000001E-3</v>
      </c>
      <c r="I200" s="19">
        <v>44018</v>
      </c>
      <c r="J200" s="19">
        <v>44043</v>
      </c>
      <c r="K200" s="3">
        <f>J200-I200+1</f>
        <v>26</v>
      </c>
      <c r="L200" s="3">
        <f>ROUND(G200*H200*K200/366,0)</f>
        <v>51148</v>
      </c>
      <c r="M200" s="3">
        <v>144000000</v>
      </c>
    </row>
    <row r="201" spans="1:13" s="18" customFormat="1" ht="13.5" outlineLevel="1">
      <c r="A201" s="22" t="s">
        <v>62</v>
      </c>
      <c r="B201" s="23"/>
      <c r="C201" s="24"/>
      <c r="D201" s="23"/>
      <c r="E201" s="25">
        <f>SUBTOTAL(9,E199:E200)</f>
        <v>216000000</v>
      </c>
      <c r="F201" s="26"/>
      <c r="G201" s="25"/>
      <c r="H201" s="27"/>
      <c r="I201" s="26"/>
      <c r="J201" s="26"/>
      <c r="K201" s="25"/>
      <c r="L201" s="25">
        <f>SUBTOTAL(9,L199:L200)</f>
        <v>81640</v>
      </c>
      <c r="M201" s="25">
        <f>SUBTOTAL(9,M199:M200)</f>
        <v>216000000</v>
      </c>
    </row>
    <row r="202" spans="1:13" s="18" customFormat="1" outlineLevel="2">
      <c r="A202" s="19" t="s">
        <v>50</v>
      </c>
      <c r="B202" s="20" t="s">
        <v>16</v>
      </c>
      <c r="C202" s="21" t="s">
        <v>21</v>
      </c>
      <c r="D202" s="20" t="s">
        <v>22</v>
      </c>
      <c r="E202" s="3">
        <v>190000000</v>
      </c>
      <c r="F202" s="19">
        <v>43797</v>
      </c>
      <c r="G202" s="3">
        <v>190000000</v>
      </c>
      <c r="H202" s="2">
        <v>5.0000000000000001E-3</v>
      </c>
      <c r="I202" s="19">
        <v>44013</v>
      </c>
      <c r="J202" s="19">
        <v>44043</v>
      </c>
      <c r="K202" s="3">
        <f t="shared" ref="K202:K214" si="16">J202-I202+1</f>
        <v>31</v>
      </c>
      <c r="L202" s="3">
        <f t="shared" ref="L202:L214" si="17">ROUND(G202*H202*K202/366,0)</f>
        <v>80464</v>
      </c>
      <c r="M202" s="3">
        <v>190000000</v>
      </c>
    </row>
    <row r="203" spans="1:13" s="18" customFormat="1" outlineLevel="2">
      <c r="A203" s="19" t="s">
        <v>50</v>
      </c>
      <c r="B203" s="20" t="s">
        <v>61</v>
      </c>
      <c r="C203" s="21" t="s">
        <v>57</v>
      </c>
      <c r="D203" s="20" t="s">
        <v>56</v>
      </c>
      <c r="E203" s="3">
        <v>1310400</v>
      </c>
      <c r="F203" s="19">
        <v>44043</v>
      </c>
      <c r="G203" s="3">
        <v>1310400</v>
      </c>
      <c r="H203" s="2">
        <v>5.0000000000000001E-3</v>
      </c>
      <c r="I203" s="19">
        <v>44043</v>
      </c>
      <c r="J203" s="19">
        <v>44043</v>
      </c>
      <c r="K203" s="3">
        <f t="shared" si="16"/>
        <v>1</v>
      </c>
      <c r="L203" s="3">
        <f t="shared" si="17"/>
        <v>18</v>
      </c>
      <c r="M203" s="3">
        <v>1310400</v>
      </c>
    </row>
    <row r="204" spans="1:13" s="18" customFormat="1" outlineLevel="2">
      <c r="A204" s="19" t="s">
        <v>50</v>
      </c>
      <c r="B204" s="20" t="s">
        <v>60</v>
      </c>
      <c r="C204" s="21" t="s">
        <v>69</v>
      </c>
      <c r="D204" s="20" t="s">
        <v>68</v>
      </c>
      <c r="E204" s="3">
        <v>201600000</v>
      </c>
      <c r="F204" s="19">
        <v>44028</v>
      </c>
      <c r="G204" s="3">
        <v>201600000</v>
      </c>
      <c r="H204" s="2">
        <v>3.0000000000000001E-3</v>
      </c>
      <c r="I204" s="19">
        <v>44028</v>
      </c>
      <c r="J204" s="19">
        <v>44043</v>
      </c>
      <c r="K204" s="3">
        <f t="shared" si="16"/>
        <v>16</v>
      </c>
      <c r="L204" s="3">
        <f t="shared" si="17"/>
        <v>26439</v>
      </c>
      <c r="M204" s="3">
        <v>201600000</v>
      </c>
    </row>
    <row r="205" spans="1:13" s="18" customFormat="1" outlineLevel="2">
      <c r="A205" s="19" t="s">
        <v>50</v>
      </c>
      <c r="B205" s="20" t="s">
        <v>66</v>
      </c>
      <c r="C205" s="21" t="s">
        <v>117</v>
      </c>
      <c r="D205" s="20" t="s">
        <v>116</v>
      </c>
      <c r="E205" s="3">
        <v>67678400</v>
      </c>
      <c r="F205" s="19">
        <v>44041</v>
      </c>
      <c r="G205" s="3">
        <v>67678400</v>
      </c>
      <c r="H205" s="2">
        <v>5.0000000000000001E-3</v>
      </c>
      <c r="I205" s="19">
        <v>44041</v>
      </c>
      <c r="J205" s="19">
        <v>44043</v>
      </c>
      <c r="K205" s="3">
        <f t="shared" si="16"/>
        <v>3</v>
      </c>
      <c r="L205" s="3">
        <f t="shared" si="17"/>
        <v>2774</v>
      </c>
      <c r="M205" s="3">
        <v>67678400</v>
      </c>
    </row>
    <row r="206" spans="1:13" s="18" customFormat="1" outlineLevel="2">
      <c r="A206" s="19" t="s">
        <v>50</v>
      </c>
      <c r="B206" s="20" t="s">
        <v>23</v>
      </c>
      <c r="C206" s="21" t="s">
        <v>21</v>
      </c>
      <c r="D206" s="20" t="s">
        <v>22</v>
      </c>
      <c r="E206" s="3">
        <v>37000000</v>
      </c>
      <c r="F206" s="19">
        <v>43829</v>
      </c>
      <c r="G206" s="3">
        <v>37000000</v>
      </c>
      <c r="H206" s="2">
        <v>5.0000000000000001E-3</v>
      </c>
      <c r="I206" s="19">
        <v>44013</v>
      </c>
      <c r="J206" s="19">
        <v>44043</v>
      </c>
      <c r="K206" s="3">
        <f t="shared" si="16"/>
        <v>31</v>
      </c>
      <c r="L206" s="3">
        <f t="shared" si="17"/>
        <v>15669</v>
      </c>
      <c r="M206" s="3">
        <v>37000000</v>
      </c>
    </row>
    <row r="207" spans="1:13" s="18" customFormat="1" outlineLevel="2">
      <c r="A207" s="19" t="s">
        <v>50</v>
      </c>
      <c r="B207" s="20" t="s">
        <v>29</v>
      </c>
      <c r="C207" s="21" t="s">
        <v>57</v>
      </c>
      <c r="D207" s="20" t="s">
        <v>56</v>
      </c>
      <c r="E207" s="3">
        <v>17276700</v>
      </c>
      <c r="F207" s="19">
        <v>43878</v>
      </c>
      <c r="G207" s="3">
        <v>16124920</v>
      </c>
      <c r="H207" s="2">
        <v>5.0000000000000001E-3</v>
      </c>
      <c r="I207" s="19">
        <v>44013</v>
      </c>
      <c r="J207" s="19">
        <v>44026</v>
      </c>
      <c r="K207" s="3">
        <f t="shared" si="16"/>
        <v>14</v>
      </c>
      <c r="L207" s="3">
        <f t="shared" si="17"/>
        <v>3084</v>
      </c>
      <c r="M207" s="3">
        <v>15836975</v>
      </c>
    </row>
    <row r="208" spans="1:13" s="18" customFormat="1" outlineLevel="2">
      <c r="A208" s="19" t="s">
        <v>50</v>
      </c>
      <c r="B208" s="20" t="s">
        <v>29</v>
      </c>
      <c r="C208" s="21" t="s">
        <v>57</v>
      </c>
      <c r="D208" s="20"/>
      <c r="E208" s="3"/>
      <c r="F208" s="19"/>
      <c r="G208" s="3">
        <v>15836975</v>
      </c>
      <c r="H208" s="2">
        <v>5.0000000000000001E-3</v>
      </c>
      <c r="I208" s="19">
        <v>44027</v>
      </c>
      <c r="J208" s="19">
        <v>44043</v>
      </c>
      <c r="K208" s="3">
        <f t="shared" si="16"/>
        <v>17</v>
      </c>
      <c r="L208" s="3">
        <f t="shared" si="17"/>
        <v>3678</v>
      </c>
      <c r="M208" s="3"/>
    </row>
    <row r="209" spans="1:16" s="18" customFormat="1" outlineLevel="2">
      <c r="A209" s="19" t="s">
        <v>50</v>
      </c>
      <c r="B209" s="20" t="s">
        <v>30</v>
      </c>
      <c r="C209" s="21" t="s">
        <v>21</v>
      </c>
      <c r="D209" s="20" t="s">
        <v>22</v>
      </c>
      <c r="E209" s="3">
        <v>73000000</v>
      </c>
      <c r="F209" s="19">
        <v>43896</v>
      </c>
      <c r="G209" s="3">
        <v>73000000</v>
      </c>
      <c r="H209" s="2">
        <v>5.0000000000000001E-3</v>
      </c>
      <c r="I209" s="19">
        <v>44013</v>
      </c>
      <c r="J209" s="19">
        <v>44043</v>
      </c>
      <c r="K209" s="3">
        <f t="shared" si="16"/>
        <v>31</v>
      </c>
      <c r="L209" s="3">
        <f t="shared" si="17"/>
        <v>30915</v>
      </c>
      <c r="M209" s="3">
        <v>73000000</v>
      </c>
    </row>
    <row r="210" spans="1:16" s="18" customFormat="1" outlineLevel="2">
      <c r="A210" s="19" t="s">
        <v>50</v>
      </c>
      <c r="B210" s="20" t="s">
        <v>31</v>
      </c>
      <c r="C210" s="21" t="s">
        <v>57</v>
      </c>
      <c r="D210" s="20" t="s">
        <v>56</v>
      </c>
      <c r="E210" s="3">
        <v>19997321</v>
      </c>
      <c r="F210" s="19">
        <v>43948</v>
      </c>
      <c r="G210" s="3">
        <v>19997321</v>
      </c>
      <c r="H210" s="2">
        <v>5.0000000000000001E-3</v>
      </c>
      <c r="I210" s="19">
        <v>44013</v>
      </c>
      <c r="J210" s="19">
        <v>44043</v>
      </c>
      <c r="K210" s="3">
        <f t="shared" si="16"/>
        <v>31</v>
      </c>
      <c r="L210" s="3">
        <f t="shared" si="17"/>
        <v>8469</v>
      </c>
      <c r="M210" s="3">
        <v>19997321</v>
      </c>
    </row>
    <row r="211" spans="1:16" s="18" customFormat="1" outlineLevel="2">
      <c r="A211" s="19" t="s">
        <v>50</v>
      </c>
      <c r="B211" s="20" t="s">
        <v>32</v>
      </c>
      <c r="C211" s="21" t="s">
        <v>69</v>
      </c>
      <c r="D211" s="20" t="s">
        <v>68</v>
      </c>
      <c r="E211" s="3">
        <v>242400000</v>
      </c>
      <c r="F211" s="19">
        <v>43930</v>
      </c>
      <c r="G211" s="3">
        <v>242400000</v>
      </c>
      <c r="H211" s="2">
        <v>3.0000000000000001E-3</v>
      </c>
      <c r="I211" s="19">
        <v>44013</v>
      </c>
      <c r="J211" s="19">
        <v>44043</v>
      </c>
      <c r="K211" s="3">
        <f t="shared" si="16"/>
        <v>31</v>
      </c>
      <c r="L211" s="3">
        <f t="shared" si="17"/>
        <v>61593</v>
      </c>
      <c r="M211" s="3">
        <v>242400000</v>
      </c>
    </row>
    <row r="212" spans="1:16" s="18" customFormat="1" outlineLevel="2">
      <c r="A212" s="19" t="s">
        <v>50</v>
      </c>
      <c r="B212" s="20" t="s">
        <v>48</v>
      </c>
      <c r="C212" s="21" t="s">
        <v>69</v>
      </c>
      <c r="D212" s="20" t="s">
        <v>68</v>
      </c>
      <c r="E212" s="3">
        <v>156000000</v>
      </c>
      <c r="F212" s="19">
        <v>43958</v>
      </c>
      <c r="G212" s="3">
        <v>156000000</v>
      </c>
      <c r="H212" s="2">
        <v>3.0000000000000001E-3</v>
      </c>
      <c r="I212" s="19">
        <v>44013</v>
      </c>
      <c r="J212" s="19">
        <v>44043</v>
      </c>
      <c r="K212" s="3">
        <f t="shared" si="16"/>
        <v>31</v>
      </c>
      <c r="L212" s="3">
        <f t="shared" si="17"/>
        <v>39639</v>
      </c>
      <c r="M212" s="3">
        <v>156000000</v>
      </c>
    </row>
    <row r="213" spans="1:16" s="18" customFormat="1" outlineLevel="2">
      <c r="A213" s="19" t="s">
        <v>50</v>
      </c>
      <c r="B213" s="20" t="s">
        <v>59</v>
      </c>
      <c r="C213" s="21" t="s">
        <v>117</v>
      </c>
      <c r="D213" s="20" t="s">
        <v>116</v>
      </c>
      <c r="E213" s="3">
        <v>33840000</v>
      </c>
      <c r="F213" s="19">
        <v>43986</v>
      </c>
      <c r="G213" s="3">
        <v>33840000</v>
      </c>
      <c r="H213" s="2">
        <v>5.0000000000000001E-3</v>
      </c>
      <c r="I213" s="19">
        <v>44013</v>
      </c>
      <c r="J213" s="19">
        <v>44043</v>
      </c>
      <c r="K213" s="3">
        <f t="shared" si="16"/>
        <v>31</v>
      </c>
      <c r="L213" s="3">
        <f t="shared" si="17"/>
        <v>14331</v>
      </c>
      <c r="M213" s="3">
        <v>33840000</v>
      </c>
    </row>
    <row r="214" spans="1:16" s="18" customFormat="1" outlineLevel="2">
      <c r="A214" s="19" t="s">
        <v>50</v>
      </c>
      <c r="B214" s="20" t="s">
        <v>58</v>
      </c>
      <c r="C214" s="21" t="s">
        <v>117</v>
      </c>
      <c r="D214" s="20" t="s">
        <v>116</v>
      </c>
      <c r="E214" s="3">
        <v>134396612</v>
      </c>
      <c r="F214" s="19">
        <v>43986</v>
      </c>
      <c r="G214" s="3">
        <v>134396612</v>
      </c>
      <c r="H214" s="2">
        <v>5.0000000000000001E-3</v>
      </c>
      <c r="I214" s="19">
        <v>44013</v>
      </c>
      <c r="J214" s="19">
        <v>44043</v>
      </c>
      <c r="K214" s="3">
        <f t="shared" si="16"/>
        <v>31</v>
      </c>
      <c r="L214" s="3">
        <f t="shared" si="17"/>
        <v>56917</v>
      </c>
      <c r="M214" s="3">
        <v>134396612</v>
      </c>
    </row>
    <row r="215" spans="1:16" s="18" customFormat="1" ht="13.5" outlineLevel="1">
      <c r="A215" s="22" t="s">
        <v>51</v>
      </c>
      <c r="B215" s="23"/>
      <c r="C215" s="24"/>
      <c r="D215" s="23"/>
      <c r="E215" s="25">
        <f>SUBTOTAL(9,E202:E214)</f>
        <v>1174499433</v>
      </c>
      <c r="F215" s="26"/>
      <c r="G215" s="25"/>
      <c r="H215" s="27"/>
      <c r="I215" s="26"/>
      <c r="J215" s="26"/>
      <c r="K215" s="25"/>
      <c r="L215" s="25">
        <f>SUBTOTAL(9,L202:L214)</f>
        <v>343990</v>
      </c>
      <c r="M215" s="25">
        <f>SUBTOTAL(9,M202:M214)</f>
        <v>1173059708</v>
      </c>
    </row>
    <row r="216" spans="1:16" s="34" customFormat="1" ht="13.5" outlineLevel="1">
      <c r="A216" s="28"/>
      <c r="B216" s="29"/>
      <c r="C216" s="30"/>
      <c r="D216" s="29"/>
      <c r="E216" s="31"/>
      <c r="F216" s="32"/>
      <c r="G216" s="31"/>
      <c r="H216" s="33"/>
      <c r="I216" s="32"/>
      <c r="J216" s="32"/>
      <c r="K216" s="31"/>
      <c r="L216" s="31"/>
      <c r="M216" s="31"/>
    </row>
    <row r="217" spans="1:16" s="18" customFormat="1" ht="13.5">
      <c r="A217" s="26" t="s">
        <v>52</v>
      </c>
      <c r="B217" s="23"/>
      <c r="C217" s="24"/>
      <c r="D217" s="23"/>
      <c r="E217" s="25">
        <f>SUBTOTAL(9,E4:E214)</f>
        <v>10624286912</v>
      </c>
      <c r="F217" s="26"/>
      <c r="G217" s="25"/>
      <c r="H217" s="27"/>
      <c r="I217" s="26"/>
      <c r="J217" s="26"/>
      <c r="K217" s="25"/>
      <c r="L217" s="25">
        <f>SUBTOTAL(9,L4:L214)</f>
        <v>3707634</v>
      </c>
      <c r="M217" s="25">
        <f>SUBTOTAL(9,M4:M214)</f>
        <v>10564368833</v>
      </c>
    </row>
    <row r="218" spans="1:16" s="18" customForma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</row>
    <row r="219" spans="1:16">
      <c r="A219" s="35" t="s">
        <v>53</v>
      </c>
      <c r="B219" s="35"/>
      <c r="E219" s="36" t="s">
        <v>55</v>
      </c>
      <c r="G219" s="6"/>
      <c r="H219" s="38" t="s">
        <v>54</v>
      </c>
      <c r="I219" s="37"/>
    </row>
    <row r="220" spans="1:16" s="18" customForma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</row>
    <row r="221" spans="1:16" s="18" customForma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</row>
    <row r="222" spans="1:16" s="18" customForma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</row>
    <row r="223" spans="1:16" s="18" customForma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s="18" customForma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</row>
    <row r="225" spans="1:16" s="18" customForma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</row>
    <row r="226" spans="1:16" s="18" customForma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 spans="1:16" s="18" customForma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</row>
    <row r="228" spans="1:16" s="18" customForma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</row>
    <row r="229" spans="1:16" s="18" customForma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</row>
    <row r="230" spans="1:16" s="18" customForma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</row>
    <row r="231" spans="1:16" s="18" customForma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s="18" customForma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</row>
    <row r="233" spans="1:16" s="18" customForma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</row>
    <row r="234" spans="1:16" s="18" customForma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6" s="18" customForma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6" s="18" customForma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6" s="18" customForma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</row>
    <row r="238" spans="1:16" s="18" customForma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</row>
    <row r="239" spans="1:16" s="18" customForma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</row>
    <row r="240" spans="1:16" s="18" customForma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</row>
    <row r="241" spans="1:16" s="18" customForma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</row>
    <row r="242" spans="1:16" s="18" customForma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s="18" customForma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</row>
    <row r="244" spans="1:16" s="18" customForma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</row>
    <row r="245" spans="1:16" s="18" customForma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</row>
    <row r="246" spans="1:16" s="18" customForma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</row>
    <row r="247" spans="1:16" s="18" customForma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</row>
    <row r="248" spans="1:16" s="18" customForma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</row>
    <row r="249" spans="1:16" s="18" customForma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</row>
    <row r="250" spans="1:16" s="18" customForma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 spans="1:16" s="18" customForma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</row>
    <row r="252" spans="1:16" s="18" customForma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1:16" s="18" customForma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 spans="1:16" s="18" customForma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</row>
    <row r="255" spans="1:16" s="18" customForma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</row>
    <row r="256" spans="1:16" s="18" customForma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</row>
    <row r="257" spans="1:16" s="18" customForma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</row>
    <row r="258" spans="1:16" s="18" customForma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 s="18" customForma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</sheetData>
  <autoFilter ref="A3:M215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91D1-551B-4746-A02C-7BBF691BB805}">
  <dimension ref="A1:P842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7.73046875" style="6" bestFit="1" customWidth="1"/>
    <col min="2" max="2" width="8.73046875" style="6" bestFit="1" customWidth="1"/>
    <col min="3" max="3" width="21.46484375" style="6" bestFit="1" customWidth="1"/>
    <col min="4" max="4" width="12" style="6" bestFit="1" customWidth="1"/>
    <col min="5" max="5" width="14.59765625" style="10" bestFit="1" customWidth="1"/>
    <col min="6" max="6" width="12" style="11" bestFit="1" customWidth="1"/>
    <col min="7" max="7" width="12" style="10" bestFit="1" customWidth="1"/>
    <col min="8" max="8" width="10.33203125" style="12" bestFit="1" customWidth="1"/>
    <col min="9" max="10" width="8.73046875" style="6" customWidth="1"/>
    <col min="11" max="11" width="10.33203125" style="6" bestFit="1" customWidth="1"/>
    <col min="12" max="12" width="10.33203125" style="10" bestFit="1" customWidth="1"/>
    <col min="13" max="13" width="14.5976562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44074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44044</v>
      </c>
      <c r="J4" s="19">
        <v>44074</v>
      </c>
      <c r="K4" s="3">
        <f t="shared" ref="K4:K20" si="0">J4-I4+1</f>
        <v>31</v>
      </c>
      <c r="L4" s="3">
        <f t="shared" ref="L4:L20" si="1">ROUND(G4*H4*K4/366,0)</f>
        <v>68818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44044</v>
      </c>
      <c r="J5" s="19">
        <v>44074</v>
      </c>
      <c r="K5" s="3">
        <f t="shared" si="0"/>
        <v>31</v>
      </c>
      <c r="L5" s="3">
        <f t="shared" si="1"/>
        <v>610</v>
      </c>
      <c r="M5" s="3">
        <v>2400000</v>
      </c>
    </row>
    <row r="6" spans="1:13" s="18" customFormat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44044</v>
      </c>
      <c r="J6" s="19">
        <v>44074</v>
      </c>
      <c r="K6" s="3">
        <f t="shared" si="0"/>
        <v>31</v>
      </c>
      <c r="L6" s="3">
        <f t="shared" si="1"/>
        <v>3121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44044</v>
      </c>
      <c r="J7" s="19">
        <v>44074</v>
      </c>
      <c r="K7" s="3">
        <f t="shared" si="0"/>
        <v>31</v>
      </c>
      <c r="L7" s="3">
        <f t="shared" si="1"/>
        <v>2494</v>
      </c>
      <c r="M7" s="3">
        <v>5890000</v>
      </c>
    </row>
    <row r="8" spans="1:13" s="18" customFormat="1" outlineLevel="2">
      <c r="A8" s="19" t="s">
        <v>15</v>
      </c>
      <c r="B8" s="20" t="s">
        <v>65</v>
      </c>
      <c r="C8" s="21" t="s">
        <v>158</v>
      </c>
      <c r="D8" s="20" t="s">
        <v>157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44044</v>
      </c>
      <c r="J8" s="19">
        <v>44074</v>
      </c>
      <c r="K8" s="3">
        <f t="shared" si="0"/>
        <v>31</v>
      </c>
      <c r="L8" s="3">
        <f t="shared" si="1"/>
        <v>1279</v>
      </c>
      <c r="M8" s="3">
        <v>3020000</v>
      </c>
    </row>
    <row r="9" spans="1:13" s="18" customFormat="1" outlineLevel="2">
      <c r="A9" s="19" t="s">
        <v>15</v>
      </c>
      <c r="B9" s="20" t="s">
        <v>64</v>
      </c>
      <c r="C9" s="21" t="s">
        <v>97</v>
      </c>
      <c r="D9" s="20" t="s">
        <v>96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44044</v>
      </c>
      <c r="J9" s="19">
        <v>44074</v>
      </c>
      <c r="K9" s="3">
        <f t="shared" si="0"/>
        <v>31</v>
      </c>
      <c r="L9" s="3">
        <f t="shared" si="1"/>
        <v>35828</v>
      </c>
      <c r="M9" s="3">
        <v>84600000</v>
      </c>
    </row>
    <row r="10" spans="1:13" s="18" customFormat="1" outlineLevel="2">
      <c r="A10" s="19" t="s">
        <v>15</v>
      </c>
      <c r="B10" s="20" t="s">
        <v>85</v>
      </c>
      <c r="C10" s="21" t="s">
        <v>97</v>
      </c>
      <c r="D10" s="20" t="s">
        <v>96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44044</v>
      </c>
      <c r="J10" s="19">
        <v>44074</v>
      </c>
      <c r="K10" s="3">
        <f t="shared" si="0"/>
        <v>31</v>
      </c>
      <c r="L10" s="3">
        <f t="shared" si="1"/>
        <v>25410</v>
      </c>
      <c r="M10" s="3">
        <v>60000000</v>
      </c>
    </row>
    <row r="11" spans="1:13" s="18" customFormat="1" outlineLevel="2">
      <c r="A11" s="19" t="s">
        <v>15</v>
      </c>
      <c r="B11" s="20" t="s">
        <v>84</v>
      </c>
      <c r="C11" s="21" t="s">
        <v>69</v>
      </c>
      <c r="D11" s="20" t="s">
        <v>68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44044</v>
      </c>
      <c r="J11" s="19">
        <v>44074</v>
      </c>
      <c r="K11" s="3">
        <f t="shared" si="0"/>
        <v>31</v>
      </c>
      <c r="L11" s="3">
        <f t="shared" si="1"/>
        <v>41164</v>
      </c>
      <c r="M11" s="3">
        <v>162000000</v>
      </c>
    </row>
    <row r="12" spans="1:13" s="18" customFormat="1" outlineLevel="2">
      <c r="A12" s="19" t="s">
        <v>15</v>
      </c>
      <c r="B12" s="20" t="s">
        <v>83</v>
      </c>
      <c r="C12" s="21" t="s">
        <v>17</v>
      </c>
      <c r="D12" s="20" t="s">
        <v>18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44071</v>
      </c>
      <c r="J12" s="19">
        <v>44074</v>
      </c>
      <c r="K12" s="3">
        <f t="shared" si="0"/>
        <v>4</v>
      </c>
      <c r="L12" s="3">
        <f t="shared" si="1"/>
        <v>227</v>
      </c>
      <c r="M12" s="3">
        <v>4147000</v>
      </c>
    </row>
    <row r="13" spans="1:13" s="18" customFormat="1" outlineLevel="2">
      <c r="A13" s="19" t="s">
        <v>15</v>
      </c>
      <c r="B13" s="20" t="s">
        <v>23</v>
      </c>
      <c r="C13" s="21" t="s">
        <v>17</v>
      </c>
      <c r="D13" s="20" t="s">
        <v>18</v>
      </c>
      <c r="E13" s="3">
        <v>6430000</v>
      </c>
      <c r="F13" s="19">
        <v>43920</v>
      </c>
      <c r="G13" s="3">
        <v>6430000</v>
      </c>
      <c r="H13" s="2">
        <v>5.0000000000000001E-3</v>
      </c>
      <c r="I13" s="19">
        <v>44044</v>
      </c>
      <c r="J13" s="19">
        <v>44074</v>
      </c>
      <c r="K13" s="3">
        <f t="shared" si="0"/>
        <v>31</v>
      </c>
      <c r="L13" s="3">
        <f t="shared" si="1"/>
        <v>2723</v>
      </c>
      <c r="M13" s="3">
        <v>6430000</v>
      </c>
    </row>
    <row r="14" spans="1:13" s="18" customFormat="1" outlineLevel="2">
      <c r="A14" s="19" t="s">
        <v>15</v>
      </c>
      <c r="B14" s="20" t="s">
        <v>29</v>
      </c>
      <c r="C14" s="21" t="s">
        <v>57</v>
      </c>
      <c r="D14" s="20" t="s">
        <v>56</v>
      </c>
      <c r="E14" s="3">
        <v>28600000</v>
      </c>
      <c r="F14" s="19">
        <v>43921</v>
      </c>
      <c r="G14" s="3">
        <v>28600000</v>
      </c>
      <c r="H14" s="2">
        <v>5.0000000000000001E-3</v>
      </c>
      <c r="I14" s="19">
        <v>44044</v>
      </c>
      <c r="J14" s="19">
        <v>44074</v>
      </c>
      <c r="K14" s="3">
        <f t="shared" si="0"/>
        <v>31</v>
      </c>
      <c r="L14" s="3">
        <f t="shared" si="1"/>
        <v>12112</v>
      </c>
      <c r="M14" s="3">
        <v>28600000</v>
      </c>
    </row>
    <row r="15" spans="1:13" s="18" customFormat="1" outlineLevel="2">
      <c r="A15" s="19" t="s">
        <v>15</v>
      </c>
      <c r="B15" s="20" t="s">
        <v>30</v>
      </c>
      <c r="C15" s="21" t="s">
        <v>74</v>
      </c>
      <c r="D15" s="20" t="s">
        <v>73</v>
      </c>
      <c r="E15" s="3">
        <v>20000000</v>
      </c>
      <c r="F15" s="19">
        <v>43922</v>
      </c>
      <c r="G15" s="3">
        <v>20000000</v>
      </c>
      <c r="H15" s="2">
        <v>5.0000000000000001E-3</v>
      </c>
      <c r="I15" s="19">
        <v>44044</v>
      </c>
      <c r="J15" s="19">
        <v>44074</v>
      </c>
      <c r="K15" s="3">
        <f t="shared" si="0"/>
        <v>31</v>
      </c>
      <c r="L15" s="3">
        <f t="shared" si="1"/>
        <v>8470</v>
      </c>
      <c r="M15" s="3">
        <v>20000000</v>
      </c>
    </row>
    <row r="16" spans="1:13" s="18" customFormat="1" outlineLevel="2">
      <c r="A16" s="19" t="s">
        <v>15</v>
      </c>
      <c r="B16" s="20" t="s">
        <v>31</v>
      </c>
      <c r="C16" s="21" t="s">
        <v>57</v>
      </c>
      <c r="D16" s="20" t="s">
        <v>56</v>
      </c>
      <c r="E16" s="3">
        <v>10000000</v>
      </c>
      <c r="F16" s="19">
        <v>43934</v>
      </c>
      <c r="G16" s="3">
        <v>10000000</v>
      </c>
      <c r="H16" s="2">
        <v>5.0000000000000001E-3</v>
      </c>
      <c r="I16" s="19">
        <v>44044</v>
      </c>
      <c r="J16" s="19">
        <v>44074</v>
      </c>
      <c r="K16" s="3">
        <f t="shared" si="0"/>
        <v>31</v>
      </c>
      <c r="L16" s="3">
        <f t="shared" si="1"/>
        <v>4235</v>
      </c>
      <c r="M16" s="3">
        <v>10000000</v>
      </c>
    </row>
    <row r="17" spans="1:13" s="18" customFormat="1" outlineLevel="2">
      <c r="A17" s="19" t="s">
        <v>15</v>
      </c>
      <c r="B17" s="20" t="s">
        <v>32</v>
      </c>
      <c r="C17" s="21" t="s">
        <v>57</v>
      </c>
      <c r="D17" s="20" t="s">
        <v>56</v>
      </c>
      <c r="E17" s="3">
        <v>30000000</v>
      </c>
      <c r="F17" s="19">
        <v>43937</v>
      </c>
      <c r="G17" s="3">
        <v>30000000</v>
      </c>
      <c r="H17" s="2">
        <v>5.0000000000000001E-3</v>
      </c>
      <c r="I17" s="19">
        <v>44044</v>
      </c>
      <c r="J17" s="19">
        <v>44074</v>
      </c>
      <c r="K17" s="3">
        <f t="shared" si="0"/>
        <v>31</v>
      </c>
      <c r="L17" s="3">
        <f t="shared" si="1"/>
        <v>12705</v>
      </c>
      <c r="M17" s="3">
        <v>30000000</v>
      </c>
    </row>
    <row r="18" spans="1:13" s="18" customFormat="1" outlineLevel="2">
      <c r="A18" s="19" t="s">
        <v>15</v>
      </c>
      <c r="B18" s="20" t="s">
        <v>48</v>
      </c>
      <c r="C18" s="21" t="s">
        <v>57</v>
      </c>
      <c r="D18" s="20" t="s">
        <v>56</v>
      </c>
      <c r="E18" s="3">
        <v>58360000</v>
      </c>
      <c r="F18" s="19">
        <v>43929</v>
      </c>
      <c r="G18" s="3">
        <v>58360000</v>
      </c>
      <c r="H18" s="2">
        <v>5.0000000000000001E-3</v>
      </c>
      <c r="I18" s="19">
        <v>44044</v>
      </c>
      <c r="J18" s="19">
        <v>44074</v>
      </c>
      <c r="K18" s="3">
        <f t="shared" si="0"/>
        <v>31</v>
      </c>
      <c r="L18" s="3">
        <f t="shared" si="1"/>
        <v>24715</v>
      </c>
      <c r="M18" s="3">
        <v>58360000</v>
      </c>
    </row>
    <row r="19" spans="1:13" s="18" customFormat="1" outlineLevel="2">
      <c r="A19" s="19" t="s">
        <v>15</v>
      </c>
      <c r="B19" s="20" t="s">
        <v>59</v>
      </c>
      <c r="C19" s="21" t="s">
        <v>113</v>
      </c>
      <c r="D19" s="20" t="s">
        <v>112</v>
      </c>
      <c r="E19" s="3">
        <v>64000000</v>
      </c>
      <c r="F19" s="19">
        <v>43966</v>
      </c>
      <c r="G19" s="3">
        <v>64000000</v>
      </c>
      <c r="H19" s="2">
        <v>5.0000000000000001E-3</v>
      </c>
      <c r="I19" s="19">
        <v>44044</v>
      </c>
      <c r="J19" s="19">
        <v>44074</v>
      </c>
      <c r="K19" s="3">
        <f t="shared" si="0"/>
        <v>31</v>
      </c>
      <c r="L19" s="3">
        <f t="shared" si="1"/>
        <v>27104</v>
      </c>
      <c r="M19" s="3">
        <v>64000000</v>
      </c>
    </row>
    <row r="20" spans="1:13" s="18" customFormat="1" outlineLevel="2">
      <c r="A20" s="19" t="s">
        <v>15</v>
      </c>
      <c r="B20" s="20" t="s">
        <v>58</v>
      </c>
      <c r="C20" s="21" t="s">
        <v>57</v>
      </c>
      <c r="D20" s="20" t="s">
        <v>56</v>
      </c>
      <c r="E20" s="3">
        <v>11400000</v>
      </c>
      <c r="F20" s="19">
        <v>43962</v>
      </c>
      <c r="G20" s="3">
        <v>11400000</v>
      </c>
      <c r="H20" s="2">
        <v>5.0000000000000001E-3</v>
      </c>
      <c r="I20" s="19">
        <v>44044</v>
      </c>
      <c r="J20" s="19">
        <v>44074</v>
      </c>
      <c r="K20" s="3">
        <f t="shared" si="0"/>
        <v>31</v>
      </c>
      <c r="L20" s="3">
        <f t="shared" si="1"/>
        <v>4828</v>
      </c>
      <c r="M20" s="3">
        <v>11400000</v>
      </c>
    </row>
    <row r="21" spans="1:13" s="18" customFormat="1" ht="13.5" outlineLevel="1">
      <c r="A21" s="22" t="s">
        <v>19</v>
      </c>
      <c r="B21" s="39"/>
      <c r="C21" s="40"/>
      <c r="D21" s="39"/>
      <c r="E21" s="41">
        <f>SUBTOTAL(9,E4:E20)</f>
        <v>720717000</v>
      </c>
      <c r="F21" s="42"/>
      <c r="G21" s="41"/>
      <c r="H21" s="43"/>
      <c r="I21" s="42"/>
      <c r="J21" s="42"/>
      <c r="K21" s="41"/>
      <c r="L21" s="41">
        <f>SUBTOTAL(9,L4:L20)</f>
        <v>275843</v>
      </c>
      <c r="M21" s="41">
        <f>SUBTOTAL(9,M4:M20)</f>
        <v>720717000</v>
      </c>
    </row>
    <row r="22" spans="1:13" s="18" customFormat="1" outlineLevel="2">
      <c r="A22" s="19" t="s">
        <v>183</v>
      </c>
      <c r="B22" s="20" t="s">
        <v>16</v>
      </c>
      <c r="C22" s="21" t="s">
        <v>182</v>
      </c>
      <c r="D22" s="20" t="s">
        <v>157</v>
      </c>
      <c r="E22" s="3">
        <v>21330000</v>
      </c>
      <c r="F22" s="19">
        <v>44046</v>
      </c>
      <c r="G22" s="3">
        <v>21330000</v>
      </c>
      <c r="H22" s="2">
        <v>5.0000000000000001E-3</v>
      </c>
      <c r="I22" s="19">
        <v>44046</v>
      </c>
      <c r="J22" s="19">
        <v>44074</v>
      </c>
      <c r="K22" s="3">
        <f>J22-I22+1</f>
        <v>29</v>
      </c>
      <c r="L22" s="3">
        <f>ROUND(G22*H22*K22/366,0)</f>
        <v>8450</v>
      </c>
      <c r="M22" s="3">
        <v>21330000</v>
      </c>
    </row>
    <row r="23" spans="1:13" s="18" customFormat="1" outlineLevel="2">
      <c r="A23" s="19" t="s">
        <v>183</v>
      </c>
      <c r="B23" s="20" t="s">
        <v>23</v>
      </c>
      <c r="C23" s="21" t="s">
        <v>182</v>
      </c>
      <c r="D23" s="20" t="s">
        <v>157</v>
      </c>
      <c r="E23" s="3">
        <v>8670000</v>
      </c>
      <c r="F23" s="19">
        <v>44060</v>
      </c>
      <c r="G23" s="3">
        <v>8670000</v>
      </c>
      <c r="H23" s="2">
        <v>5.0000000000000001E-3</v>
      </c>
      <c r="I23" s="19">
        <v>44060</v>
      </c>
      <c r="J23" s="19">
        <v>44074</v>
      </c>
      <c r="K23" s="3">
        <f>J23-I23+1</f>
        <v>15</v>
      </c>
      <c r="L23" s="3">
        <f>ROUND(G23*H23*K23/366,0)</f>
        <v>1777</v>
      </c>
      <c r="M23" s="3">
        <v>8670000</v>
      </c>
    </row>
    <row r="24" spans="1:13" s="18" customFormat="1" ht="13.5" outlineLevel="1">
      <c r="A24" s="22" t="s">
        <v>181</v>
      </c>
      <c r="B24" s="39"/>
      <c r="C24" s="40"/>
      <c r="D24" s="39"/>
      <c r="E24" s="41">
        <f>SUBTOTAL(9,E22:E23)</f>
        <v>30000000</v>
      </c>
      <c r="F24" s="42"/>
      <c r="G24" s="41"/>
      <c r="H24" s="43"/>
      <c r="I24" s="42"/>
      <c r="J24" s="42"/>
      <c r="K24" s="41"/>
      <c r="L24" s="41">
        <f>SUBTOTAL(9,L22:L23)</f>
        <v>10227</v>
      </c>
      <c r="M24" s="41">
        <f>SUBTOTAL(9,M22:M23)</f>
        <v>30000000</v>
      </c>
    </row>
    <row r="25" spans="1:13" s="18" customFormat="1" outlineLevel="2">
      <c r="A25" s="19" t="s">
        <v>80</v>
      </c>
      <c r="B25" s="20" t="s">
        <v>16</v>
      </c>
      <c r="C25" s="21" t="s">
        <v>57</v>
      </c>
      <c r="D25" s="20" t="s">
        <v>56</v>
      </c>
      <c r="E25" s="3">
        <v>26500000</v>
      </c>
      <c r="F25" s="19">
        <v>43907</v>
      </c>
      <c r="G25" s="3">
        <v>25238096</v>
      </c>
      <c r="H25" s="2">
        <v>5.0000000000000001E-3</v>
      </c>
      <c r="I25" s="19">
        <v>44044</v>
      </c>
      <c r="J25" s="19">
        <v>44059</v>
      </c>
      <c r="K25" s="3">
        <f t="shared" ref="K25:K41" si="2">J25-I25+1</f>
        <v>16</v>
      </c>
      <c r="L25" s="3">
        <f t="shared" ref="L25:L41" si="3">ROUND(G25*H25*K25/366,0)</f>
        <v>5517</v>
      </c>
      <c r="M25" s="3">
        <v>24922620</v>
      </c>
    </row>
    <row r="26" spans="1:13" s="18" customFormat="1" outlineLevel="2">
      <c r="A26" s="19" t="s">
        <v>80</v>
      </c>
      <c r="B26" s="20" t="s">
        <v>16</v>
      </c>
      <c r="C26" s="21" t="s">
        <v>57</v>
      </c>
      <c r="D26" s="20"/>
      <c r="E26" s="3"/>
      <c r="F26" s="19"/>
      <c r="G26" s="3">
        <v>24922620</v>
      </c>
      <c r="H26" s="2">
        <v>5.0000000000000001E-3</v>
      </c>
      <c r="I26" s="19">
        <v>44060</v>
      </c>
      <c r="J26" s="19">
        <v>44074</v>
      </c>
      <c r="K26" s="3">
        <f t="shared" si="2"/>
        <v>15</v>
      </c>
      <c r="L26" s="3">
        <f t="shared" si="3"/>
        <v>5107</v>
      </c>
      <c r="M26" s="3"/>
    </row>
    <row r="27" spans="1:13" s="18" customFormat="1" outlineLevel="2">
      <c r="A27" s="19" t="s">
        <v>80</v>
      </c>
      <c r="B27" s="20" t="s">
        <v>61</v>
      </c>
      <c r="C27" s="21" t="s">
        <v>162</v>
      </c>
      <c r="D27" s="20" t="s">
        <v>161</v>
      </c>
      <c r="E27" s="3">
        <v>130000000</v>
      </c>
      <c r="F27" s="19">
        <v>44013</v>
      </c>
      <c r="G27" s="3">
        <v>130000000</v>
      </c>
      <c r="H27" s="2">
        <v>5.0000000000000001E-3</v>
      </c>
      <c r="I27" s="19">
        <v>44044</v>
      </c>
      <c r="J27" s="19">
        <v>44074</v>
      </c>
      <c r="K27" s="3">
        <f t="shared" si="2"/>
        <v>31</v>
      </c>
      <c r="L27" s="3">
        <f t="shared" si="3"/>
        <v>55055</v>
      </c>
      <c r="M27" s="3">
        <v>130000000</v>
      </c>
    </row>
    <row r="28" spans="1:13" s="18" customFormat="1" outlineLevel="2">
      <c r="A28" s="19" t="s">
        <v>80</v>
      </c>
      <c r="B28" s="20" t="s">
        <v>60</v>
      </c>
      <c r="C28" s="21" t="s">
        <v>137</v>
      </c>
      <c r="D28" s="20" t="s">
        <v>136</v>
      </c>
      <c r="E28" s="3">
        <v>3400000</v>
      </c>
      <c r="F28" s="19">
        <v>44063</v>
      </c>
      <c r="G28" s="3">
        <v>3400000</v>
      </c>
      <c r="H28" s="2">
        <v>5.0000000000000001E-3</v>
      </c>
      <c r="I28" s="19">
        <v>44063</v>
      </c>
      <c r="J28" s="19">
        <v>44074</v>
      </c>
      <c r="K28" s="3">
        <f t="shared" si="2"/>
        <v>12</v>
      </c>
      <c r="L28" s="3">
        <f t="shared" si="3"/>
        <v>557</v>
      </c>
      <c r="M28" s="3">
        <v>3400000</v>
      </c>
    </row>
    <row r="29" spans="1:13" s="18" customFormat="1" outlineLevel="2">
      <c r="A29" s="19" t="s">
        <v>80</v>
      </c>
      <c r="B29" s="20" t="s">
        <v>66</v>
      </c>
      <c r="C29" s="21" t="s">
        <v>137</v>
      </c>
      <c r="D29" s="20" t="s">
        <v>136</v>
      </c>
      <c r="E29" s="3">
        <v>9800000</v>
      </c>
      <c r="F29" s="19">
        <v>44071</v>
      </c>
      <c r="G29" s="3">
        <v>9800000</v>
      </c>
      <c r="H29" s="2">
        <v>5.0000000000000001E-3</v>
      </c>
      <c r="I29" s="19">
        <v>44071</v>
      </c>
      <c r="J29" s="19">
        <v>44074</v>
      </c>
      <c r="K29" s="3">
        <f t="shared" si="2"/>
        <v>4</v>
      </c>
      <c r="L29" s="3">
        <f t="shared" si="3"/>
        <v>536</v>
      </c>
      <c r="M29" s="3">
        <v>9800000</v>
      </c>
    </row>
    <row r="30" spans="1:13" s="18" customFormat="1" outlineLevel="2">
      <c r="A30" s="19" t="s">
        <v>80</v>
      </c>
      <c r="B30" s="20" t="s">
        <v>65</v>
      </c>
      <c r="C30" s="21" t="s">
        <v>135</v>
      </c>
      <c r="D30" s="20" t="s">
        <v>134</v>
      </c>
      <c r="E30" s="3">
        <v>201000000</v>
      </c>
      <c r="F30" s="19">
        <v>44064</v>
      </c>
      <c r="G30" s="3">
        <v>201000000</v>
      </c>
      <c r="H30" s="2">
        <v>5.0000000000000001E-3</v>
      </c>
      <c r="I30" s="19">
        <v>44064</v>
      </c>
      <c r="J30" s="19">
        <v>44074</v>
      </c>
      <c r="K30" s="3">
        <f t="shared" si="2"/>
        <v>11</v>
      </c>
      <c r="L30" s="3">
        <f t="shared" si="3"/>
        <v>30205</v>
      </c>
      <c r="M30" s="3">
        <v>201000000</v>
      </c>
    </row>
    <row r="31" spans="1:13" s="18" customFormat="1" outlineLevel="2">
      <c r="A31" s="19" t="s">
        <v>80</v>
      </c>
      <c r="B31" s="20" t="s">
        <v>23</v>
      </c>
      <c r="C31" s="21" t="s">
        <v>74</v>
      </c>
      <c r="D31" s="20" t="s">
        <v>73</v>
      </c>
      <c r="E31" s="3">
        <v>90000000</v>
      </c>
      <c r="F31" s="19">
        <v>43913</v>
      </c>
      <c r="G31" s="3">
        <v>90000000</v>
      </c>
      <c r="H31" s="2">
        <v>5.0000000000000001E-3</v>
      </c>
      <c r="I31" s="19">
        <v>44044</v>
      </c>
      <c r="J31" s="19">
        <v>44074</v>
      </c>
      <c r="K31" s="3">
        <f t="shared" si="2"/>
        <v>31</v>
      </c>
      <c r="L31" s="3">
        <f t="shared" si="3"/>
        <v>38115</v>
      </c>
      <c r="M31" s="3">
        <v>90000000</v>
      </c>
    </row>
    <row r="32" spans="1:13" s="18" customFormat="1" outlineLevel="2">
      <c r="A32" s="19" t="s">
        <v>80</v>
      </c>
      <c r="B32" s="20" t="s">
        <v>29</v>
      </c>
      <c r="C32" s="21" t="s">
        <v>57</v>
      </c>
      <c r="D32" s="20" t="s">
        <v>56</v>
      </c>
      <c r="E32" s="3">
        <v>23500000</v>
      </c>
      <c r="F32" s="19">
        <v>43928</v>
      </c>
      <c r="G32" s="3">
        <v>22380948</v>
      </c>
      <c r="H32" s="2">
        <v>5.0000000000000001E-3</v>
      </c>
      <c r="I32" s="19">
        <v>44044</v>
      </c>
      <c r="J32" s="19">
        <v>44059</v>
      </c>
      <c r="K32" s="3">
        <f t="shared" si="2"/>
        <v>16</v>
      </c>
      <c r="L32" s="3">
        <f t="shared" si="3"/>
        <v>4892</v>
      </c>
      <c r="M32" s="3">
        <v>22101185</v>
      </c>
    </row>
    <row r="33" spans="1:13" s="18" customFormat="1" outlineLevel="2">
      <c r="A33" s="19" t="s">
        <v>80</v>
      </c>
      <c r="B33" s="20" t="s">
        <v>29</v>
      </c>
      <c r="C33" s="21" t="s">
        <v>57</v>
      </c>
      <c r="D33" s="20"/>
      <c r="E33" s="3"/>
      <c r="F33" s="19"/>
      <c r="G33" s="3">
        <v>22101185</v>
      </c>
      <c r="H33" s="2">
        <v>5.0000000000000001E-3</v>
      </c>
      <c r="I33" s="19">
        <v>44060</v>
      </c>
      <c r="J33" s="19">
        <v>44074</v>
      </c>
      <c r="K33" s="3">
        <f t="shared" si="2"/>
        <v>15</v>
      </c>
      <c r="L33" s="3">
        <f t="shared" si="3"/>
        <v>4529</v>
      </c>
      <c r="M33" s="3"/>
    </row>
    <row r="34" spans="1:13" s="18" customFormat="1" outlineLevel="2">
      <c r="A34" s="19" t="s">
        <v>80</v>
      </c>
      <c r="B34" s="20" t="s">
        <v>30</v>
      </c>
      <c r="C34" s="21" t="s">
        <v>137</v>
      </c>
      <c r="D34" s="20" t="s">
        <v>136</v>
      </c>
      <c r="E34" s="3">
        <v>7000000</v>
      </c>
      <c r="F34" s="19">
        <v>44004</v>
      </c>
      <c r="G34" s="3">
        <v>6883333</v>
      </c>
      <c r="H34" s="2">
        <v>5.0000000000000001E-3</v>
      </c>
      <c r="I34" s="19">
        <v>44044</v>
      </c>
      <c r="J34" s="19">
        <v>44059</v>
      </c>
      <c r="K34" s="3">
        <f t="shared" si="2"/>
        <v>16</v>
      </c>
      <c r="L34" s="3">
        <f t="shared" si="3"/>
        <v>1505</v>
      </c>
      <c r="M34" s="3">
        <v>6766666</v>
      </c>
    </row>
    <row r="35" spans="1:13" s="18" customFormat="1" outlineLevel="2">
      <c r="A35" s="19" t="s">
        <v>80</v>
      </c>
      <c r="B35" s="20" t="s">
        <v>30</v>
      </c>
      <c r="C35" s="21" t="s">
        <v>137</v>
      </c>
      <c r="D35" s="20"/>
      <c r="E35" s="3"/>
      <c r="F35" s="19"/>
      <c r="G35" s="3">
        <v>6766666</v>
      </c>
      <c r="H35" s="2">
        <v>5.0000000000000001E-3</v>
      </c>
      <c r="I35" s="19">
        <v>44060</v>
      </c>
      <c r="J35" s="19">
        <v>44074</v>
      </c>
      <c r="K35" s="3">
        <f t="shared" si="2"/>
        <v>15</v>
      </c>
      <c r="L35" s="3">
        <f t="shared" si="3"/>
        <v>1387</v>
      </c>
      <c r="M35" s="3"/>
    </row>
    <row r="36" spans="1:13" s="18" customFormat="1" outlineLevel="2">
      <c r="A36" s="19" t="s">
        <v>80</v>
      </c>
      <c r="B36" s="20" t="s">
        <v>31</v>
      </c>
      <c r="C36" s="21" t="s">
        <v>135</v>
      </c>
      <c r="D36" s="20" t="s">
        <v>134</v>
      </c>
      <c r="E36" s="3">
        <v>298410000</v>
      </c>
      <c r="F36" s="19">
        <v>44006</v>
      </c>
      <c r="G36" s="3">
        <v>298410000</v>
      </c>
      <c r="H36" s="2">
        <v>5.0000000000000001E-3</v>
      </c>
      <c r="I36" s="19">
        <v>44044</v>
      </c>
      <c r="J36" s="19">
        <v>44074</v>
      </c>
      <c r="K36" s="3">
        <f t="shared" si="2"/>
        <v>31</v>
      </c>
      <c r="L36" s="3">
        <f t="shared" si="3"/>
        <v>126376</v>
      </c>
      <c r="M36" s="3">
        <v>298410000</v>
      </c>
    </row>
    <row r="37" spans="1:13" s="18" customFormat="1" outlineLevel="2">
      <c r="A37" s="19" t="s">
        <v>80</v>
      </c>
      <c r="B37" s="20" t="s">
        <v>32</v>
      </c>
      <c r="C37" s="21" t="s">
        <v>135</v>
      </c>
      <c r="D37" s="20" t="s">
        <v>134</v>
      </c>
      <c r="E37" s="3">
        <v>95370000</v>
      </c>
      <c r="F37" s="19">
        <v>44006</v>
      </c>
      <c r="G37" s="3">
        <v>95370000</v>
      </c>
      <c r="H37" s="2">
        <v>5.0000000000000001E-3</v>
      </c>
      <c r="I37" s="19">
        <v>44044</v>
      </c>
      <c r="J37" s="19">
        <v>44074</v>
      </c>
      <c r="K37" s="3">
        <f t="shared" si="2"/>
        <v>31</v>
      </c>
      <c r="L37" s="3">
        <f t="shared" si="3"/>
        <v>40389</v>
      </c>
      <c r="M37" s="3">
        <v>95370000</v>
      </c>
    </row>
    <row r="38" spans="1:13" s="18" customFormat="1" outlineLevel="2">
      <c r="A38" s="19" t="s">
        <v>80</v>
      </c>
      <c r="B38" s="20" t="s">
        <v>48</v>
      </c>
      <c r="C38" s="21" t="s">
        <v>135</v>
      </c>
      <c r="D38" s="20" t="s">
        <v>134</v>
      </c>
      <c r="E38" s="3">
        <v>73910000</v>
      </c>
      <c r="F38" s="19">
        <v>44032</v>
      </c>
      <c r="G38" s="3">
        <v>73910000</v>
      </c>
      <c r="H38" s="2">
        <v>5.0000000000000001E-3</v>
      </c>
      <c r="I38" s="19">
        <v>44044</v>
      </c>
      <c r="J38" s="19">
        <v>44074</v>
      </c>
      <c r="K38" s="3">
        <f t="shared" si="2"/>
        <v>31</v>
      </c>
      <c r="L38" s="3">
        <f t="shared" si="3"/>
        <v>31301</v>
      </c>
      <c r="M38" s="3">
        <v>73910000</v>
      </c>
    </row>
    <row r="39" spans="1:13" s="18" customFormat="1" outlineLevel="2">
      <c r="A39" s="19" t="s">
        <v>80</v>
      </c>
      <c r="B39" s="20" t="s">
        <v>59</v>
      </c>
      <c r="C39" s="21" t="s">
        <v>135</v>
      </c>
      <c r="D39" s="20" t="s">
        <v>134</v>
      </c>
      <c r="E39" s="3">
        <v>291200000</v>
      </c>
      <c r="F39" s="19">
        <v>44032</v>
      </c>
      <c r="G39" s="3">
        <v>291200000</v>
      </c>
      <c r="H39" s="2">
        <v>3.0000000000000001E-3</v>
      </c>
      <c r="I39" s="19">
        <v>44044</v>
      </c>
      <c r="J39" s="19">
        <v>44074</v>
      </c>
      <c r="K39" s="3">
        <f t="shared" si="2"/>
        <v>31</v>
      </c>
      <c r="L39" s="3">
        <f t="shared" si="3"/>
        <v>73993</v>
      </c>
      <c r="M39" s="3">
        <v>291200000</v>
      </c>
    </row>
    <row r="40" spans="1:13" s="18" customFormat="1" outlineLevel="2">
      <c r="A40" s="19" t="s">
        <v>80</v>
      </c>
      <c r="B40" s="20" t="s">
        <v>58</v>
      </c>
      <c r="C40" s="21" t="s">
        <v>137</v>
      </c>
      <c r="D40" s="20" t="s">
        <v>136</v>
      </c>
      <c r="E40" s="3">
        <v>10000000</v>
      </c>
      <c r="F40" s="19">
        <v>44025</v>
      </c>
      <c r="G40" s="3">
        <v>10000000</v>
      </c>
      <c r="H40" s="2">
        <v>5.0000000000000001E-3</v>
      </c>
      <c r="I40" s="19">
        <v>44044</v>
      </c>
      <c r="J40" s="19">
        <v>44059</v>
      </c>
      <c r="K40" s="3">
        <f t="shared" si="2"/>
        <v>16</v>
      </c>
      <c r="L40" s="3">
        <f t="shared" si="3"/>
        <v>2186</v>
      </c>
      <c r="M40" s="3">
        <v>9830508</v>
      </c>
    </row>
    <row r="41" spans="1:13" s="18" customFormat="1" outlineLevel="2">
      <c r="A41" s="19" t="s">
        <v>80</v>
      </c>
      <c r="B41" s="20" t="s">
        <v>58</v>
      </c>
      <c r="C41" s="21" t="s">
        <v>137</v>
      </c>
      <c r="D41" s="20"/>
      <c r="E41" s="3"/>
      <c r="F41" s="19"/>
      <c r="G41" s="3">
        <v>9830508</v>
      </c>
      <c r="H41" s="2">
        <v>5.0000000000000001E-3</v>
      </c>
      <c r="I41" s="19">
        <v>44060</v>
      </c>
      <c r="J41" s="19">
        <v>44074</v>
      </c>
      <c r="K41" s="3">
        <f t="shared" si="2"/>
        <v>15</v>
      </c>
      <c r="L41" s="3">
        <f t="shared" si="3"/>
        <v>2014</v>
      </c>
      <c r="M41" s="3"/>
    </row>
    <row r="42" spans="1:13" s="18" customFormat="1" ht="13.5" outlineLevel="1">
      <c r="A42" s="22" t="s">
        <v>79</v>
      </c>
      <c r="B42" s="39"/>
      <c r="C42" s="40"/>
      <c r="D42" s="39"/>
      <c r="E42" s="41">
        <f>SUBTOTAL(9,E25:E41)</f>
        <v>1260090000</v>
      </c>
      <c r="F42" s="42"/>
      <c r="G42" s="41"/>
      <c r="H42" s="43"/>
      <c r="I42" s="42"/>
      <c r="J42" s="42"/>
      <c r="K42" s="41"/>
      <c r="L42" s="41">
        <f>SUBTOTAL(9,L25:L41)</f>
        <v>423664</v>
      </c>
      <c r="M42" s="41">
        <f>SUBTOTAL(9,M25:M41)</f>
        <v>1256710979</v>
      </c>
    </row>
    <row r="43" spans="1:13" s="18" customFormat="1" outlineLevel="2">
      <c r="A43" s="19" t="s">
        <v>78</v>
      </c>
      <c r="B43" s="20" t="s">
        <v>16</v>
      </c>
      <c r="C43" s="21" t="s">
        <v>77</v>
      </c>
      <c r="D43" s="20" t="s">
        <v>76</v>
      </c>
      <c r="E43" s="3">
        <v>81465386</v>
      </c>
      <c r="F43" s="19">
        <v>43900</v>
      </c>
      <c r="G43" s="3">
        <v>81465386</v>
      </c>
      <c r="H43" s="2">
        <v>5.0000000000000001E-3</v>
      </c>
      <c r="I43" s="19">
        <v>44044</v>
      </c>
      <c r="J43" s="19">
        <v>44074</v>
      </c>
      <c r="K43" s="3">
        <f t="shared" ref="K43:K68" si="4">J43-I43+1</f>
        <v>31</v>
      </c>
      <c r="L43" s="3">
        <f t="shared" ref="L43:L68" si="5">ROUND(G43*H43*K43/366,0)</f>
        <v>34500</v>
      </c>
      <c r="M43" s="3">
        <v>81465386</v>
      </c>
    </row>
    <row r="44" spans="1:13" s="18" customFormat="1" outlineLevel="2">
      <c r="A44" s="19" t="s">
        <v>78</v>
      </c>
      <c r="B44" s="20" t="s">
        <v>61</v>
      </c>
      <c r="C44" s="21" t="s">
        <v>95</v>
      </c>
      <c r="D44" s="20" t="s">
        <v>94</v>
      </c>
      <c r="E44" s="3">
        <v>8860000</v>
      </c>
      <c r="F44" s="19">
        <v>43997</v>
      </c>
      <c r="G44" s="3">
        <v>8860000</v>
      </c>
      <c r="H44" s="2">
        <v>5.0000000000000001E-3</v>
      </c>
      <c r="I44" s="19">
        <v>44044</v>
      </c>
      <c r="J44" s="19">
        <v>44074</v>
      </c>
      <c r="K44" s="3">
        <f t="shared" si="4"/>
        <v>31</v>
      </c>
      <c r="L44" s="3">
        <f t="shared" si="5"/>
        <v>3752</v>
      </c>
      <c r="M44" s="3">
        <v>8860000</v>
      </c>
    </row>
    <row r="45" spans="1:13" s="18" customFormat="1" outlineLevel="2">
      <c r="A45" s="19" t="s">
        <v>78</v>
      </c>
      <c r="B45" s="20" t="s">
        <v>60</v>
      </c>
      <c r="C45" s="21" t="s">
        <v>93</v>
      </c>
      <c r="D45" s="20" t="s">
        <v>92</v>
      </c>
      <c r="E45" s="3">
        <v>20390000</v>
      </c>
      <c r="F45" s="19">
        <v>43997</v>
      </c>
      <c r="G45" s="3">
        <v>20141342</v>
      </c>
      <c r="H45" s="2">
        <v>5.0000000000000001E-3</v>
      </c>
      <c r="I45" s="19">
        <v>44044</v>
      </c>
      <c r="J45" s="19">
        <v>44059</v>
      </c>
      <c r="K45" s="3">
        <f t="shared" si="4"/>
        <v>16</v>
      </c>
      <c r="L45" s="3">
        <f t="shared" si="5"/>
        <v>4402</v>
      </c>
      <c r="M45" s="3">
        <v>19892684</v>
      </c>
    </row>
    <row r="46" spans="1:13" s="18" customFormat="1" outlineLevel="2">
      <c r="A46" s="19" t="s">
        <v>78</v>
      </c>
      <c r="B46" s="20" t="s">
        <v>60</v>
      </c>
      <c r="C46" s="21" t="s">
        <v>93</v>
      </c>
      <c r="D46" s="20"/>
      <c r="E46" s="3"/>
      <c r="F46" s="19"/>
      <c r="G46" s="3">
        <v>19892684</v>
      </c>
      <c r="H46" s="2">
        <v>5.0000000000000001E-3</v>
      </c>
      <c r="I46" s="19">
        <v>44060</v>
      </c>
      <c r="J46" s="19">
        <v>44074</v>
      </c>
      <c r="K46" s="3">
        <f t="shared" si="4"/>
        <v>15</v>
      </c>
      <c r="L46" s="3">
        <f t="shared" si="5"/>
        <v>4076</v>
      </c>
      <c r="M46" s="3"/>
    </row>
    <row r="47" spans="1:13" s="18" customFormat="1" outlineLevel="2">
      <c r="A47" s="19" t="s">
        <v>78</v>
      </c>
      <c r="B47" s="20" t="s">
        <v>66</v>
      </c>
      <c r="C47" s="21" t="s">
        <v>93</v>
      </c>
      <c r="D47" s="20" t="s">
        <v>92</v>
      </c>
      <c r="E47" s="3">
        <v>69600000</v>
      </c>
      <c r="F47" s="19">
        <v>43997</v>
      </c>
      <c r="G47" s="3">
        <v>69020000</v>
      </c>
      <c r="H47" s="2">
        <v>5.0000000000000001E-3</v>
      </c>
      <c r="I47" s="19">
        <v>44044</v>
      </c>
      <c r="J47" s="19">
        <v>44059</v>
      </c>
      <c r="K47" s="3">
        <f t="shared" si="4"/>
        <v>16</v>
      </c>
      <c r="L47" s="3">
        <f t="shared" si="5"/>
        <v>15086</v>
      </c>
      <c r="M47" s="3">
        <v>68440000</v>
      </c>
    </row>
    <row r="48" spans="1:13" s="18" customFormat="1" outlineLevel="2">
      <c r="A48" s="19" t="s">
        <v>78</v>
      </c>
      <c r="B48" s="20" t="s">
        <v>66</v>
      </c>
      <c r="C48" s="21" t="s">
        <v>93</v>
      </c>
      <c r="D48" s="20"/>
      <c r="E48" s="3"/>
      <c r="F48" s="19"/>
      <c r="G48" s="3">
        <v>68440000</v>
      </c>
      <c r="H48" s="2">
        <v>5.0000000000000001E-3</v>
      </c>
      <c r="I48" s="19">
        <v>44060</v>
      </c>
      <c r="J48" s="19">
        <v>44074</v>
      </c>
      <c r="K48" s="3">
        <f t="shared" si="4"/>
        <v>15</v>
      </c>
      <c r="L48" s="3">
        <f t="shared" si="5"/>
        <v>14025</v>
      </c>
      <c r="M48" s="3"/>
    </row>
    <row r="49" spans="1:13" s="18" customFormat="1" outlineLevel="2">
      <c r="A49" s="19" t="s">
        <v>78</v>
      </c>
      <c r="B49" s="20" t="s">
        <v>65</v>
      </c>
      <c r="C49" s="21" t="s">
        <v>77</v>
      </c>
      <c r="D49" s="20" t="s">
        <v>76</v>
      </c>
      <c r="E49" s="3">
        <v>16630000</v>
      </c>
      <c r="F49" s="19">
        <v>44011</v>
      </c>
      <c r="G49" s="3">
        <v>16630000</v>
      </c>
      <c r="H49" s="2">
        <v>5.0000000000000001E-3</v>
      </c>
      <c r="I49" s="19">
        <v>44044</v>
      </c>
      <c r="J49" s="19">
        <v>44074</v>
      </c>
      <c r="K49" s="3">
        <f t="shared" si="4"/>
        <v>31</v>
      </c>
      <c r="L49" s="3">
        <f t="shared" si="5"/>
        <v>7043</v>
      </c>
      <c r="M49" s="3">
        <v>16630000</v>
      </c>
    </row>
    <row r="50" spans="1:13" s="18" customFormat="1" outlineLevel="2">
      <c r="A50" s="19" t="s">
        <v>78</v>
      </c>
      <c r="B50" s="20" t="s">
        <v>64</v>
      </c>
      <c r="C50" s="21" t="s">
        <v>95</v>
      </c>
      <c r="D50" s="20" t="s">
        <v>94</v>
      </c>
      <c r="E50" s="3">
        <v>4650000</v>
      </c>
      <c r="F50" s="19">
        <v>44027</v>
      </c>
      <c r="G50" s="3">
        <v>4650000</v>
      </c>
      <c r="H50" s="2">
        <v>5.0000000000000001E-3</v>
      </c>
      <c r="I50" s="19">
        <v>44044</v>
      </c>
      <c r="J50" s="19">
        <v>44074</v>
      </c>
      <c r="K50" s="3">
        <f t="shared" si="4"/>
        <v>31</v>
      </c>
      <c r="L50" s="3">
        <f t="shared" si="5"/>
        <v>1969</v>
      </c>
      <c r="M50" s="3">
        <v>4650000</v>
      </c>
    </row>
    <row r="51" spans="1:13" s="18" customFormat="1" outlineLevel="2">
      <c r="A51" s="19" t="s">
        <v>78</v>
      </c>
      <c r="B51" s="20" t="s">
        <v>85</v>
      </c>
      <c r="C51" s="21" t="s">
        <v>93</v>
      </c>
      <c r="D51" s="20" t="s">
        <v>92</v>
      </c>
      <c r="E51" s="3">
        <v>10860000</v>
      </c>
      <c r="F51" s="19">
        <v>44027</v>
      </c>
      <c r="G51" s="3">
        <v>10860000</v>
      </c>
      <c r="H51" s="2">
        <v>5.0000000000000001E-3</v>
      </c>
      <c r="I51" s="19">
        <v>44044</v>
      </c>
      <c r="J51" s="19">
        <v>44059</v>
      </c>
      <c r="K51" s="3">
        <f t="shared" si="4"/>
        <v>16</v>
      </c>
      <c r="L51" s="3">
        <f t="shared" si="5"/>
        <v>2374</v>
      </c>
      <c r="M51" s="3">
        <v>10725926</v>
      </c>
    </row>
    <row r="52" spans="1:13" s="18" customFormat="1" outlineLevel="2">
      <c r="A52" s="19" t="s">
        <v>78</v>
      </c>
      <c r="B52" s="20" t="s">
        <v>85</v>
      </c>
      <c r="C52" s="21" t="s">
        <v>93</v>
      </c>
      <c r="D52" s="20"/>
      <c r="E52" s="3"/>
      <c r="F52" s="19"/>
      <c r="G52" s="3">
        <v>10725926</v>
      </c>
      <c r="H52" s="2">
        <v>5.0000000000000001E-3</v>
      </c>
      <c r="I52" s="19">
        <v>44060</v>
      </c>
      <c r="J52" s="19">
        <v>44074</v>
      </c>
      <c r="K52" s="3">
        <f t="shared" si="4"/>
        <v>15</v>
      </c>
      <c r="L52" s="3">
        <f t="shared" si="5"/>
        <v>2198</v>
      </c>
      <c r="M52" s="3"/>
    </row>
    <row r="53" spans="1:13" s="18" customFormat="1" outlineLevel="2">
      <c r="A53" s="19" t="s">
        <v>78</v>
      </c>
      <c r="B53" s="20" t="s">
        <v>84</v>
      </c>
      <c r="C53" s="21" t="s">
        <v>93</v>
      </c>
      <c r="D53" s="20" t="s">
        <v>92</v>
      </c>
      <c r="E53" s="3">
        <v>11600000</v>
      </c>
      <c r="F53" s="19">
        <v>44027</v>
      </c>
      <c r="G53" s="3">
        <v>11600000</v>
      </c>
      <c r="H53" s="2">
        <v>5.0000000000000001E-3</v>
      </c>
      <c r="I53" s="19">
        <v>44044</v>
      </c>
      <c r="J53" s="19">
        <v>44059</v>
      </c>
      <c r="K53" s="3">
        <f t="shared" si="4"/>
        <v>16</v>
      </c>
      <c r="L53" s="3">
        <f t="shared" si="5"/>
        <v>2536</v>
      </c>
      <c r="M53" s="3">
        <v>11502522</v>
      </c>
    </row>
    <row r="54" spans="1:13" s="18" customFormat="1" outlineLevel="2">
      <c r="A54" s="19" t="s">
        <v>78</v>
      </c>
      <c r="B54" s="20" t="s">
        <v>84</v>
      </c>
      <c r="C54" s="21" t="s">
        <v>93</v>
      </c>
      <c r="D54" s="20"/>
      <c r="E54" s="3"/>
      <c r="F54" s="19"/>
      <c r="G54" s="3">
        <v>11502522</v>
      </c>
      <c r="H54" s="2">
        <v>5.0000000000000001E-3</v>
      </c>
      <c r="I54" s="19">
        <v>44060</v>
      </c>
      <c r="J54" s="19">
        <v>44074</v>
      </c>
      <c r="K54" s="3">
        <f t="shared" si="4"/>
        <v>15</v>
      </c>
      <c r="L54" s="3">
        <f t="shared" si="5"/>
        <v>2357</v>
      </c>
      <c r="M54" s="3"/>
    </row>
    <row r="55" spans="1:13" s="18" customFormat="1" outlineLevel="2">
      <c r="A55" s="19" t="s">
        <v>78</v>
      </c>
      <c r="B55" s="20" t="s">
        <v>83</v>
      </c>
      <c r="C55" s="21" t="s">
        <v>139</v>
      </c>
      <c r="D55" s="20" t="s">
        <v>138</v>
      </c>
      <c r="E55" s="3">
        <v>18700000</v>
      </c>
      <c r="F55" s="19">
        <v>44032</v>
      </c>
      <c r="G55" s="3">
        <v>18700000</v>
      </c>
      <c r="H55" s="2">
        <v>5.0000000000000001E-3</v>
      </c>
      <c r="I55" s="19">
        <v>44044</v>
      </c>
      <c r="J55" s="19">
        <v>44074</v>
      </c>
      <c r="K55" s="3">
        <f t="shared" si="4"/>
        <v>31</v>
      </c>
      <c r="L55" s="3">
        <f t="shared" si="5"/>
        <v>7919</v>
      </c>
      <c r="M55" s="3">
        <v>18700000</v>
      </c>
    </row>
    <row r="56" spans="1:13" s="18" customFormat="1" outlineLevel="2">
      <c r="A56" s="19" t="s">
        <v>78</v>
      </c>
      <c r="B56" s="20" t="s">
        <v>102</v>
      </c>
      <c r="C56" s="21" t="s">
        <v>95</v>
      </c>
      <c r="D56" s="20" t="s">
        <v>94</v>
      </c>
      <c r="E56" s="3">
        <v>2950000</v>
      </c>
      <c r="F56" s="19">
        <v>44060</v>
      </c>
      <c r="G56" s="3">
        <v>2950000</v>
      </c>
      <c r="H56" s="2">
        <v>5.0000000000000001E-3</v>
      </c>
      <c r="I56" s="19">
        <v>44060</v>
      </c>
      <c r="J56" s="19">
        <v>44074</v>
      </c>
      <c r="K56" s="3">
        <f t="shared" si="4"/>
        <v>15</v>
      </c>
      <c r="L56" s="3">
        <f t="shared" si="5"/>
        <v>605</v>
      </c>
      <c r="M56" s="3">
        <v>2950000</v>
      </c>
    </row>
    <row r="57" spans="1:13" s="18" customFormat="1" outlineLevel="2">
      <c r="A57" s="19" t="s">
        <v>78</v>
      </c>
      <c r="B57" s="20" t="s">
        <v>23</v>
      </c>
      <c r="C57" s="21" t="s">
        <v>95</v>
      </c>
      <c r="D57" s="20" t="s">
        <v>94</v>
      </c>
      <c r="E57" s="3">
        <v>6200000</v>
      </c>
      <c r="F57" s="19">
        <v>43929</v>
      </c>
      <c r="G57" s="3">
        <v>6200000</v>
      </c>
      <c r="H57" s="2">
        <v>5.0000000000000001E-3</v>
      </c>
      <c r="I57" s="19">
        <v>44044</v>
      </c>
      <c r="J57" s="19">
        <v>44074</v>
      </c>
      <c r="K57" s="3">
        <f t="shared" si="4"/>
        <v>31</v>
      </c>
      <c r="L57" s="3">
        <f t="shared" si="5"/>
        <v>2626</v>
      </c>
      <c r="M57" s="3">
        <v>6200000</v>
      </c>
    </row>
    <row r="58" spans="1:13" s="18" customFormat="1" outlineLevel="2">
      <c r="A58" s="19" t="s">
        <v>78</v>
      </c>
      <c r="B58" s="20" t="s">
        <v>29</v>
      </c>
      <c r="C58" s="21" t="s">
        <v>95</v>
      </c>
      <c r="D58" s="20" t="s">
        <v>94</v>
      </c>
      <c r="E58" s="3">
        <v>23630000</v>
      </c>
      <c r="F58" s="19">
        <v>43936</v>
      </c>
      <c r="G58" s="3">
        <v>23630000</v>
      </c>
      <c r="H58" s="2">
        <v>5.0000000000000001E-3</v>
      </c>
      <c r="I58" s="19">
        <v>44044</v>
      </c>
      <c r="J58" s="19">
        <v>44074</v>
      </c>
      <c r="K58" s="3">
        <f t="shared" si="4"/>
        <v>31</v>
      </c>
      <c r="L58" s="3">
        <f t="shared" si="5"/>
        <v>10007</v>
      </c>
      <c r="M58" s="3">
        <v>23630000</v>
      </c>
    </row>
    <row r="59" spans="1:13" s="18" customFormat="1" outlineLevel="2">
      <c r="A59" s="19" t="s">
        <v>78</v>
      </c>
      <c r="B59" s="20" t="s">
        <v>30</v>
      </c>
      <c r="C59" s="21" t="s">
        <v>72</v>
      </c>
      <c r="D59" s="20" t="s">
        <v>71</v>
      </c>
      <c r="E59" s="3">
        <v>24000000</v>
      </c>
      <c r="F59" s="19">
        <v>43937</v>
      </c>
      <c r="G59" s="3">
        <v>23400000</v>
      </c>
      <c r="H59" s="2">
        <v>5.0000000000000001E-3</v>
      </c>
      <c r="I59" s="19">
        <v>44044</v>
      </c>
      <c r="J59" s="19">
        <v>44059</v>
      </c>
      <c r="K59" s="3">
        <f t="shared" si="4"/>
        <v>16</v>
      </c>
      <c r="L59" s="3">
        <f t="shared" si="5"/>
        <v>5115</v>
      </c>
      <c r="M59" s="3">
        <v>23200000</v>
      </c>
    </row>
    <row r="60" spans="1:13" s="18" customFormat="1" outlineLevel="2">
      <c r="A60" s="19" t="s">
        <v>78</v>
      </c>
      <c r="B60" s="20" t="s">
        <v>30</v>
      </c>
      <c r="C60" s="21" t="s">
        <v>72</v>
      </c>
      <c r="D60" s="20"/>
      <c r="E60" s="3"/>
      <c r="F60" s="19"/>
      <c r="G60" s="3">
        <v>23200000</v>
      </c>
      <c r="H60" s="2">
        <v>5.0000000000000001E-3</v>
      </c>
      <c r="I60" s="19">
        <v>44060</v>
      </c>
      <c r="J60" s="19">
        <v>44074</v>
      </c>
      <c r="K60" s="3">
        <f t="shared" si="4"/>
        <v>15</v>
      </c>
      <c r="L60" s="3">
        <f t="shared" si="5"/>
        <v>4754</v>
      </c>
      <c r="M60" s="3"/>
    </row>
    <row r="61" spans="1:13" s="18" customFormat="1" outlineLevel="2">
      <c r="A61" s="19" t="s">
        <v>78</v>
      </c>
      <c r="B61" s="20" t="s">
        <v>31</v>
      </c>
      <c r="C61" s="21" t="s">
        <v>93</v>
      </c>
      <c r="D61" s="20" t="s">
        <v>92</v>
      </c>
      <c r="E61" s="3">
        <v>28240000</v>
      </c>
      <c r="F61" s="19">
        <v>43951</v>
      </c>
      <c r="G61" s="3">
        <v>27231430</v>
      </c>
      <c r="H61" s="2">
        <v>5.0000000000000001E-3</v>
      </c>
      <c r="I61" s="19">
        <v>44044</v>
      </c>
      <c r="J61" s="19">
        <v>44059</v>
      </c>
      <c r="K61" s="3">
        <f t="shared" si="4"/>
        <v>16</v>
      </c>
      <c r="L61" s="3">
        <f t="shared" si="5"/>
        <v>5952</v>
      </c>
      <c r="M61" s="3">
        <v>26895240</v>
      </c>
    </row>
    <row r="62" spans="1:13" s="18" customFormat="1" outlineLevel="2">
      <c r="A62" s="19" t="s">
        <v>78</v>
      </c>
      <c r="B62" s="20" t="s">
        <v>31</v>
      </c>
      <c r="C62" s="21" t="s">
        <v>93</v>
      </c>
      <c r="D62" s="20"/>
      <c r="E62" s="3"/>
      <c r="F62" s="19"/>
      <c r="G62" s="3">
        <v>26895240</v>
      </c>
      <c r="H62" s="2">
        <v>5.0000000000000001E-3</v>
      </c>
      <c r="I62" s="19">
        <v>44060</v>
      </c>
      <c r="J62" s="19">
        <v>44074</v>
      </c>
      <c r="K62" s="3">
        <f t="shared" si="4"/>
        <v>15</v>
      </c>
      <c r="L62" s="3">
        <f t="shared" si="5"/>
        <v>5511</v>
      </c>
      <c r="M62" s="3"/>
    </row>
    <row r="63" spans="1:13" s="18" customFormat="1" outlineLevel="2">
      <c r="A63" s="19" t="s">
        <v>78</v>
      </c>
      <c r="B63" s="20" t="s">
        <v>32</v>
      </c>
      <c r="C63" s="21" t="s">
        <v>95</v>
      </c>
      <c r="D63" s="20" t="s">
        <v>94</v>
      </c>
      <c r="E63" s="3">
        <v>8000000</v>
      </c>
      <c r="F63" s="19">
        <v>43957</v>
      </c>
      <c r="G63" s="3">
        <v>7600001</v>
      </c>
      <c r="H63" s="2">
        <v>5.0000000000000001E-3</v>
      </c>
      <c r="I63" s="19">
        <v>44044</v>
      </c>
      <c r="J63" s="19">
        <v>44059</v>
      </c>
      <c r="K63" s="3">
        <f t="shared" si="4"/>
        <v>16</v>
      </c>
      <c r="L63" s="3">
        <f t="shared" si="5"/>
        <v>1661</v>
      </c>
      <c r="M63" s="3">
        <v>7466668</v>
      </c>
    </row>
    <row r="64" spans="1:13" s="18" customFormat="1" outlineLevel="2">
      <c r="A64" s="19" t="s">
        <v>78</v>
      </c>
      <c r="B64" s="20" t="s">
        <v>32</v>
      </c>
      <c r="C64" s="21" t="s">
        <v>95</v>
      </c>
      <c r="D64" s="20"/>
      <c r="E64" s="3"/>
      <c r="F64" s="19"/>
      <c r="G64" s="3">
        <v>7466668</v>
      </c>
      <c r="H64" s="2">
        <v>5.0000000000000001E-3</v>
      </c>
      <c r="I64" s="19">
        <v>44060</v>
      </c>
      <c r="J64" s="19">
        <v>44074</v>
      </c>
      <c r="K64" s="3">
        <f t="shared" si="4"/>
        <v>15</v>
      </c>
      <c r="L64" s="3">
        <f t="shared" si="5"/>
        <v>1530</v>
      </c>
      <c r="M64" s="3"/>
    </row>
    <row r="65" spans="1:13" s="18" customFormat="1" outlineLevel="2">
      <c r="A65" s="19" t="s">
        <v>78</v>
      </c>
      <c r="B65" s="20" t="s">
        <v>48</v>
      </c>
      <c r="C65" s="21" t="s">
        <v>95</v>
      </c>
      <c r="D65" s="20" t="s">
        <v>94</v>
      </c>
      <c r="E65" s="3">
        <v>5910000</v>
      </c>
      <c r="F65" s="19">
        <v>43966</v>
      </c>
      <c r="G65" s="3">
        <v>5910000</v>
      </c>
      <c r="H65" s="2">
        <v>5.0000000000000001E-3</v>
      </c>
      <c r="I65" s="19">
        <v>44044</v>
      </c>
      <c r="J65" s="19">
        <v>44074</v>
      </c>
      <c r="K65" s="3">
        <f t="shared" si="4"/>
        <v>31</v>
      </c>
      <c r="L65" s="3">
        <f t="shared" si="5"/>
        <v>2503</v>
      </c>
      <c r="M65" s="3">
        <v>5910000</v>
      </c>
    </row>
    <row r="66" spans="1:13" s="18" customFormat="1" outlineLevel="2">
      <c r="A66" s="19" t="s">
        <v>78</v>
      </c>
      <c r="B66" s="20" t="s">
        <v>59</v>
      </c>
      <c r="C66" s="21" t="s">
        <v>93</v>
      </c>
      <c r="D66" s="20" t="s">
        <v>92</v>
      </c>
      <c r="E66" s="3">
        <v>20510000</v>
      </c>
      <c r="F66" s="19">
        <v>43966</v>
      </c>
      <c r="G66" s="3">
        <v>20015784</v>
      </c>
      <c r="H66" s="2">
        <v>5.0000000000000001E-3</v>
      </c>
      <c r="I66" s="19">
        <v>44044</v>
      </c>
      <c r="J66" s="19">
        <v>44059</v>
      </c>
      <c r="K66" s="3">
        <f t="shared" si="4"/>
        <v>16</v>
      </c>
      <c r="L66" s="3">
        <f t="shared" si="5"/>
        <v>4375</v>
      </c>
      <c r="M66" s="3">
        <v>19768676</v>
      </c>
    </row>
    <row r="67" spans="1:13" s="18" customFormat="1" outlineLevel="2">
      <c r="A67" s="19" t="s">
        <v>78</v>
      </c>
      <c r="B67" s="20" t="s">
        <v>59</v>
      </c>
      <c r="C67" s="21" t="s">
        <v>93</v>
      </c>
      <c r="D67" s="20"/>
      <c r="E67" s="3"/>
      <c r="F67" s="19"/>
      <c r="G67" s="3">
        <v>19768676</v>
      </c>
      <c r="H67" s="2">
        <v>5.0000000000000001E-3</v>
      </c>
      <c r="I67" s="19">
        <v>44060</v>
      </c>
      <c r="J67" s="19">
        <v>44074</v>
      </c>
      <c r="K67" s="3">
        <f t="shared" si="4"/>
        <v>15</v>
      </c>
      <c r="L67" s="3">
        <f t="shared" si="5"/>
        <v>4051</v>
      </c>
      <c r="M67" s="3"/>
    </row>
    <row r="68" spans="1:13" s="18" customFormat="1" outlineLevel="2">
      <c r="A68" s="19" t="s">
        <v>78</v>
      </c>
      <c r="B68" s="20" t="s">
        <v>58</v>
      </c>
      <c r="C68" s="21" t="s">
        <v>77</v>
      </c>
      <c r="D68" s="20" t="s">
        <v>76</v>
      </c>
      <c r="E68" s="3">
        <v>33960000</v>
      </c>
      <c r="F68" s="19">
        <v>43978</v>
      </c>
      <c r="G68" s="3">
        <v>33960000</v>
      </c>
      <c r="H68" s="2">
        <v>5.0000000000000001E-3</v>
      </c>
      <c r="I68" s="19">
        <v>44044</v>
      </c>
      <c r="J68" s="19">
        <v>44074</v>
      </c>
      <c r="K68" s="3">
        <f t="shared" si="4"/>
        <v>31</v>
      </c>
      <c r="L68" s="3">
        <f t="shared" si="5"/>
        <v>14382</v>
      </c>
      <c r="M68" s="3">
        <v>33960000</v>
      </c>
    </row>
    <row r="69" spans="1:13" s="18" customFormat="1" ht="13.5" outlineLevel="1">
      <c r="A69" s="22" t="s">
        <v>75</v>
      </c>
      <c r="B69" s="39"/>
      <c r="C69" s="40"/>
      <c r="D69" s="39"/>
      <c r="E69" s="41">
        <f>SUBTOTAL(9,E43:E68)</f>
        <v>396155386</v>
      </c>
      <c r="F69" s="42"/>
      <c r="G69" s="41"/>
      <c r="H69" s="43"/>
      <c r="I69" s="42"/>
      <c r="J69" s="42"/>
      <c r="K69" s="41"/>
      <c r="L69" s="41">
        <f>SUBTOTAL(9,L43:L68)</f>
        <v>165309</v>
      </c>
      <c r="M69" s="41">
        <f>SUBTOTAL(9,M43:M68)</f>
        <v>390847102</v>
      </c>
    </row>
    <row r="70" spans="1:13" s="18" customFormat="1" outlineLevel="2">
      <c r="A70" s="19" t="s">
        <v>20</v>
      </c>
      <c r="B70" s="20" t="s">
        <v>16</v>
      </c>
      <c r="C70" s="21" t="s">
        <v>21</v>
      </c>
      <c r="D70" s="20" t="s">
        <v>22</v>
      </c>
      <c r="E70" s="3">
        <v>69000000</v>
      </c>
      <c r="F70" s="19">
        <v>43822</v>
      </c>
      <c r="G70" s="3">
        <v>69000000</v>
      </c>
      <c r="H70" s="2">
        <v>5.0000000000000001E-3</v>
      </c>
      <c r="I70" s="19">
        <v>44044</v>
      </c>
      <c r="J70" s="19">
        <v>44074</v>
      </c>
      <c r="K70" s="3">
        <f t="shared" ref="K70:K96" si="6">J70-I70+1</f>
        <v>31</v>
      </c>
      <c r="L70" s="3">
        <f t="shared" ref="L70:L96" si="7">ROUND(G70*H70*K70/366,0)</f>
        <v>29221</v>
      </c>
      <c r="M70" s="3">
        <v>69000000</v>
      </c>
    </row>
    <row r="71" spans="1:13" s="18" customFormat="1" outlineLevel="2">
      <c r="A71" s="19" t="s">
        <v>20</v>
      </c>
      <c r="B71" s="20" t="s">
        <v>61</v>
      </c>
      <c r="C71" s="21" t="s">
        <v>133</v>
      </c>
      <c r="D71" s="20" t="s">
        <v>132</v>
      </c>
      <c r="E71" s="3">
        <v>247700000</v>
      </c>
      <c r="F71" s="19">
        <v>43985</v>
      </c>
      <c r="G71" s="3">
        <v>247700000</v>
      </c>
      <c r="H71" s="2">
        <v>5.0000000000000001E-3</v>
      </c>
      <c r="I71" s="19">
        <v>44044</v>
      </c>
      <c r="J71" s="19">
        <v>44074</v>
      </c>
      <c r="K71" s="3">
        <f t="shared" si="6"/>
        <v>31</v>
      </c>
      <c r="L71" s="3">
        <f t="shared" si="7"/>
        <v>104900</v>
      </c>
      <c r="M71" s="3">
        <v>247700000</v>
      </c>
    </row>
    <row r="72" spans="1:13" s="18" customFormat="1" outlineLevel="2">
      <c r="A72" s="19" t="s">
        <v>20</v>
      </c>
      <c r="B72" s="20" t="s">
        <v>60</v>
      </c>
      <c r="C72" s="21" t="s">
        <v>111</v>
      </c>
      <c r="D72" s="20" t="s">
        <v>110</v>
      </c>
      <c r="E72" s="3">
        <v>18612000</v>
      </c>
      <c r="F72" s="19">
        <v>43997</v>
      </c>
      <c r="G72" s="3">
        <v>18612000</v>
      </c>
      <c r="H72" s="2">
        <v>5.0000000000000001E-3</v>
      </c>
      <c r="I72" s="19">
        <v>44044</v>
      </c>
      <c r="J72" s="19">
        <v>44067</v>
      </c>
      <c r="K72" s="3">
        <f t="shared" si="6"/>
        <v>24</v>
      </c>
      <c r="L72" s="3">
        <f t="shared" si="7"/>
        <v>6102</v>
      </c>
      <c r="M72" s="3">
        <v>3722400</v>
      </c>
    </row>
    <row r="73" spans="1:13" s="18" customFormat="1" outlineLevel="2">
      <c r="A73" s="19" t="s">
        <v>20</v>
      </c>
      <c r="B73" s="20" t="s">
        <v>60</v>
      </c>
      <c r="C73" s="21" t="s">
        <v>111</v>
      </c>
      <c r="D73" s="20"/>
      <c r="E73" s="3"/>
      <c r="F73" s="19"/>
      <c r="G73" s="3">
        <v>3722400</v>
      </c>
      <c r="H73" s="2">
        <v>5.0000000000000001E-3</v>
      </c>
      <c r="I73" s="19">
        <v>44068</v>
      </c>
      <c r="J73" s="19">
        <v>44074</v>
      </c>
      <c r="K73" s="3">
        <f t="shared" si="6"/>
        <v>7</v>
      </c>
      <c r="L73" s="3">
        <f t="shared" si="7"/>
        <v>356</v>
      </c>
      <c r="M73" s="3"/>
    </row>
    <row r="74" spans="1:13" s="18" customFormat="1" outlineLevel="2">
      <c r="A74" s="19" t="s">
        <v>20</v>
      </c>
      <c r="B74" s="20" t="s">
        <v>66</v>
      </c>
      <c r="C74" s="21" t="s">
        <v>69</v>
      </c>
      <c r="D74" s="20" t="s">
        <v>68</v>
      </c>
      <c r="E74" s="3">
        <v>624000000</v>
      </c>
      <c r="F74" s="19">
        <v>44014</v>
      </c>
      <c r="G74" s="3">
        <v>624000000</v>
      </c>
      <c r="H74" s="2">
        <v>5.0000000000000001E-3</v>
      </c>
      <c r="I74" s="19">
        <v>44044</v>
      </c>
      <c r="J74" s="19">
        <v>44074</v>
      </c>
      <c r="K74" s="3">
        <f t="shared" si="6"/>
        <v>31</v>
      </c>
      <c r="L74" s="3">
        <f t="shared" si="7"/>
        <v>264262</v>
      </c>
      <c r="M74" s="3">
        <v>624000000</v>
      </c>
    </row>
    <row r="75" spans="1:13" s="18" customFormat="1" outlineLevel="2">
      <c r="A75" s="19" t="s">
        <v>20</v>
      </c>
      <c r="B75" s="20" t="s">
        <v>65</v>
      </c>
      <c r="C75" s="21" t="s">
        <v>69</v>
      </c>
      <c r="D75" s="20" t="s">
        <v>68</v>
      </c>
      <c r="E75" s="3">
        <v>82000000</v>
      </c>
      <c r="F75" s="19">
        <v>44042</v>
      </c>
      <c r="G75" s="3">
        <v>82000000</v>
      </c>
      <c r="H75" s="2">
        <v>5.0000000000000001E-3</v>
      </c>
      <c r="I75" s="19">
        <v>44044</v>
      </c>
      <c r="J75" s="19">
        <v>44074</v>
      </c>
      <c r="K75" s="3">
        <f t="shared" si="6"/>
        <v>31</v>
      </c>
      <c r="L75" s="3">
        <f t="shared" si="7"/>
        <v>34727</v>
      </c>
      <c r="M75" s="3">
        <v>82000000</v>
      </c>
    </row>
    <row r="76" spans="1:13" s="18" customFormat="1" outlineLevel="2">
      <c r="A76" s="19" t="s">
        <v>20</v>
      </c>
      <c r="B76" s="20" t="s">
        <v>64</v>
      </c>
      <c r="C76" s="21" t="s">
        <v>69</v>
      </c>
      <c r="D76" s="20" t="s">
        <v>68</v>
      </c>
      <c r="E76" s="3">
        <v>406400000</v>
      </c>
      <c r="F76" s="19">
        <v>44042</v>
      </c>
      <c r="G76" s="3">
        <v>406400000</v>
      </c>
      <c r="H76" s="2">
        <v>3.0000000000000001E-3</v>
      </c>
      <c r="I76" s="19">
        <v>44044</v>
      </c>
      <c r="J76" s="19">
        <v>44074</v>
      </c>
      <c r="K76" s="3">
        <f t="shared" si="6"/>
        <v>31</v>
      </c>
      <c r="L76" s="3">
        <f t="shared" si="7"/>
        <v>103266</v>
      </c>
      <c r="M76" s="3">
        <v>406400000</v>
      </c>
    </row>
    <row r="77" spans="1:13" s="18" customFormat="1" outlineLevel="2">
      <c r="A77" s="19" t="s">
        <v>20</v>
      </c>
      <c r="B77" s="20" t="s">
        <v>85</v>
      </c>
      <c r="C77" s="21" t="s">
        <v>69</v>
      </c>
      <c r="D77" s="20" t="s">
        <v>68</v>
      </c>
      <c r="E77" s="3">
        <v>51600000</v>
      </c>
      <c r="F77" s="19">
        <v>44042</v>
      </c>
      <c r="G77" s="3">
        <v>51600000</v>
      </c>
      <c r="H77" s="2">
        <v>3.0000000000000001E-3</v>
      </c>
      <c r="I77" s="19">
        <v>44044</v>
      </c>
      <c r="J77" s="19">
        <v>44074</v>
      </c>
      <c r="K77" s="3">
        <f t="shared" si="6"/>
        <v>31</v>
      </c>
      <c r="L77" s="3">
        <f t="shared" si="7"/>
        <v>13111</v>
      </c>
      <c r="M77" s="3">
        <v>51600000</v>
      </c>
    </row>
    <row r="78" spans="1:13" s="18" customFormat="1" outlineLevel="2">
      <c r="A78" s="19" t="s">
        <v>20</v>
      </c>
      <c r="B78" s="20" t="s">
        <v>84</v>
      </c>
      <c r="C78" s="21" t="s">
        <v>115</v>
      </c>
      <c r="D78" s="20" t="s">
        <v>114</v>
      </c>
      <c r="E78" s="3">
        <v>1850000</v>
      </c>
      <c r="F78" s="19">
        <v>44018</v>
      </c>
      <c r="G78" s="3">
        <v>1850000</v>
      </c>
      <c r="H78" s="2">
        <v>5.0000000000000001E-3</v>
      </c>
      <c r="I78" s="19">
        <v>44044</v>
      </c>
      <c r="J78" s="19">
        <v>44074</v>
      </c>
      <c r="K78" s="3">
        <f t="shared" si="6"/>
        <v>31</v>
      </c>
      <c r="L78" s="3">
        <f t="shared" si="7"/>
        <v>783</v>
      </c>
      <c r="M78" s="3">
        <v>1850000</v>
      </c>
    </row>
    <row r="79" spans="1:13" s="18" customFormat="1" outlineLevel="2">
      <c r="A79" s="19" t="s">
        <v>20</v>
      </c>
      <c r="B79" s="20" t="s">
        <v>83</v>
      </c>
      <c r="C79" s="21" t="s">
        <v>115</v>
      </c>
      <c r="D79" s="20" t="s">
        <v>114</v>
      </c>
      <c r="E79" s="3">
        <v>5400000</v>
      </c>
      <c r="F79" s="19">
        <v>44019</v>
      </c>
      <c r="G79" s="3">
        <v>5400000</v>
      </c>
      <c r="H79" s="2">
        <v>5.0000000000000001E-3</v>
      </c>
      <c r="I79" s="19">
        <v>44044</v>
      </c>
      <c r="J79" s="19">
        <v>44074</v>
      </c>
      <c r="K79" s="3">
        <f t="shared" si="6"/>
        <v>31</v>
      </c>
      <c r="L79" s="3">
        <f t="shared" si="7"/>
        <v>2287</v>
      </c>
      <c r="M79" s="3">
        <v>5400000</v>
      </c>
    </row>
    <row r="80" spans="1:13" s="18" customFormat="1" outlineLevel="2">
      <c r="A80" s="19" t="s">
        <v>20</v>
      </c>
      <c r="B80" s="20" t="s">
        <v>102</v>
      </c>
      <c r="C80" s="21" t="s">
        <v>115</v>
      </c>
      <c r="D80" s="20" t="s">
        <v>114</v>
      </c>
      <c r="E80" s="3">
        <v>2300000</v>
      </c>
      <c r="F80" s="19">
        <v>44027</v>
      </c>
      <c r="G80" s="3">
        <v>2300000</v>
      </c>
      <c r="H80" s="2">
        <v>5.0000000000000001E-3</v>
      </c>
      <c r="I80" s="19">
        <v>44044</v>
      </c>
      <c r="J80" s="19">
        <v>44074</v>
      </c>
      <c r="K80" s="3">
        <f t="shared" si="6"/>
        <v>31</v>
      </c>
      <c r="L80" s="3">
        <f t="shared" si="7"/>
        <v>974</v>
      </c>
      <c r="M80" s="3">
        <v>2300000</v>
      </c>
    </row>
    <row r="81" spans="1:13" s="18" customFormat="1" outlineLevel="2">
      <c r="A81" s="19" t="s">
        <v>20</v>
      </c>
      <c r="B81" s="20" t="s">
        <v>101</v>
      </c>
      <c r="C81" s="21" t="s">
        <v>115</v>
      </c>
      <c r="D81" s="20" t="s">
        <v>114</v>
      </c>
      <c r="E81" s="3">
        <v>16280000</v>
      </c>
      <c r="F81" s="19">
        <v>44041</v>
      </c>
      <c r="G81" s="3">
        <v>16280000</v>
      </c>
      <c r="H81" s="2">
        <v>5.0000000000000001E-3</v>
      </c>
      <c r="I81" s="19">
        <v>44044</v>
      </c>
      <c r="J81" s="19">
        <v>44074</v>
      </c>
      <c r="K81" s="3">
        <f t="shared" si="6"/>
        <v>31</v>
      </c>
      <c r="L81" s="3">
        <f t="shared" si="7"/>
        <v>6895</v>
      </c>
      <c r="M81" s="3">
        <v>16280000</v>
      </c>
    </row>
    <row r="82" spans="1:13" s="18" customFormat="1" outlineLevel="2">
      <c r="A82" s="19" t="s">
        <v>20</v>
      </c>
      <c r="B82" s="20" t="s">
        <v>23</v>
      </c>
      <c r="C82" s="21" t="s">
        <v>24</v>
      </c>
      <c r="D82" s="20" t="s">
        <v>18</v>
      </c>
      <c r="E82" s="3">
        <v>162300000</v>
      </c>
      <c r="F82" s="19">
        <v>43829</v>
      </c>
      <c r="G82" s="3">
        <v>143365000</v>
      </c>
      <c r="H82" s="2">
        <v>5.0000000000000001E-3</v>
      </c>
      <c r="I82" s="19">
        <v>44044</v>
      </c>
      <c r="J82" s="19">
        <v>44059</v>
      </c>
      <c r="K82" s="3">
        <f t="shared" si="6"/>
        <v>16</v>
      </c>
      <c r="L82" s="3">
        <f t="shared" si="7"/>
        <v>31337</v>
      </c>
      <c r="M82" s="3">
        <v>140660000</v>
      </c>
    </row>
    <row r="83" spans="1:13" s="18" customFormat="1" outlineLevel="2">
      <c r="A83" s="19" t="s">
        <v>20</v>
      </c>
      <c r="B83" s="20" t="s">
        <v>23</v>
      </c>
      <c r="C83" s="21" t="s">
        <v>24</v>
      </c>
      <c r="D83" s="20"/>
      <c r="E83" s="3"/>
      <c r="F83" s="19"/>
      <c r="G83" s="3">
        <v>140660000</v>
      </c>
      <c r="H83" s="2">
        <v>5.0000000000000001E-3</v>
      </c>
      <c r="I83" s="19">
        <v>44060</v>
      </c>
      <c r="J83" s="19">
        <v>44074</v>
      </c>
      <c r="K83" s="3">
        <f t="shared" si="6"/>
        <v>15</v>
      </c>
      <c r="L83" s="3">
        <f t="shared" si="7"/>
        <v>28824</v>
      </c>
      <c r="M83" s="3"/>
    </row>
    <row r="84" spans="1:13" s="18" customFormat="1" outlineLevel="2">
      <c r="A84" s="19" t="s">
        <v>20</v>
      </c>
      <c r="B84" s="20" t="s">
        <v>100</v>
      </c>
      <c r="C84" s="21" t="s">
        <v>160</v>
      </c>
      <c r="D84" s="20" t="s">
        <v>159</v>
      </c>
      <c r="E84" s="3">
        <v>30000000</v>
      </c>
      <c r="F84" s="19">
        <v>44020</v>
      </c>
      <c r="G84" s="3">
        <v>30000000</v>
      </c>
      <c r="H84" s="2">
        <v>5.0000000000000001E-3</v>
      </c>
      <c r="I84" s="19">
        <v>44044</v>
      </c>
      <c r="J84" s="19">
        <v>44074</v>
      </c>
      <c r="K84" s="3">
        <f t="shared" si="6"/>
        <v>31</v>
      </c>
      <c r="L84" s="3">
        <f t="shared" si="7"/>
        <v>12705</v>
      </c>
      <c r="M84" s="3">
        <v>30000000</v>
      </c>
    </row>
    <row r="85" spans="1:13" s="18" customFormat="1" outlineLevel="2">
      <c r="A85" s="19" t="s">
        <v>20</v>
      </c>
      <c r="B85" s="20" t="s">
        <v>99</v>
      </c>
      <c r="C85" s="21" t="s">
        <v>158</v>
      </c>
      <c r="D85" s="20" t="s">
        <v>157</v>
      </c>
      <c r="E85" s="3">
        <v>35100000</v>
      </c>
      <c r="F85" s="19">
        <v>44013</v>
      </c>
      <c r="G85" s="3">
        <v>35100000</v>
      </c>
      <c r="H85" s="2">
        <v>5.0000000000000001E-3</v>
      </c>
      <c r="I85" s="19">
        <v>44044</v>
      </c>
      <c r="J85" s="19">
        <v>44074</v>
      </c>
      <c r="K85" s="3">
        <f t="shared" si="6"/>
        <v>31</v>
      </c>
      <c r="L85" s="3">
        <f t="shared" si="7"/>
        <v>14865</v>
      </c>
      <c r="M85" s="3">
        <v>35100000</v>
      </c>
    </row>
    <row r="86" spans="1:13" s="18" customFormat="1" outlineLevel="2">
      <c r="A86" s="19" t="s">
        <v>20</v>
      </c>
      <c r="B86" s="20" t="s">
        <v>98</v>
      </c>
      <c r="C86" s="21" t="s">
        <v>158</v>
      </c>
      <c r="D86" s="20" t="s">
        <v>157</v>
      </c>
      <c r="E86" s="3">
        <v>14900000</v>
      </c>
      <c r="F86" s="19">
        <v>44021</v>
      </c>
      <c r="G86" s="3">
        <v>14900000</v>
      </c>
      <c r="H86" s="2">
        <v>5.0000000000000001E-3</v>
      </c>
      <c r="I86" s="19">
        <v>44044</v>
      </c>
      <c r="J86" s="19">
        <v>44074</v>
      </c>
      <c r="K86" s="3">
        <f t="shared" si="6"/>
        <v>31</v>
      </c>
      <c r="L86" s="3">
        <f t="shared" si="7"/>
        <v>6310</v>
      </c>
      <c r="M86" s="3">
        <v>14900000</v>
      </c>
    </row>
    <row r="87" spans="1:13" s="18" customFormat="1" outlineLevel="2">
      <c r="A87" s="19" t="s">
        <v>20</v>
      </c>
      <c r="B87" s="20" t="s">
        <v>122</v>
      </c>
      <c r="C87" s="21" t="s">
        <v>160</v>
      </c>
      <c r="D87" s="20" t="s">
        <v>159</v>
      </c>
      <c r="E87" s="3">
        <v>30000000</v>
      </c>
      <c r="F87" s="19">
        <v>44050</v>
      </c>
      <c r="G87" s="3">
        <v>30000000</v>
      </c>
      <c r="H87" s="2">
        <v>5.0000000000000001E-3</v>
      </c>
      <c r="I87" s="19">
        <v>44050</v>
      </c>
      <c r="J87" s="19">
        <v>44074</v>
      </c>
      <c r="K87" s="3">
        <f t="shared" si="6"/>
        <v>25</v>
      </c>
      <c r="L87" s="3">
        <f t="shared" si="7"/>
        <v>10246</v>
      </c>
      <c r="M87" s="3">
        <v>30000000</v>
      </c>
    </row>
    <row r="88" spans="1:13" s="18" customFormat="1" outlineLevel="2">
      <c r="A88" s="19" t="s">
        <v>20</v>
      </c>
      <c r="B88" s="20" t="s">
        <v>121</v>
      </c>
      <c r="C88" s="21" t="s">
        <v>135</v>
      </c>
      <c r="D88" s="20" t="s">
        <v>134</v>
      </c>
      <c r="E88" s="3">
        <v>72450000</v>
      </c>
      <c r="F88" s="19">
        <v>44064</v>
      </c>
      <c r="G88" s="3">
        <v>72450000</v>
      </c>
      <c r="H88" s="2">
        <v>5.0000000000000001E-3</v>
      </c>
      <c r="I88" s="19">
        <v>44064</v>
      </c>
      <c r="J88" s="19">
        <v>44074</v>
      </c>
      <c r="K88" s="3">
        <f t="shared" si="6"/>
        <v>11</v>
      </c>
      <c r="L88" s="3">
        <f t="shared" si="7"/>
        <v>10887</v>
      </c>
      <c r="M88" s="3">
        <v>72450000</v>
      </c>
    </row>
    <row r="89" spans="1:13" s="18" customFormat="1" outlineLevel="2">
      <c r="A89" s="19" t="s">
        <v>20</v>
      </c>
      <c r="B89" s="20" t="s">
        <v>120</v>
      </c>
      <c r="C89" s="21" t="s">
        <v>141</v>
      </c>
      <c r="D89" s="20" t="s">
        <v>140</v>
      </c>
      <c r="E89" s="3">
        <v>77500000</v>
      </c>
      <c r="F89" s="19">
        <v>44060</v>
      </c>
      <c r="G89" s="3">
        <v>77500000</v>
      </c>
      <c r="H89" s="2">
        <v>5.0000000000000001E-3</v>
      </c>
      <c r="I89" s="19">
        <v>44060</v>
      </c>
      <c r="J89" s="19">
        <v>44074</v>
      </c>
      <c r="K89" s="3">
        <f t="shared" si="6"/>
        <v>15</v>
      </c>
      <c r="L89" s="3">
        <f t="shared" si="7"/>
        <v>15881</v>
      </c>
      <c r="M89" s="3">
        <v>77500000</v>
      </c>
    </row>
    <row r="90" spans="1:13" s="18" customFormat="1" outlineLevel="2">
      <c r="A90" s="19" t="s">
        <v>20</v>
      </c>
      <c r="B90" s="20" t="s">
        <v>29</v>
      </c>
      <c r="C90" s="21" t="s">
        <v>69</v>
      </c>
      <c r="D90" s="20" t="s">
        <v>68</v>
      </c>
      <c r="E90" s="3">
        <v>60000000</v>
      </c>
      <c r="F90" s="19">
        <v>43922</v>
      </c>
      <c r="G90" s="3">
        <v>60000000</v>
      </c>
      <c r="H90" s="2">
        <v>3.0000000000000001E-3</v>
      </c>
      <c r="I90" s="19">
        <v>44044</v>
      </c>
      <c r="J90" s="19">
        <v>44074</v>
      </c>
      <c r="K90" s="3">
        <f t="shared" si="6"/>
        <v>31</v>
      </c>
      <c r="L90" s="3">
        <f t="shared" si="7"/>
        <v>15246</v>
      </c>
      <c r="M90" s="3">
        <v>60000000</v>
      </c>
    </row>
    <row r="91" spans="1:13" s="18" customFormat="1" outlineLevel="2">
      <c r="A91" s="19" t="s">
        <v>20</v>
      </c>
      <c r="B91" s="20" t="s">
        <v>30</v>
      </c>
      <c r="C91" s="21" t="s">
        <v>69</v>
      </c>
      <c r="D91" s="20" t="s">
        <v>68</v>
      </c>
      <c r="E91" s="3">
        <v>144000000</v>
      </c>
      <c r="F91" s="19">
        <v>43922</v>
      </c>
      <c r="G91" s="3">
        <v>144000000</v>
      </c>
      <c r="H91" s="2">
        <v>5.0000000000000001E-3</v>
      </c>
      <c r="I91" s="19">
        <v>44044</v>
      </c>
      <c r="J91" s="19">
        <v>44074</v>
      </c>
      <c r="K91" s="3">
        <f t="shared" si="6"/>
        <v>31</v>
      </c>
      <c r="L91" s="3">
        <f t="shared" si="7"/>
        <v>60984</v>
      </c>
      <c r="M91" s="3">
        <v>144000000</v>
      </c>
    </row>
    <row r="92" spans="1:13" s="18" customFormat="1" outlineLevel="2">
      <c r="A92" s="19" t="s">
        <v>20</v>
      </c>
      <c r="B92" s="20" t="s">
        <v>31</v>
      </c>
      <c r="C92" s="21" t="s">
        <v>115</v>
      </c>
      <c r="D92" s="20" t="s">
        <v>114</v>
      </c>
      <c r="E92" s="3">
        <v>34480000</v>
      </c>
      <c r="F92" s="19">
        <v>43980</v>
      </c>
      <c r="G92" s="3">
        <v>34480000</v>
      </c>
      <c r="H92" s="2">
        <v>5.0000000000000001E-3</v>
      </c>
      <c r="I92" s="19">
        <v>44044</v>
      </c>
      <c r="J92" s="19">
        <v>44074</v>
      </c>
      <c r="K92" s="3">
        <f t="shared" si="6"/>
        <v>31</v>
      </c>
      <c r="L92" s="3">
        <f t="shared" si="7"/>
        <v>14602</v>
      </c>
      <c r="M92" s="3">
        <v>34480000</v>
      </c>
    </row>
    <row r="93" spans="1:13" s="18" customFormat="1" outlineLevel="2">
      <c r="A93" s="19" t="s">
        <v>20</v>
      </c>
      <c r="B93" s="20" t="s">
        <v>32</v>
      </c>
      <c r="C93" s="21" t="s">
        <v>113</v>
      </c>
      <c r="D93" s="20" t="s">
        <v>112</v>
      </c>
      <c r="E93" s="3">
        <v>56000000</v>
      </c>
      <c r="F93" s="19">
        <v>43966</v>
      </c>
      <c r="G93" s="3">
        <v>56000000</v>
      </c>
      <c r="H93" s="2">
        <v>5.0000000000000001E-3</v>
      </c>
      <c r="I93" s="19">
        <v>44044</v>
      </c>
      <c r="J93" s="19">
        <v>44074</v>
      </c>
      <c r="K93" s="3">
        <f t="shared" si="6"/>
        <v>31</v>
      </c>
      <c r="L93" s="3">
        <f t="shared" si="7"/>
        <v>23716</v>
      </c>
      <c r="M93" s="3">
        <v>56000000</v>
      </c>
    </row>
    <row r="94" spans="1:13" s="18" customFormat="1" outlineLevel="2">
      <c r="A94" s="19" t="s">
        <v>20</v>
      </c>
      <c r="B94" s="20" t="s">
        <v>48</v>
      </c>
      <c r="C94" s="21" t="s">
        <v>69</v>
      </c>
      <c r="D94" s="20" t="s">
        <v>68</v>
      </c>
      <c r="E94" s="3">
        <v>150000000</v>
      </c>
      <c r="F94" s="19">
        <v>43958</v>
      </c>
      <c r="G94" s="3">
        <v>150000000</v>
      </c>
      <c r="H94" s="2">
        <v>5.0000000000000001E-3</v>
      </c>
      <c r="I94" s="19">
        <v>44044</v>
      </c>
      <c r="J94" s="19">
        <v>44074</v>
      </c>
      <c r="K94" s="3">
        <f t="shared" si="6"/>
        <v>31</v>
      </c>
      <c r="L94" s="3">
        <f t="shared" si="7"/>
        <v>63525</v>
      </c>
      <c r="M94" s="3">
        <v>150000000</v>
      </c>
    </row>
    <row r="95" spans="1:13" s="18" customFormat="1" outlineLevel="2">
      <c r="A95" s="19" t="s">
        <v>20</v>
      </c>
      <c r="B95" s="20" t="s">
        <v>59</v>
      </c>
      <c r="C95" s="21" t="s">
        <v>115</v>
      </c>
      <c r="D95" s="20" t="s">
        <v>114</v>
      </c>
      <c r="E95" s="3">
        <v>5000000</v>
      </c>
      <c r="F95" s="19">
        <v>43998</v>
      </c>
      <c r="G95" s="3">
        <v>5000000</v>
      </c>
      <c r="H95" s="2">
        <v>5.0000000000000001E-3</v>
      </c>
      <c r="I95" s="19">
        <v>44044</v>
      </c>
      <c r="J95" s="19">
        <v>44074</v>
      </c>
      <c r="K95" s="3">
        <f t="shared" si="6"/>
        <v>31</v>
      </c>
      <c r="L95" s="3">
        <f t="shared" si="7"/>
        <v>2117</v>
      </c>
      <c r="M95" s="3">
        <v>5000000</v>
      </c>
    </row>
    <row r="96" spans="1:13" s="18" customFormat="1" outlineLevel="2">
      <c r="A96" s="19" t="s">
        <v>20</v>
      </c>
      <c r="B96" s="20" t="s">
        <v>58</v>
      </c>
      <c r="C96" s="21" t="s">
        <v>115</v>
      </c>
      <c r="D96" s="20" t="s">
        <v>114</v>
      </c>
      <c r="E96" s="3">
        <v>17292000</v>
      </c>
      <c r="F96" s="19">
        <v>44002</v>
      </c>
      <c r="G96" s="3">
        <v>17292000</v>
      </c>
      <c r="H96" s="2">
        <v>5.0000000000000001E-3</v>
      </c>
      <c r="I96" s="19">
        <v>44044</v>
      </c>
      <c r="J96" s="19">
        <v>44074</v>
      </c>
      <c r="K96" s="3">
        <f t="shared" si="6"/>
        <v>31</v>
      </c>
      <c r="L96" s="3">
        <f t="shared" si="7"/>
        <v>7323</v>
      </c>
      <c r="M96" s="3">
        <v>17292000</v>
      </c>
    </row>
    <row r="97" spans="1:13" s="18" customFormat="1" ht="13.5" outlineLevel="1">
      <c r="A97" s="22" t="s">
        <v>25</v>
      </c>
      <c r="B97" s="39"/>
      <c r="C97" s="40"/>
      <c r="D97" s="39"/>
      <c r="E97" s="41">
        <f>SUBTOTAL(9,E70:E96)</f>
        <v>2414164000</v>
      </c>
      <c r="F97" s="42"/>
      <c r="G97" s="41"/>
      <c r="H97" s="43"/>
      <c r="I97" s="42"/>
      <c r="J97" s="42"/>
      <c r="K97" s="41"/>
      <c r="L97" s="41">
        <f>SUBTOTAL(9,L70:L96)</f>
        <v>885452</v>
      </c>
      <c r="M97" s="41">
        <f>SUBTOTAL(9,M70:M96)</f>
        <v>2377634400</v>
      </c>
    </row>
    <row r="98" spans="1:13" s="18" customFormat="1" outlineLevel="2">
      <c r="A98" s="19" t="s">
        <v>26</v>
      </c>
      <c r="B98" s="20" t="s">
        <v>16</v>
      </c>
      <c r="C98" s="21" t="s">
        <v>27</v>
      </c>
      <c r="D98" s="20" t="s">
        <v>28</v>
      </c>
      <c r="E98" s="3">
        <v>38000000</v>
      </c>
      <c r="F98" s="19">
        <v>43762</v>
      </c>
      <c r="G98" s="3">
        <v>38000000</v>
      </c>
      <c r="H98" s="2">
        <v>5.0000000000000001E-3</v>
      </c>
      <c r="I98" s="19">
        <v>44044</v>
      </c>
      <c r="J98" s="19">
        <v>44074</v>
      </c>
      <c r="K98" s="3">
        <f t="shared" ref="K98:K142" si="8">J98-I98+1</f>
        <v>31</v>
      </c>
      <c r="L98" s="3">
        <f t="shared" ref="L98:L142" si="9">ROUND(G98*H98*K98/366,0)</f>
        <v>16093</v>
      </c>
      <c r="M98" s="3">
        <v>38000000</v>
      </c>
    </row>
    <row r="99" spans="1:13" s="18" customFormat="1" outlineLevel="2">
      <c r="A99" s="19" t="s">
        <v>26</v>
      </c>
      <c r="B99" s="20" t="s">
        <v>61</v>
      </c>
      <c r="C99" s="21" t="s">
        <v>74</v>
      </c>
      <c r="D99" s="20" t="s">
        <v>73</v>
      </c>
      <c r="E99" s="3">
        <v>110000000</v>
      </c>
      <c r="F99" s="19">
        <v>43913</v>
      </c>
      <c r="G99" s="3">
        <v>110000000</v>
      </c>
      <c r="H99" s="2">
        <v>5.0000000000000001E-3</v>
      </c>
      <c r="I99" s="19">
        <v>44044</v>
      </c>
      <c r="J99" s="19">
        <v>44074</v>
      </c>
      <c r="K99" s="3">
        <f t="shared" si="8"/>
        <v>31</v>
      </c>
      <c r="L99" s="3">
        <f t="shared" si="9"/>
        <v>46585</v>
      </c>
      <c r="M99" s="3">
        <v>110000000</v>
      </c>
    </row>
    <row r="100" spans="1:13" s="18" customFormat="1" outlineLevel="2">
      <c r="A100" s="19" t="s">
        <v>26</v>
      </c>
      <c r="B100" s="20" t="s">
        <v>60</v>
      </c>
      <c r="C100" s="21" t="s">
        <v>33</v>
      </c>
      <c r="D100" s="20" t="s">
        <v>34</v>
      </c>
      <c r="E100" s="3">
        <v>95655336</v>
      </c>
      <c r="F100" s="19">
        <v>43951</v>
      </c>
      <c r="G100" s="3">
        <v>95655336</v>
      </c>
      <c r="H100" s="2">
        <v>5.0000000000000001E-3</v>
      </c>
      <c r="I100" s="19">
        <v>44044</v>
      </c>
      <c r="J100" s="19">
        <v>44074</v>
      </c>
      <c r="K100" s="3">
        <f t="shared" si="8"/>
        <v>31</v>
      </c>
      <c r="L100" s="3">
        <f t="shared" si="9"/>
        <v>40510</v>
      </c>
      <c r="M100" s="3">
        <v>95655336</v>
      </c>
    </row>
    <row r="101" spans="1:13" s="18" customFormat="1" outlineLevel="2">
      <c r="A101" s="19" t="s">
        <v>26</v>
      </c>
      <c r="B101" s="20" t="s">
        <v>66</v>
      </c>
      <c r="C101" s="21" t="s">
        <v>27</v>
      </c>
      <c r="D101" s="20" t="s">
        <v>28</v>
      </c>
      <c r="E101" s="3">
        <v>38000000</v>
      </c>
      <c r="F101" s="19">
        <v>43962</v>
      </c>
      <c r="G101" s="3">
        <v>38000000</v>
      </c>
      <c r="H101" s="2">
        <v>5.0000000000000001E-3</v>
      </c>
      <c r="I101" s="19">
        <v>44044</v>
      </c>
      <c r="J101" s="19">
        <v>44074</v>
      </c>
      <c r="K101" s="3">
        <f t="shared" si="8"/>
        <v>31</v>
      </c>
      <c r="L101" s="3">
        <f t="shared" si="9"/>
        <v>16093</v>
      </c>
      <c r="M101" s="3">
        <v>38000000</v>
      </c>
    </row>
    <row r="102" spans="1:13" s="18" customFormat="1" outlineLevel="2">
      <c r="A102" s="19" t="s">
        <v>26</v>
      </c>
      <c r="B102" s="20" t="s">
        <v>65</v>
      </c>
      <c r="C102" s="21" t="s">
        <v>27</v>
      </c>
      <c r="D102" s="20" t="s">
        <v>28</v>
      </c>
      <c r="E102" s="3">
        <v>10500000</v>
      </c>
      <c r="F102" s="19">
        <v>43962</v>
      </c>
      <c r="G102" s="3">
        <v>10500000</v>
      </c>
      <c r="H102" s="2">
        <v>5.0000000000000001E-3</v>
      </c>
      <c r="I102" s="19">
        <v>44044</v>
      </c>
      <c r="J102" s="19">
        <v>44074</v>
      </c>
      <c r="K102" s="3">
        <f t="shared" si="8"/>
        <v>31</v>
      </c>
      <c r="L102" s="3">
        <f t="shared" si="9"/>
        <v>4447</v>
      </c>
      <c r="M102" s="3">
        <v>10500000</v>
      </c>
    </row>
    <row r="103" spans="1:13" s="18" customFormat="1" outlineLevel="2">
      <c r="A103" s="19" t="s">
        <v>26</v>
      </c>
      <c r="B103" s="20" t="s">
        <v>64</v>
      </c>
      <c r="C103" s="21" t="s">
        <v>111</v>
      </c>
      <c r="D103" s="20" t="s">
        <v>110</v>
      </c>
      <c r="E103" s="3">
        <v>160000000</v>
      </c>
      <c r="F103" s="19">
        <v>43970</v>
      </c>
      <c r="G103" s="3">
        <v>160000000</v>
      </c>
      <c r="H103" s="2">
        <v>5.0000000000000001E-3</v>
      </c>
      <c r="I103" s="19">
        <v>44044</v>
      </c>
      <c r="J103" s="19">
        <v>44074</v>
      </c>
      <c r="K103" s="3">
        <f t="shared" si="8"/>
        <v>31</v>
      </c>
      <c r="L103" s="3">
        <f t="shared" si="9"/>
        <v>67760</v>
      </c>
      <c r="M103" s="3">
        <v>160000000</v>
      </c>
    </row>
    <row r="104" spans="1:13" s="18" customFormat="1" outlineLevel="2">
      <c r="A104" s="19" t="s">
        <v>26</v>
      </c>
      <c r="B104" s="20" t="s">
        <v>85</v>
      </c>
      <c r="C104" s="21" t="s">
        <v>109</v>
      </c>
      <c r="D104" s="20" t="s">
        <v>34</v>
      </c>
      <c r="E104" s="3">
        <v>13104000</v>
      </c>
      <c r="F104" s="19">
        <v>43979</v>
      </c>
      <c r="G104" s="3">
        <v>13104000</v>
      </c>
      <c r="H104" s="2">
        <v>5.0000000000000001E-3</v>
      </c>
      <c r="I104" s="19">
        <v>44044</v>
      </c>
      <c r="J104" s="19">
        <v>44074</v>
      </c>
      <c r="K104" s="3">
        <f t="shared" si="8"/>
        <v>31</v>
      </c>
      <c r="L104" s="3">
        <f t="shared" si="9"/>
        <v>5550</v>
      </c>
      <c r="M104" s="3">
        <v>13104000</v>
      </c>
    </row>
    <row r="105" spans="1:13" s="18" customFormat="1" outlineLevel="2">
      <c r="A105" s="19" t="s">
        <v>26</v>
      </c>
      <c r="B105" s="20" t="s">
        <v>84</v>
      </c>
      <c r="C105" s="21" t="s">
        <v>130</v>
      </c>
      <c r="D105" s="20" t="s">
        <v>129</v>
      </c>
      <c r="E105" s="3">
        <v>6550000</v>
      </c>
      <c r="F105" s="19">
        <v>43993</v>
      </c>
      <c r="G105" s="3">
        <v>6550000</v>
      </c>
      <c r="H105" s="2">
        <v>5.0000000000000001E-3</v>
      </c>
      <c r="I105" s="19">
        <v>44044</v>
      </c>
      <c r="J105" s="19">
        <v>44074</v>
      </c>
      <c r="K105" s="3">
        <f t="shared" si="8"/>
        <v>31</v>
      </c>
      <c r="L105" s="3">
        <f t="shared" si="9"/>
        <v>2774</v>
      </c>
      <c r="M105" s="3">
        <v>6550000</v>
      </c>
    </row>
    <row r="106" spans="1:13" s="18" customFormat="1" outlineLevel="2">
      <c r="A106" s="19" t="s">
        <v>26</v>
      </c>
      <c r="B106" s="20" t="s">
        <v>83</v>
      </c>
      <c r="C106" s="21" t="s">
        <v>130</v>
      </c>
      <c r="D106" s="20" t="s">
        <v>129</v>
      </c>
      <c r="E106" s="3">
        <v>19710000</v>
      </c>
      <c r="F106" s="19">
        <v>43993</v>
      </c>
      <c r="G106" s="3">
        <v>19710000</v>
      </c>
      <c r="H106" s="2">
        <v>5.0000000000000001E-3</v>
      </c>
      <c r="I106" s="19">
        <v>44044</v>
      </c>
      <c r="J106" s="19">
        <v>44074</v>
      </c>
      <c r="K106" s="3">
        <f t="shared" si="8"/>
        <v>31</v>
      </c>
      <c r="L106" s="3">
        <f t="shared" si="9"/>
        <v>8347</v>
      </c>
      <c r="M106" s="3">
        <v>19710000</v>
      </c>
    </row>
    <row r="107" spans="1:13" s="18" customFormat="1" outlineLevel="2">
      <c r="A107" s="19" t="s">
        <v>26</v>
      </c>
      <c r="B107" s="20" t="s">
        <v>102</v>
      </c>
      <c r="C107" s="21" t="s">
        <v>130</v>
      </c>
      <c r="D107" s="20" t="s">
        <v>129</v>
      </c>
      <c r="E107" s="3">
        <v>16860000</v>
      </c>
      <c r="F107" s="19">
        <v>43993</v>
      </c>
      <c r="G107" s="3">
        <v>16860000</v>
      </c>
      <c r="H107" s="2">
        <v>5.0000000000000001E-3</v>
      </c>
      <c r="I107" s="19">
        <v>44044</v>
      </c>
      <c r="J107" s="19">
        <v>44074</v>
      </c>
      <c r="K107" s="3">
        <f t="shared" si="8"/>
        <v>31</v>
      </c>
      <c r="L107" s="3">
        <f t="shared" si="9"/>
        <v>7140</v>
      </c>
      <c r="M107" s="3">
        <v>16860000</v>
      </c>
    </row>
    <row r="108" spans="1:13" s="18" customFormat="1" outlineLevel="2">
      <c r="A108" s="19" t="s">
        <v>26</v>
      </c>
      <c r="B108" s="20" t="s">
        <v>101</v>
      </c>
      <c r="C108" s="21" t="s">
        <v>128</v>
      </c>
      <c r="D108" s="20" t="s">
        <v>127</v>
      </c>
      <c r="E108" s="3">
        <v>240000000</v>
      </c>
      <c r="F108" s="19">
        <v>44000</v>
      </c>
      <c r="G108" s="3">
        <v>240000000</v>
      </c>
      <c r="H108" s="2">
        <v>5.0000000000000001E-3</v>
      </c>
      <c r="I108" s="19">
        <v>44044</v>
      </c>
      <c r="J108" s="19">
        <v>44074</v>
      </c>
      <c r="K108" s="3">
        <f t="shared" si="8"/>
        <v>31</v>
      </c>
      <c r="L108" s="3">
        <f t="shared" si="9"/>
        <v>101639</v>
      </c>
      <c r="M108" s="3">
        <v>240000000</v>
      </c>
    </row>
    <row r="109" spans="1:13" s="18" customFormat="1" outlineLevel="2">
      <c r="A109" s="19" t="s">
        <v>26</v>
      </c>
      <c r="B109" s="20" t="s">
        <v>23</v>
      </c>
      <c r="C109" s="21" t="s">
        <v>27</v>
      </c>
      <c r="D109" s="20" t="s">
        <v>28</v>
      </c>
      <c r="E109" s="3">
        <v>57000000</v>
      </c>
      <c r="F109" s="19">
        <v>43822</v>
      </c>
      <c r="G109" s="3">
        <v>57000000</v>
      </c>
      <c r="H109" s="2">
        <v>5.0000000000000001E-3</v>
      </c>
      <c r="I109" s="19">
        <v>44044</v>
      </c>
      <c r="J109" s="19">
        <v>44074</v>
      </c>
      <c r="K109" s="3">
        <f t="shared" si="8"/>
        <v>31</v>
      </c>
      <c r="L109" s="3">
        <f t="shared" si="9"/>
        <v>24139</v>
      </c>
      <c r="M109" s="3">
        <v>57000000</v>
      </c>
    </row>
    <row r="110" spans="1:13" s="18" customFormat="1" outlineLevel="2">
      <c r="A110" s="19" t="s">
        <v>26</v>
      </c>
      <c r="B110" s="20" t="s">
        <v>100</v>
      </c>
      <c r="C110" s="21" t="s">
        <v>111</v>
      </c>
      <c r="D110" s="20" t="s">
        <v>110</v>
      </c>
      <c r="E110" s="3">
        <v>55000000</v>
      </c>
      <c r="F110" s="19">
        <v>44001</v>
      </c>
      <c r="G110" s="3">
        <v>55000000</v>
      </c>
      <c r="H110" s="2">
        <v>5.0000000000000001E-3</v>
      </c>
      <c r="I110" s="19">
        <v>44044</v>
      </c>
      <c r="J110" s="19">
        <v>44074</v>
      </c>
      <c r="K110" s="3">
        <f t="shared" si="8"/>
        <v>31</v>
      </c>
      <c r="L110" s="3">
        <f t="shared" si="9"/>
        <v>23292</v>
      </c>
      <c r="M110" s="3">
        <v>55000000</v>
      </c>
    </row>
    <row r="111" spans="1:13" s="18" customFormat="1" outlineLevel="2">
      <c r="A111" s="19" t="s">
        <v>26</v>
      </c>
      <c r="B111" s="20" t="s">
        <v>99</v>
      </c>
      <c r="C111" s="21" t="s">
        <v>126</v>
      </c>
      <c r="D111" s="20" t="s">
        <v>125</v>
      </c>
      <c r="E111" s="3">
        <v>8907064</v>
      </c>
      <c r="F111" s="19">
        <v>44006</v>
      </c>
      <c r="G111" s="3">
        <v>8907064</v>
      </c>
      <c r="H111" s="2">
        <v>5.0000000000000001E-3</v>
      </c>
      <c r="I111" s="19">
        <v>44044</v>
      </c>
      <c r="J111" s="19">
        <v>44074</v>
      </c>
      <c r="K111" s="3">
        <f t="shared" si="8"/>
        <v>31</v>
      </c>
      <c r="L111" s="3">
        <f t="shared" si="9"/>
        <v>3772</v>
      </c>
      <c r="M111" s="3">
        <v>8907064</v>
      </c>
    </row>
    <row r="112" spans="1:13" s="18" customFormat="1" outlineLevel="2">
      <c r="A112" s="19" t="s">
        <v>26</v>
      </c>
      <c r="B112" s="20" t="s">
        <v>98</v>
      </c>
      <c r="C112" s="21" t="s">
        <v>33</v>
      </c>
      <c r="D112" s="20" t="s">
        <v>34</v>
      </c>
      <c r="E112" s="3">
        <v>7560000</v>
      </c>
      <c r="F112" s="19">
        <v>44018</v>
      </c>
      <c r="G112" s="3">
        <v>7560000</v>
      </c>
      <c r="H112" s="2">
        <v>5.0000000000000001E-3</v>
      </c>
      <c r="I112" s="19">
        <v>44044</v>
      </c>
      <c r="J112" s="19">
        <v>44074</v>
      </c>
      <c r="K112" s="3">
        <f t="shared" si="8"/>
        <v>31</v>
      </c>
      <c r="L112" s="3">
        <f t="shared" si="9"/>
        <v>3202</v>
      </c>
      <c r="M112" s="3">
        <v>7560000</v>
      </c>
    </row>
    <row r="113" spans="1:13" s="18" customFormat="1" outlineLevel="2">
      <c r="A113" s="19" t="s">
        <v>26</v>
      </c>
      <c r="B113" s="20" t="s">
        <v>122</v>
      </c>
      <c r="C113" s="21" t="s">
        <v>27</v>
      </c>
      <c r="D113" s="20" t="s">
        <v>28</v>
      </c>
      <c r="E113" s="3">
        <v>38000000</v>
      </c>
      <c r="F113" s="19">
        <v>44022</v>
      </c>
      <c r="G113" s="3">
        <v>38000000</v>
      </c>
      <c r="H113" s="2">
        <v>5.0000000000000001E-3</v>
      </c>
      <c r="I113" s="19">
        <v>44044</v>
      </c>
      <c r="J113" s="19">
        <v>44074</v>
      </c>
      <c r="K113" s="3">
        <f t="shared" si="8"/>
        <v>31</v>
      </c>
      <c r="L113" s="3">
        <f t="shared" si="9"/>
        <v>16093</v>
      </c>
      <c r="M113" s="3">
        <v>38000000</v>
      </c>
    </row>
    <row r="114" spans="1:13" s="18" customFormat="1" outlineLevel="2">
      <c r="A114" s="19" t="s">
        <v>26</v>
      </c>
      <c r="B114" s="20" t="s">
        <v>121</v>
      </c>
      <c r="C114" s="21" t="s">
        <v>27</v>
      </c>
      <c r="D114" s="20" t="s">
        <v>28</v>
      </c>
      <c r="E114" s="3">
        <v>10500000</v>
      </c>
      <c r="F114" s="19">
        <v>44022</v>
      </c>
      <c r="G114" s="3">
        <v>10500000</v>
      </c>
      <c r="H114" s="2">
        <v>5.0000000000000001E-3</v>
      </c>
      <c r="I114" s="19">
        <v>44044</v>
      </c>
      <c r="J114" s="19">
        <v>44074</v>
      </c>
      <c r="K114" s="3">
        <f t="shared" si="8"/>
        <v>31</v>
      </c>
      <c r="L114" s="3">
        <f t="shared" si="9"/>
        <v>4447</v>
      </c>
      <c r="M114" s="3">
        <v>10500000</v>
      </c>
    </row>
    <row r="115" spans="1:13" s="18" customFormat="1" outlineLevel="2">
      <c r="A115" s="19" t="s">
        <v>26</v>
      </c>
      <c r="B115" s="20" t="s">
        <v>120</v>
      </c>
      <c r="C115" s="21" t="s">
        <v>156</v>
      </c>
      <c r="D115" s="20" t="s">
        <v>155</v>
      </c>
      <c r="E115" s="3">
        <v>72000000</v>
      </c>
      <c r="F115" s="19">
        <v>44025</v>
      </c>
      <c r="G115" s="3">
        <v>72000000</v>
      </c>
      <c r="H115" s="2">
        <v>5.0000000000000001E-3</v>
      </c>
      <c r="I115" s="19">
        <v>44044</v>
      </c>
      <c r="J115" s="19">
        <v>44059</v>
      </c>
      <c r="K115" s="3">
        <f t="shared" si="8"/>
        <v>16</v>
      </c>
      <c r="L115" s="3">
        <f t="shared" si="9"/>
        <v>15738</v>
      </c>
      <c r="M115" s="3">
        <v>71394958</v>
      </c>
    </row>
    <row r="116" spans="1:13" s="18" customFormat="1" outlineLevel="2">
      <c r="A116" s="19" t="s">
        <v>26</v>
      </c>
      <c r="B116" s="20" t="s">
        <v>120</v>
      </c>
      <c r="C116" s="21" t="s">
        <v>156</v>
      </c>
      <c r="D116" s="20"/>
      <c r="E116" s="3"/>
      <c r="F116" s="19"/>
      <c r="G116" s="3">
        <v>71394958</v>
      </c>
      <c r="H116" s="2">
        <v>5.0000000000000001E-3</v>
      </c>
      <c r="I116" s="19">
        <v>44060</v>
      </c>
      <c r="J116" s="19">
        <v>44074</v>
      </c>
      <c r="K116" s="3">
        <f t="shared" si="8"/>
        <v>15</v>
      </c>
      <c r="L116" s="3">
        <f t="shared" si="9"/>
        <v>14630</v>
      </c>
      <c r="M116" s="3"/>
    </row>
    <row r="117" spans="1:13" s="18" customFormat="1" outlineLevel="2">
      <c r="A117" s="19" t="s">
        <v>26</v>
      </c>
      <c r="B117" s="20" t="s">
        <v>147</v>
      </c>
      <c r="C117" s="21" t="s">
        <v>141</v>
      </c>
      <c r="D117" s="20" t="s">
        <v>140</v>
      </c>
      <c r="E117" s="3">
        <v>87500000</v>
      </c>
      <c r="F117" s="19">
        <v>44027</v>
      </c>
      <c r="G117" s="3">
        <v>87500000</v>
      </c>
      <c r="H117" s="2">
        <v>5.0000000000000001E-3</v>
      </c>
      <c r="I117" s="19">
        <v>44044</v>
      </c>
      <c r="J117" s="19">
        <v>44074</v>
      </c>
      <c r="K117" s="3">
        <f t="shared" si="8"/>
        <v>31</v>
      </c>
      <c r="L117" s="3">
        <f t="shared" si="9"/>
        <v>37056</v>
      </c>
      <c r="M117" s="3">
        <v>87500000</v>
      </c>
    </row>
    <row r="118" spans="1:13" s="18" customFormat="1" outlineLevel="2">
      <c r="A118" s="19" t="s">
        <v>26</v>
      </c>
      <c r="B118" s="20" t="s">
        <v>146</v>
      </c>
      <c r="C118" s="21" t="s">
        <v>154</v>
      </c>
      <c r="D118" s="20" t="s">
        <v>153</v>
      </c>
      <c r="E118" s="3">
        <v>84000000</v>
      </c>
      <c r="F118" s="19">
        <v>44027</v>
      </c>
      <c r="G118" s="3">
        <v>84000000</v>
      </c>
      <c r="H118" s="2">
        <v>5.0000000000000001E-3</v>
      </c>
      <c r="I118" s="19">
        <v>44044</v>
      </c>
      <c r="J118" s="19">
        <v>44074</v>
      </c>
      <c r="K118" s="3">
        <f t="shared" si="8"/>
        <v>31</v>
      </c>
      <c r="L118" s="3">
        <f t="shared" si="9"/>
        <v>35574</v>
      </c>
      <c r="M118" s="3">
        <v>84000000</v>
      </c>
    </row>
    <row r="119" spans="1:13" s="18" customFormat="1" outlineLevel="2">
      <c r="A119" s="19" t="s">
        <v>26</v>
      </c>
      <c r="B119" s="20" t="s">
        <v>145</v>
      </c>
      <c r="C119" s="21" t="s">
        <v>97</v>
      </c>
      <c r="D119" s="20" t="s">
        <v>96</v>
      </c>
      <c r="E119" s="3">
        <v>12230000</v>
      </c>
      <c r="F119" s="19">
        <v>44034</v>
      </c>
      <c r="G119" s="3">
        <v>12230000</v>
      </c>
      <c r="H119" s="2">
        <v>5.0000000000000001E-3</v>
      </c>
      <c r="I119" s="19">
        <v>44044</v>
      </c>
      <c r="J119" s="19">
        <v>44074</v>
      </c>
      <c r="K119" s="3">
        <f t="shared" si="8"/>
        <v>31</v>
      </c>
      <c r="L119" s="3">
        <f t="shared" si="9"/>
        <v>5179</v>
      </c>
      <c r="M119" s="3">
        <v>12230000</v>
      </c>
    </row>
    <row r="120" spans="1:13" s="18" customFormat="1" outlineLevel="2">
      <c r="A120" s="19" t="s">
        <v>26</v>
      </c>
      <c r="B120" s="20" t="s">
        <v>144</v>
      </c>
      <c r="C120" s="21" t="s">
        <v>111</v>
      </c>
      <c r="D120" s="20" t="s">
        <v>110</v>
      </c>
      <c r="E120" s="3">
        <v>40000000</v>
      </c>
      <c r="F120" s="19">
        <v>44040</v>
      </c>
      <c r="G120" s="3">
        <v>40000000</v>
      </c>
      <c r="H120" s="2">
        <v>5.0000000000000001E-3</v>
      </c>
      <c r="I120" s="19">
        <v>44044</v>
      </c>
      <c r="J120" s="19">
        <v>44074</v>
      </c>
      <c r="K120" s="3">
        <f t="shared" si="8"/>
        <v>31</v>
      </c>
      <c r="L120" s="3">
        <f t="shared" si="9"/>
        <v>16940</v>
      </c>
      <c r="M120" s="3">
        <v>40000000</v>
      </c>
    </row>
    <row r="121" spans="1:13" s="18" customFormat="1" outlineLevel="2">
      <c r="A121" s="19" t="s">
        <v>26</v>
      </c>
      <c r="B121" s="20" t="s">
        <v>29</v>
      </c>
      <c r="C121" s="21" t="s">
        <v>21</v>
      </c>
      <c r="D121" s="20" t="s">
        <v>22</v>
      </c>
      <c r="E121" s="3">
        <v>171000000</v>
      </c>
      <c r="F121" s="19">
        <v>43822</v>
      </c>
      <c r="G121" s="3">
        <v>171000000</v>
      </c>
      <c r="H121" s="2">
        <v>5.0000000000000001E-3</v>
      </c>
      <c r="I121" s="19">
        <v>44044</v>
      </c>
      <c r="J121" s="19">
        <v>44074</v>
      </c>
      <c r="K121" s="3">
        <f t="shared" si="8"/>
        <v>31</v>
      </c>
      <c r="L121" s="3">
        <f t="shared" si="9"/>
        <v>72418</v>
      </c>
      <c r="M121" s="3">
        <v>171000000</v>
      </c>
    </row>
    <row r="122" spans="1:13" s="18" customFormat="1" outlineLevel="2">
      <c r="A122" s="19" t="s">
        <v>26</v>
      </c>
      <c r="B122" s="20" t="s">
        <v>143</v>
      </c>
      <c r="C122" s="21" t="s">
        <v>151</v>
      </c>
      <c r="D122" s="20" t="s">
        <v>150</v>
      </c>
      <c r="E122" s="3">
        <v>18000000</v>
      </c>
      <c r="F122" s="19">
        <v>44043</v>
      </c>
      <c r="G122" s="3">
        <v>18000000</v>
      </c>
      <c r="H122" s="2">
        <v>5.0000000000000001E-3</v>
      </c>
      <c r="I122" s="19">
        <v>44044</v>
      </c>
      <c r="J122" s="19">
        <v>44074</v>
      </c>
      <c r="K122" s="3">
        <f t="shared" si="8"/>
        <v>31</v>
      </c>
      <c r="L122" s="3">
        <f t="shared" si="9"/>
        <v>7623</v>
      </c>
      <c r="M122" s="3">
        <v>18000000</v>
      </c>
    </row>
    <row r="123" spans="1:13" s="18" customFormat="1" outlineLevel="2">
      <c r="A123" s="19" t="s">
        <v>26</v>
      </c>
      <c r="B123" s="20" t="s">
        <v>142</v>
      </c>
      <c r="C123" s="21" t="s">
        <v>151</v>
      </c>
      <c r="D123" s="20" t="s">
        <v>150</v>
      </c>
      <c r="E123" s="3">
        <v>21000000</v>
      </c>
      <c r="F123" s="19">
        <v>44043</v>
      </c>
      <c r="G123" s="3">
        <v>21000000</v>
      </c>
      <c r="H123" s="2">
        <v>5.0000000000000001E-3</v>
      </c>
      <c r="I123" s="19">
        <v>44044</v>
      </c>
      <c r="J123" s="19">
        <v>44074</v>
      </c>
      <c r="K123" s="3">
        <f t="shared" si="8"/>
        <v>31</v>
      </c>
      <c r="L123" s="3">
        <f t="shared" si="9"/>
        <v>8893</v>
      </c>
      <c r="M123" s="3">
        <v>21000000</v>
      </c>
    </row>
    <row r="124" spans="1:13" s="18" customFormat="1" outlineLevel="2">
      <c r="A124" s="19" t="s">
        <v>26</v>
      </c>
      <c r="B124" s="20" t="s">
        <v>152</v>
      </c>
      <c r="C124" s="21" t="s">
        <v>151</v>
      </c>
      <c r="D124" s="20" t="s">
        <v>150</v>
      </c>
      <c r="E124" s="3">
        <v>13600000</v>
      </c>
      <c r="F124" s="19">
        <v>44043</v>
      </c>
      <c r="G124" s="3">
        <v>13600000</v>
      </c>
      <c r="H124" s="2">
        <v>5.0000000000000001E-3</v>
      </c>
      <c r="I124" s="19">
        <v>44044</v>
      </c>
      <c r="J124" s="19">
        <v>44074</v>
      </c>
      <c r="K124" s="3">
        <f t="shared" si="8"/>
        <v>31</v>
      </c>
      <c r="L124" s="3">
        <f t="shared" si="9"/>
        <v>5760</v>
      </c>
      <c r="M124" s="3">
        <v>13600000</v>
      </c>
    </row>
    <row r="125" spans="1:13" s="18" customFormat="1" outlineLevel="2">
      <c r="A125" s="19" t="s">
        <v>26</v>
      </c>
      <c r="B125" s="20" t="s">
        <v>168</v>
      </c>
      <c r="C125" s="21" t="s">
        <v>27</v>
      </c>
      <c r="D125" s="20" t="s">
        <v>28</v>
      </c>
      <c r="E125" s="3">
        <v>28000000</v>
      </c>
      <c r="F125" s="19">
        <v>44046</v>
      </c>
      <c r="G125" s="3">
        <v>28000000</v>
      </c>
      <c r="H125" s="2">
        <v>5.0000000000000001E-3</v>
      </c>
      <c r="I125" s="19">
        <v>44046</v>
      </c>
      <c r="J125" s="19">
        <v>44074</v>
      </c>
      <c r="K125" s="3">
        <f t="shared" si="8"/>
        <v>29</v>
      </c>
      <c r="L125" s="3">
        <f t="shared" si="9"/>
        <v>11093</v>
      </c>
      <c r="M125" s="3">
        <v>28000000</v>
      </c>
    </row>
    <row r="126" spans="1:13" s="18" customFormat="1" outlineLevel="2">
      <c r="A126" s="19" t="s">
        <v>26</v>
      </c>
      <c r="B126" s="20" t="s">
        <v>167</v>
      </c>
      <c r="C126" s="21" t="s">
        <v>27</v>
      </c>
      <c r="D126" s="20" t="s">
        <v>28</v>
      </c>
      <c r="E126" s="3">
        <v>2700000</v>
      </c>
      <c r="F126" s="19">
        <v>44056</v>
      </c>
      <c r="G126" s="3">
        <v>2700000</v>
      </c>
      <c r="H126" s="2">
        <v>5.0000000000000001E-3</v>
      </c>
      <c r="I126" s="19">
        <v>44056</v>
      </c>
      <c r="J126" s="19">
        <v>44074</v>
      </c>
      <c r="K126" s="3">
        <f t="shared" si="8"/>
        <v>19</v>
      </c>
      <c r="L126" s="3">
        <f t="shared" si="9"/>
        <v>701</v>
      </c>
      <c r="M126" s="3">
        <v>2700000</v>
      </c>
    </row>
    <row r="127" spans="1:13" s="18" customFormat="1" outlineLevel="2">
      <c r="A127" s="19" t="s">
        <v>26</v>
      </c>
      <c r="B127" s="20" t="s">
        <v>166</v>
      </c>
      <c r="C127" s="21" t="s">
        <v>27</v>
      </c>
      <c r="D127" s="20" t="s">
        <v>28</v>
      </c>
      <c r="E127" s="3">
        <v>29500000</v>
      </c>
      <c r="F127" s="19">
        <v>44074</v>
      </c>
      <c r="G127" s="3">
        <v>29500000</v>
      </c>
      <c r="H127" s="2">
        <v>5.0000000000000001E-3</v>
      </c>
      <c r="I127" s="19">
        <v>44074</v>
      </c>
      <c r="J127" s="19">
        <v>44074</v>
      </c>
      <c r="K127" s="3">
        <f t="shared" si="8"/>
        <v>1</v>
      </c>
      <c r="L127" s="3">
        <f t="shared" si="9"/>
        <v>403</v>
      </c>
      <c r="M127" s="3">
        <v>29500000</v>
      </c>
    </row>
    <row r="128" spans="1:13" s="18" customFormat="1" outlineLevel="2">
      <c r="A128" s="19" t="s">
        <v>26</v>
      </c>
      <c r="B128" s="20" t="s">
        <v>165</v>
      </c>
      <c r="C128" s="21" t="s">
        <v>162</v>
      </c>
      <c r="D128" s="20" t="s">
        <v>161</v>
      </c>
      <c r="E128" s="3">
        <v>120000000</v>
      </c>
      <c r="F128" s="19">
        <v>44046</v>
      </c>
      <c r="G128" s="3">
        <v>120000000</v>
      </c>
      <c r="H128" s="2">
        <v>5.0000000000000001E-3</v>
      </c>
      <c r="I128" s="19">
        <v>44046</v>
      </c>
      <c r="J128" s="19">
        <v>44074</v>
      </c>
      <c r="K128" s="3">
        <f t="shared" si="8"/>
        <v>29</v>
      </c>
      <c r="L128" s="3">
        <f t="shared" si="9"/>
        <v>47541</v>
      </c>
      <c r="M128" s="3">
        <v>120000000</v>
      </c>
    </row>
    <row r="129" spans="1:13" s="18" customFormat="1" outlineLevel="2">
      <c r="A129" s="19" t="s">
        <v>26</v>
      </c>
      <c r="B129" s="20" t="s">
        <v>180</v>
      </c>
      <c r="C129" s="21" t="s">
        <v>33</v>
      </c>
      <c r="D129" s="20" t="s">
        <v>34</v>
      </c>
      <c r="E129" s="3">
        <v>8736000</v>
      </c>
      <c r="F129" s="19">
        <v>44047</v>
      </c>
      <c r="G129" s="3">
        <v>8736000</v>
      </c>
      <c r="H129" s="2">
        <v>5.0000000000000001E-3</v>
      </c>
      <c r="I129" s="19">
        <v>44047</v>
      </c>
      <c r="J129" s="19">
        <v>44074</v>
      </c>
      <c r="K129" s="3">
        <f t="shared" si="8"/>
        <v>28</v>
      </c>
      <c r="L129" s="3">
        <f t="shared" si="9"/>
        <v>3342</v>
      </c>
      <c r="M129" s="3">
        <v>8736000</v>
      </c>
    </row>
    <row r="130" spans="1:13" s="18" customFormat="1" outlineLevel="2">
      <c r="A130" s="19" t="s">
        <v>26</v>
      </c>
      <c r="B130" s="20" t="s">
        <v>179</v>
      </c>
      <c r="C130" s="21" t="s">
        <v>33</v>
      </c>
      <c r="D130" s="20" t="s">
        <v>34</v>
      </c>
      <c r="E130" s="3">
        <v>8988000</v>
      </c>
      <c r="F130" s="19">
        <v>44067</v>
      </c>
      <c r="G130" s="3">
        <v>8988000</v>
      </c>
      <c r="H130" s="2">
        <v>5.0000000000000001E-3</v>
      </c>
      <c r="I130" s="19">
        <v>44067</v>
      </c>
      <c r="J130" s="19">
        <v>44074</v>
      </c>
      <c r="K130" s="3">
        <f t="shared" si="8"/>
        <v>8</v>
      </c>
      <c r="L130" s="3">
        <f t="shared" si="9"/>
        <v>982</v>
      </c>
      <c r="M130" s="3">
        <v>8988000</v>
      </c>
    </row>
    <row r="131" spans="1:13" s="18" customFormat="1" outlineLevel="2">
      <c r="A131" s="19" t="s">
        <v>26</v>
      </c>
      <c r="B131" s="20" t="s">
        <v>178</v>
      </c>
      <c r="C131" s="21" t="s">
        <v>33</v>
      </c>
      <c r="D131" s="20" t="s">
        <v>34</v>
      </c>
      <c r="E131" s="3">
        <v>34608000</v>
      </c>
      <c r="F131" s="19">
        <v>44070</v>
      </c>
      <c r="G131" s="3">
        <v>34608000</v>
      </c>
      <c r="H131" s="2">
        <v>5.0000000000000001E-3</v>
      </c>
      <c r="I131" s="19">
        <v>44070</v>
      </c>
      <c r="J131" s="19">
        <v>44074</v>
      </c>
      <c r="K131" s="3">
        <f t="shared" si="8"/>
        <v>5</v>
      </c>
      <c r="L131" s="3">
        <f t="shared" si="9"/>
        <v>2364</v>
      </c>
      <c r="M131" s="3">
        <v>34608000</v>
      </c>
    </row>
    <row r="132" spans="1:13" s="18" customFormat="1" outlineLevel="2">
      <c r="A132" s="19" t="s">
        <v>26</v>
      </c>
      <c r="B132" s="20" t="s">
        <v>30</v>
      </c>
      <c r="C132" s="21" t="s">
        <v>27</v>
      </c>
      <c r="D132" s="20" t="s">
        <v>28</v>
      </c>
      <c r="E132" s="3">
        <v>38000000</v>
      </c>
      <c r="F132" s="19">
        <v>43850</v>
      </c>
      <c r="G132" s="3">
        <v>38000000</v>
      </c>
      <c r="H132" s="2">
        <v>5.0000000000000001E-3</v>
      </c>
      <c r="I132" s="19">
        <v>44044</v>
      </c>
      <c r="J132" s="19">
        <v>44074</v>
      </c>
      <c r="K132" s="3">
        <f t="shared" si="8"/>
        <v>31</v>
      </c>
      <c r="L132" s="3">
        <f t="shared" si="9"/>
        <v>16093</v>
      </c>
      <c r="M132" s="3">
        <v>38000000</v>
      </c>
    </row>
    <row r="133" spans="1:13" s="18" customFormat="1" outlineLevel="2">
      <c r="A133" s="19" t="s">
        <v>26</v>
      </c>
      <c r="B133" s="20" t="s">
        <v>177</v>
      </c>
      <c r="C133" s="21" t="s">
        <v>175</v>
      </c>
      <c r="D133" s="20" t="s">
        <v>174</v>
      </c>
      <c r="E133" s="3">
        <v>13000000</v>
      </c>
      <c r="F133" s="19">
        <v>44047</v>
      </c>
      <c r="G133" s="3">
        <v>13000000</v>
      </c>
      <c r="H133" s="2">
        <v>5.0000000000000001E-3</v>
      </c>
      <c r="I133" s="19">
        <v>44047</v>
      </c>
      <c r="J133" s="19">
        <v>44074</v>
      </c>
      <c r="K133" s="3">
        <f t="shared" si="8"/>
        <v>28</v>
      </c>
      <c r="L133" s="3">
        <f t="shared" si="9"/>
        <v>4973</v>
      </c>
      <c r="M133" s="3">
        <v>13000000</v>
      </c>
    </row>
    <row r="134" spans="1:13" s="18" customFormat="1" outlineLevel="2">
      <c r="A134" s="19" t="s">
        <v>26</v>
      </c>
      <c r="B134" s="20" t="s">
        <v>176</v>
      </c>
      <c r="C134" s="21" t="s">
        <v>175</v>
      </c>
      <c r="D134" s="20" t="s">
        <v>174</v>
      </c>
      <c r="E134" s="3">
        <v>5000000</v>
      </c>
      <c r="F134" s="19">
        <v>44053</v>
      </c>
      <c r="G134" s="3">
        <v>5000000</v>
      </c>
      <c r="H134" s="2">
        <v>5.0000000000000001E-3</v>
      </c>
      <c r="I134" s="19">
        <v>44053</v>
      </c>
      <c r="J134" s="19">
        <v>44074</v>
      </c>
      <c r="K134" s="3">
        <f t="shared" si="8"/>
        <v>22</v>
      </c>
      <c r="L134" s="3">
        <f t="shared" si="9"/>
        <v>1503</v>
      </c>
      <c r="M134" s="3">
        <v>5000000</v>
      </c>
    </row>
    <row r="135" spans="1:13" s="18" customFormat="1" outlineLevel="2">
      <c r="A135" s="19" t="s">
        <v>26</v>
      </c>
      <c r="B135" s="20" t="s">
        <v>173</v>
      </c>
      <c r="C135" s="21" t="s">
        <v>156</v>
      </c>
      <c r="D135" s="20" t="s">
        <v>155</v>
      </c>
      <c r="E135" s="3">
        <v>5300000</v>
      </c>
      <c r="F135" s="19">
        <v>44050</v>
      </c>
      <c r="G135" s="3">
        <v>5300000</v>
      </c>
      <c r="H135" s="2">
        <v>5.0000000000000001E-3</v>
      </c>
      <c r="I135" s="19">
        <v>44050</v>
      </c>
      <c r="J135" s="19">
        <v>44074</v>
      </c>
      <c r="K135" s="3">
        <f t="shared" si="8"/>
        <v>25</v>
      </c>
      <c r="L135" s="3">
        <f t="shared" si="9"/>
        <v>1810</v>
      </c>
      <c r="M135" s="3">
        <v>5300000</v>
      </c>
    </row>
    <row r="136" spans="1:13" s="18" customFormat="1" outlineLevel="2">
      <c r="A136" s="19" t="s">
        <v>26</v>
      </c>
      <c r="B136" s="20" t="s">
        <v>172</v>
      </c>
      <c r="C136" s="21" t="s">
        <v>72</v>
      </c>
      <c r="D136" s="20" t="s">
        <v>71</v>
      </c>
      <c r="E136" s="3">
        <v>40000000</v>
      </c>
      <c r="F136" s="19">
        <v>44060</v>
      </c>
      <c r="G136" s="3">
        <v>40000000</v>
      </c>
      <c r="H136" s="2">
        <v>5.0000000000000001E-3</v>
      </c>
      <c r="I136" s="19">
        <v>44060</v>
      </c>
      <c r="J136" s="19">
        <v>44074</v>
      </c>
      <c r="K136" s="3">
        <f t="shared" si="8"/>
        <v>15</v>
      </c>
      <c r="L136" s="3">
        <f t="shared" si="9"/>
        <v>8197</v>
      </c>
      <c r="M136" s="3">
        <v>40000000</v>
      </c>
    </row>
    <row r="137" spans="1:13" s="18" customFormat="1" outlineLevel="2">
      <c r="A137" s="19" t="s">
        <v>26</v>
      </c>
      <c r="B137" s="20" t="s">
        <v>171</v>
      </c>
      <c r="C137" s="21" t="s">
        <v>107</v>
      </c>
      <c r="D137" s="20" t="s">
        <v>106</v>
      </c>
      <c r="E137" s="3">
        <v>10000000</v>
      </c>
      <c r="F137" s="19">
        <v>44067</v>
      </c>
      <c r="G137" s="3">
        <v>10000000</v>
      </c>
      <c r="H137" s="2">
        <v>5.0000000000000001E-3</v>
      </c>
      <c r="I137" s="19">
        <v>44067</v>
      </c>
      <c r="J137" s="19">
        <v>44074</v>
      </c>
      <c r="K137" s="3">
        <f t="shared" si="8"/>
        <v>8</v>
      </c>
      <c r="L137" s="3">
        <f t="shared" si="9"/>
        <v>1093</v>
      </c>
      <c r="M137" s="3">
        <v>10000000</v>
      </c>
    </row>
    <row r="138" spans="1:13" s="18" customFormat="1" outlineLevel="2">
      <c r="A138" s="19" t="s">
        <v>26</v>
      </c>
      <c r="B138" s="20" t="s">
        <v>31</v>
      </c>
      <c r="C138" s="21" t="s">
        <v>27</v>
      </c>
      <c r="D138" s="20" t="s">
        <v>28</v>
      </c>
      <c r="E138" s="3">
        <v>10000000</v>
      </c>
      <c r="F138" s="19">
        <v>43850</v>
      </c>
      <c r="G138" s="3">
        <v>10000000</v>
      </c>
      <c r="H138" s="2">
        <v>5.0000000000000001E-3</v>
      </c>
      <c r="I138" s="19">
        <v>44044</v>
      </c>
      <c r="J138" s="19">
        <v>44074</v>
      </c>
      <c r="K138" s="3">
        <f t="shared" si="8"/>
        <v>31</v>
      </c>
      <c r="L138" s="3">
        <f t="shared" si="9"/>
        <v>4235</v>
      </c>
      <c r="M138" s="3">
        <v>10000000</v>
      </c>
    </row>
    <row r="139" spans="1:13" s="18" customFormat="1" outlineLevel="2">
      <c r="A139" s="19" t="s">
        <v>26</v>
      </c>
      <c r="B139" s="20" t="s">
        <v>32</v>
      </c>
      <c r="C139" s="21" t="s">
        <v>33</v>
      </c>
      <c r="D139" s="20" t="s">
        <v>34</v>
      </c>
      <c r="E139" s="3">
        <v>96176976</v>
      </c>
      <c r="F139" s="19">
        <v>43861</v>
      </c>
      <c r="G139" s="3">
        <v>96176976</v>
      </c>
      <c r="H139" s="2">
        <v>5.0000000000000001E-3</v>
      </c>
      <c r="I139" s="19">
        <v>44044</v>
      </c>
      <c r="J139" s="19">
        <v>44074</v>
      </c>
      <c r="K139" s="3">
        <f t="shared" si="8"/>
        <v>31</v>
      </c>
      <c r="L139" s="3">
        <f t="shared" si="9"/>
        <v>40731</v>
      </c>
      <c r="M139" s="3">
        <v>96176976</v>
      </c>
    </row>
    <row r="140" spans="1:13" s="18" customFormat="1" outlineLevel="2">
      <c r="A140" s="19" t="s">
        <v>26</v>
      </c>
      <c r="B140" s="20" t="s">
        <v>48</v>
      </c>
      <c r="C140" s="21" t="s">
        <v>27</v>
      </c>
      <c r="D140" s="20" t="s">
        <v>28</v>
      </c>
      <c r="E140" s="3">
        <v>1800000</v>
      </c>
      <c r="F140" s="19">
        <v>43876</v>
      </c>
      <c r="G140" s="3">
        <v>1800000</v>
      </c>
      <c r="H140" s="2">
        <v>5.0000000000000001E-3</v>
      </c>
      <c r="I140" s="19">
        <v>44044</v>
      </c>
      <c r="J140" s="19">
        <v>44074</v>
      </c>
      <c r="K140" s="3">
        <f t="shared" si="8"/>
        <v>31</v>
      </c>
      <c r="L140" s="3">
        <f t="shared" si="9"/>
        <v>762</v>
      </c>
      <c r="M140" s="3">
        <v>1800000</v>
      </c>
    </row>
    <row r="141" spans="1:13" s="18" customFormat="1" outlineLevel="2">
      <c r="A141" s="19" t="s">
        <v>26</v>
      </c>
      <c r="B141" s="20" t="s">
        <v>59</v>
      </c>
      <c r="C141" s="21" t="s">
        <v>72</v>
      </c>
      <c r="D141" s="20" t="s">
        <v>71</v>
      </c>
      <c r="E141" s="3">
        <v>30000000</v>
      </c>
      <c r="F141" s="19">
        <v>43906</v>
      </c>
      <c r="G141" s="3">
        <v>30000000</v>
      </c>
      <c r="H141" s="2">
        <v>5.0000000000000001E-3</v>
      </c>
      <c r="I141" s="19">
        <v>44044</v>
      </c>
      <c r="J141" s="19">
        <v>44074</v>
      </c>
      <c r="K141" s="3">
        <f t="shared" si="8"/>
        <v>31</v>
      </c>
      <c r="L141" s="3">
        <f t="shared" si="9"/>
        <v>12705</v>
      </c>
      <c r="M141" s="3">
        <v>30000000</v>
      </c>
    </row>
    <row r="142" spans="1:13" s="18" customFormat="1" outlineLevel="2">
      <c r="A142" s="19" t="s">
        <v>26</v>
      </c>
      <c r="B142" s="20" t="s">
        <v>58</v>
      </c>
      <c r="C142" s="21" t="s">
        <v>72</v>
      </c>
      <c r="D142" s="20" t="s">
        <v>71</v>
      </c>
      <c r="E142" s="3">
        <v>50000000</v>
      </c>
      <c r="F142" s="19">
        <v>43908</v>
      </c>
      <c r="G142" s="3">
        <v>50000000</v>
      </c>
      <c r="H142" s="2">
        <v>5.0000000000000001E-3</v>
      </c>
      <c r="I142" s="19">
        <v>44044</v>
      </c>
      <c r="J142" s="19">
        <v>44074</v>
      </c>
      <c r="K142" s="3">
        <f t="shared" si="8"/>
        <v>31</v>
      </c>
      <c r="L142" s="3">
        <f t="shared" si="9"/>
        <v>21175</v>
      </c>
      <c r="M142" s="3">
        <v>50000000</v>
      </c>
    </row>
    <row r="143" spans="1:13" s="18" customFormat="1" ht="13.5" outlineLevel="1">
      <c r="A143" s="22" t="s">
        <v>35</v>
      </c>
      <c r="B143" s="39"/>
      <c r="C143" s="40"/>
      <c r="D143" s="39"/>
      <c r="E143" s="41">
        <f>SUBTOTAL(9,E98:E142)</f>
        <v>1976485376</v>
      </c>
      <c r="F143" s="42"/>
      <c r="G143" s="41"/>
      <c r="H143" s="43"/>
      <c r="I143" s="42"/>
      <c r="J143" s="42"/>
      <c r="K143" s="41"/>
      <c r="L143" s="41">
        <f>SUBTOTAL(9,L98:L142)</f>
        <v>791397</v>
      </c>
      <c r="M143" s="41">
        <f>SUBTOTAL(9,M98:M142)</f>
        <v>1975880334</v>
      </c>
    </row>
    <row r="144" spans="1:13" s="18" customFormat="1" outlineLevel="2">
      <c r="A144" s="19" t="s">
        <v>170</v>
      </c>
      <c r="B144" s="20" t="s">
        <v>16</v>
      </c>
      <c r="C144" s="21" t="s">
        <v>72</v>
      </c>
      <c r="D144" s="20" t="s">
        <v>71</v>
      </c>
      <c r="E144" s="3">
        <v>1210000</v>
      </c>
      <c r="F144" s="19">
        <v>44061</v>
      </c>
      <c r="G144" s="3">
        <v>1210000</v>
      </c>
      <c r="H144" s="2">
        <v>5.0000000000000001E-3</v>
      </c>
      <c r="I144" s="19">
        <v>44061</v>
      </c>
      <c r="J144" s="19">
        <v>44074</v>
      </c>
      <c r="K144" s="3">
        <f>J144-I144+1</f>
        <v>14</v>
      </c>
      <c r="L144" s="3">
        <f>ROUND(G144*H144*K144/366,0)</f>
        <v>231</v>
      </c>
      <c r="M144" s="3">
        <v>1210000</v>
      </c>
    </row>
    <row r="145" spans="1:13" s="18" customFormat="1" ht="13.5" outlineLevel="1">
      <c r="A145" s="22" t="s">
        <v>169</v>
      </c>
      <c r="B145" s="39"/>
      <c r="C145" s="40"/>
      <c r="D145" s="39"/>
      <c r="E145" s="41">
        <f>SUBTOTAL(9,E144:E144)</f>
        <v>1210000</v>
      </c>
      <c r="F145" s="42"/>
      <c r="G145" s="41"/>
      <c r="H145" s="43"/>
      <c r="I145" s="42"/>
      <c r="J145" s="42"/>
      <c r="K145" s="41"/>
      <c r="L145" s="41">
        <f>SUBTOTAL(9,L144:L144)</f>
        <v>231</v>
      </c>
      <c r="M145" s="41">
        <f>SUBTOTAL(9,M144:M144)</f>
        <v>1210000</v>
      </c>
    </row>
    <row r="146" spans="1:13" s="18" customFormat="1" outlineLevel="2">
      <c r="A146" s="19" t="s">
        <v>36</v>
      </c>
      <c r="B146" s="20" t="s">
        <v>16</v>
      </c>
      <c r="C146" s="21" t="s">
        <v>17</v>
      </c>
      <c r="D146" s="20" t="s">
        <v>18</v>
      </c>
      <c r="E146" s="3">
        <v>150000000</v>
      </c>
      <c r="F146" s="19">
        <v>43829</v>
      </c>
      <c r="G146" s="3">
        <v>132500000</v>
      </c>
      <c r="H146" s="2">
        <v>5.0000000000000001E-3</v>
      </c>
      <c r="I146" s="19">
        <v>44044</v>
      </c>
      <c r="J146" s="19">
        <v>44059</v>
      </c>
      <c r="K146" s="3">
        <f t="shared" ref="K146:K165" si="10">J146-I146+1</f>
        <v>16</v>
      </c>
      <c r="L146" s="3">
        <f t="shared" ref="L146:L165" si="11">ROUND(G146*H146*K146/366,0)</f>
        <v>28962</v>
      </c>
      <c r="M146" s="3">
        <v>130000000</v>
      </c>
    </row>
    <row r="147" spans="1:13" s="18" customFormat="1" outlineLevel="2">
      <c r="A147" s="19" t="s">
        <v>36</v>
      </c>
      <c r="B147" s="20" t="s">
        <v>16</v>
      </c>
      <c r="C147" s="21" t="s">
        <v>17</v>
      </c>
      <c r="D147" s="20"/>
      <c r="E147" s="3"/>
      <c r="F147" s="19"/>
      <c r="G147" s="3">
        <v>130000000</v>
      </c>
      <c r="H147" s="2">
        <v>5.0000000000000001E-3</v>
      </c>
      <c r="I147" s="19">
        <v>44060</v>
      </c>
      <c r="J147" s="19">
        <v>44074</v>
      </c>
      <c r="K147" s="3">
        <f t="shared" si="10"/>
        <v>15</v>
      </c>
      <c r="L147" s="3">
        <f t="shared" si="11"/>
        <v>26639</v>
      </c>
      <c r="M147" s="3"/>
    </row>
    <row r="148" spans="1:13" s="18" customFormat="1" outlineLevel="2">
      <c r="A148" s="19" t="s">
        <v>36</v>
      </c>
      <c r="B148" s="20" t="s">
        <v>61</v>
      </c>
      <c r="C148" s="21" t="s">
        <v>17</v>
      </c>
      <c r="D148" s="20" t="s">
        <v>18</v>
      </c>
      <c r="E148" s="3">
        <v>9460000</v>
      </c>
      <c r="F148" s="19">
        <v>43990</v>
      </c>
      <c r="G148" s="3">
        <v>9116000</v>
      </c>
      <c r="H148" s="2">
        <v>5.0000000000000001E-3</v>
      </c>
      <c r="I148" s="19">
        <v>44044</v>
      </c>
      <c r="J148" s="19">
        <v>44059</v>
      </c>
      <c r="K148" s="3">
        <f t="shared" si="10"/>
        <v>16</v>
      </c>
      <c r="L148" s="3">
        <f t="shared" si="11"/>
        <v>1993</v>
      </c>
      <c r="M148" s="3">
        <v>8944000</v>
      </c>
    </row>
    <row r="149" spans="1:13" s="18" customFormat="1" outlineLevel="2">
      <c r="A149" s="19" t="s">
        <v>36</v>
      </c>
      <c r="B149" s="20" t="s">
        <v>61</v>
      </c>
      <c r="C149" s="21" t="s">
        <v>17</v>
      </c>
      <c r="D149" s="20"/>
      <c r="E149" s="3"/>
      <c r="F149" s="19"/>
      <c r="G149" s="3">
        <v>8944000</v>
      </c>
      <c r="H149" s="2">
        <v>5.0000000000000001E-3</v>
      </c>
      <c r="I149" s="19">
        <v>44060</v>
      </c>
      <c r="J149" s="19">
        <v>44074</v>
      </c>
      <c r="K149" s="3">
        <f t="shared" si="10"/>
        <v>15</v>
      </c>
      <c r="L149" s="3">
        <f t="shared" si="11"/>
        <v>1833</v>
      </c>
      <c r="M149" s="3"/>
    </row>
    <row r="150" spans="1:13" s="18" customFormat="1" outlineLevel="2">
      <c r="A150" s="19" t="s">
        <v>36</v>
      </c>
      <c r="B150" s="20" t="s">
        <v>60</v>
      </c>
      <c r="C150" s="21" t="s">
        <v>107</v>
      </c>
      <c r="D150" s="20" t="s">
        <v>106</v>
      </c>
      <c r="E150" s="3">
        <v>5000000</v>
      </c>
      <c r="F150" s="19">
        <v>44046</v>
      </c>
      <c r="G150" s="3">
        <v>5000000</v>
      </c>
      <c r="H150" s="2">
        <v>5.0000000000000001E-3</v>
      </c>
      <c r="I150" s="19">
        <v>44046</v>
      </c>
      <c r="J150" s="19">
        <v>44074</v>
      </c>
      <c r="K150" s="3">
        <f t="shared" si="10"/>
        <v>29</v>
      </c>
      <c r="L150" s="3">
        <f t="shared" si="11"/>
        <v>1981</v>
      </c>
      <c r="M150" s="3">
        <v>5000000</v>
      </c>
    </row>
    <row r="151" spans="1:13" s="18" customFormat="1" outlineLevel="2">
      <c r="A151" s="19" t="s">
        <v>36</v>
      </c>
      <c r="B151" s="20" t="s">
        <v>23</v>
      </c>
      <c r="C151" s="21" t="s">
        <v>17</v>
      </c>
      <c r="D151" s="20" t="s">
        <v>18</v>
      </c>
      <c r="E151" s="3">
        <v>32900000</v>
      </c>
      <c r="F151" s="19">
        <v>43829</v>
      </c>
      <c r="G151" s="3">
        <v>29061669</v>
      </c>
      <c r="H151" s="2">
        <v>5.0000000000000001E-3</v>
      </c>
      <c r="I151" s="19">
        <v>44044</v>
      </c>
      <c r="J151" s="19">
        <v>44059</v>
      </c>
      <c r="K151" s="3">
        <f t="shared" si="10"/>
        <v>16</v>
      </c>
      <c r="L151" s="3">
        <f t="shared" si="11"/>
        <v>6352</v>
      </c>
      <c r="M151" s="3">
        <v>28513336</v>
      </c>
    </row>
    <row r="152" spans="1:13" s="18" customFormat="1" outlineLevel="2">
      <c r="A152" s="19" t="s">
        <v>36</v>
      </c>
      <c r="B152" s="20" t="s">
        <v>23</v>
      </c>
      <c r="C152" s="21" t="s">
        <v>17</v>
      </c>
      <c r="D152" s="20"/>
      <c r="E152" s="3"/>
      <c r="F152" s="19"/>
      <c r="G152" s="3">
        <v>28513336</v>
      </c>
      <c r="H152" s="2">
        <v>5.0000000000000001E-3</v>
      </c>
      <c r="I152" s="19">
        <v>44060</v>
      </c>
      <c r="J152" s="19">
        <v>44074</v>
      </c>
      <c r="K152" s="3">
        <f t="shared" si="10"/>
        <v>15</v>
      </c>
      <c r="L152" s="3">
        <f t="shared" si="11"/>
        <v>5843</v>
      </c>
      <c r="M152" s="3"/>
    </row>
    <row r="153" spans="1:13" s="18" customFormat="1" outlineLevel="2">
      <c r="A153" s="19" t="s">
        <v>36</v>
      </c>
      <c r="B153" s="20" t="s">
        <v>29</v>
      </c>
      <c r="C153" s="21" t="s">
        <v>17</v>
      </c>
      <c r="D153" s="20" t="s">
        <v>18</v>
      </c>
      <c r="E153" s="3">
        <v>2790000</v>
      </c>
      <c r="F153" s="19">
        <v>43921</v>
      </c>
      <c r="G153" s="3">
        <v>2594212</v>
      </c>
      <c r="H153" s="2">
        <v>5.0000000000000001E-3</v>
      </c>
      <c r="I153" s="19">
        <v>44044</v>
      </c>
      <c r="J153" s="19">
        <v>44059</v>
      </c>
      <c r="K153" s="3">
        <f t="shared" si="10"/>
        <v>16</v>
      </c>
      <c r="L153" s="3">
        <f t="shared" si="11"/>
        <v>567</v>
      </c>
      <c r="M153" s="3">
        <v>2545265</v>
      </c>
    </row>
    <row r="154" spans="1:13" s="18" customFormat="1" outlineLevel="2">
      <c r="A154" s="19" t="s">
        <v>36</v>
      </c>
      <c r="B154" s="20" t="s">
        <v>29</v>
      </c>
      <c r="C154" s="21" t="s">
        <v>17</v>
      </c>
      <c r="D154" s="20"/>
      <c r="E154" s="3"/>
      <c r="F154" s="19"/>
      <c r="G154" s="3">
        <v>2545265</v>
      </c>
      <c r="H154" s="2">
        <v>5.0000000000000001E-3</v>
      </c>
      <c r="I154" s="19">
        <v>44060</v>
      </c>
      <c r="J154" s="19">
        <v>44074</v>
      </c>
      <c r="K154" s="3">
        <f t="shared" si="10"/>
        <v>15</v>
      </c>
      <c r="L154" s="3">
        <f t="shared" si="11"/>
        <v>522</v>
      </c>
      <c r="M154" s="3"/>
    </row>
    <row r="155" spans="1:13" s="18" customFormat="1" outlineLevel="2">
      <c r="A155" s="19" t="s">
        <v>36</v>
      </c>
      <c r="B155" s="20" t="s">
        <v>30</v>
      </c>
      <c r="C155" s="21" t="s">
        <v>57</v>
      </c>
      <c r="D155" s="20" t="s">
        <v>56</v>
      </c>
      <c r="E155" s="3">
        <v>12000000</v>
      </c>
      <c r="F155" s="19">
        <v>43948</v>
      </c>
      <c r="G155" s="3">
        <v>11400000</v>
      </c>
      <c r="H155" s="2">
        <v>5.0000000000000001E-3</v>
      </c>
      <c r="I155" s="19">
        <v>44044</v>
      </c>
      <c r="J155" s="19">
        <v>44059</v>
      </c>
      <c r="K155" s="3">
        <f t="shared" si="10"/>
        <v>16</v>
      </c>
      <c r="L155" s="3">
        <f t="shared" si="11"/>
        <v>2492</v>
      </c>
      <c r="M155" s="3">
        <v>11200000</v>
      </c>
    </row>
    <row r="156" spans="1:13" s="18" customFormat="1" outlineLevel="2">
      <c r="A156" s="19" t="s">
        <v>36</v>
      </c>
      <c r="B156" s="20" t="s">
        <v>30</v>
      </c>
      <c r="C156" s="21" t="s">
        <v>57</v>
      </c>
      <c r="D156" s="20"/>
      <c r="E156" s="3"/>
      <c r="F156" s="19"/>
      <c r="G156" s="3">
        <v>11200000</v>
      </c>
      <c r="H156" s="2">
        <v>5.0000000000000001E-3</v>
      </c>
      <c r="I156" s="19">
        <v>44060</v>
      </c>
      <c r="J156" s="19">
        <v>44074</v>
      </c>
      <c r="K156" s="3">
        <f t="shared" si="10"/>
        <v>15</v>
      </c>
      <c r="L156" s="3">
        <f t="shared" si="11"/>
        <v>2295</v>
      </c>
      <c r="M156" s="3"/>
    </row>
    <row r="157" spans="1:13" s="18" customFormat="1" outlineLevel="2">
      <c r="A157" s="19" t="s">
        <v>36</v>
      </c>
      <c r="B157" s="20" t="s">
        <v>31</v>
      </c>
      <c r="C157" s="21" t="s">
        <v>97</v>
      </c>
      <c r="D157" s="20" t="s">
        <v>96</v>
      </c>
      <c r="E157" s="3">
        <v>71750000</v>
      </c>
      <c r="F157" s="19">
        <v>43955</v>
      </c>
      <c r="G157" s="3">
        <v>71750000</v>
      </c>
      <c r="H157" s="2">
        <v>5.0000000000000001E-3</v>
      </c>
      <c r="I157" s="19">
        <v>44044</v>
      </c>
      <c r="J157" s="19">
        <v>44074</v>
      </c>
      <c r="K157" s="3">
        <f t="shared" si="10"/>
        <v>31</v>
      </c>
      <c r="L157" s="3">
        <f t="shared" si="11"/>
        <v>30386</v>
      </c>
      <c r="M157" s="3">
        <v>71750000</v>
      </c>
    </row>
    <row r="158" spans="1:13" s="18" customFormat="1" outlineLevel="2">
      <c r="A158" s="19" t="s">
        <v>36</v>
      </c>
      <c r="B158" s="20" t="s">
        <v>32</v>
      </c>
      <c r="C158" s="21" t="s">
        <v>57</v>
      </c>
      <c r="D158" s="20" t="s">
        <v>56</v>
      </c>
      <c r="E158" s="3">
        <v>10000000</v>
      </c>
      <c r="F158" s="19">
        <v>43963</v>
      </c>
      <c r="G158" s="3">
        <v>9500001</v>
      </c>
      <c r="H158" s="2">
        <v>5.0000000000000001E-3</v>
      </c>
      <c r="I158" s="19">
        <v>44044</v>
      </c>
      <c r="J158" s="19">
        <v>44059</v>
      </c>
      <c r="K158" s="3">
        <f t="shared" si="10"/>
        <v>16</v>
      </c>
      <c r="L158" s="3">
        <f t="shared" si="11"/>
        <v>2077</v>
      </c>
      <c r="M158" s="3">
        <v>9333335</v>
      </c>
    </row>
    <row r="159" spans="1:13" s="18" customFormat="1" outlineLevel="2">
      <c r="A159" s="19" t="s">
        <v>36</v>
      </c>
      <c r="B159" s="20" t="s">
        <v>32</v>
      </c>
      <c r="C159" s="21" t="s">
        <v>57</v>
      </c>
      <c r="D159" s="20"/>
      <c r="E159" s="3"/>
      <c r="F159" s="19"/>
      <c r="G159" s="3">
        <v>9333335</v>
      </c>
      <c r="H159" s="2">
        <v>5.0000000000000001E-3</v>
      </c>
      <c r="I159" s="19">
        <v>44060</v>
      </c>
      <c r="J159" s="19">
        <v>44074</v>
      </c>
      <c r="K159" s="3">
        <f t="shared" si="10"/>
        <v>15</v>
      </c>
      <c r="L159" s="3">
        <f t="shared" si="11"/>
        <v>1913</v>
      </c>
      <c r="M159" s="3"/>
    </row>
    <row r="160" spans="1:13" s="18" customFormat="1" outlineLevel="2">
      <c r="A160" s="19" t="s">
        <v>36</v>
      </c>
      <c r="B160" s="20" t="s">
        <v>48</v>
      </c>
      <c r="C160" s="21" t="s">
        <v>57</v>
      </c>
      <c r="D160" s="20" t="s">
        <v>56</v>
      </c>
      <c r="E160" s="3">
        <v>4000000</v>
      </c>
      <c r="F160" s="19">
        <v>43970</v>
      </c>
      <c r="G160" s="3">
        <v>3864408</v>
      </c>
      <c r="H160" s="2">
        <v>5.0000000000000001E-3</v>
      </c>
      <c r="I160" s="19">
        <v>44044</v>
      </c>
      <c r="J160" s="19">
        <v>44059</v>
      </c>
      <c r="K160" s="3">
        <f t="shared" si="10"/>
        <v>16</v>
      </c>
      <c r="L160" s="3">
        <f t="shared" si="11"/>
        <v>845</v>
      </c>
      <c r="M160" s="3">
        <v>3796612</v>
      </c>
    </row>
    <row r="161" spans="1:13" s="18" customFormat="1" outlineLevel="2">
      <c r="A161" s="19" t="s">
        <v>36</v>
      </c>
      <c r="B161" s="20" t="s">
        <v>48</v>
      </c>
      <c r="C161" s="21" t="s">
        <v>57</v>
      </c>
      <c r="D161" s="20"/>
      <c r="E161" s="3"/>
      <c r="F161" s="19"/>
      <c r="G161" s="3">
        <v>3796612</v>
      </c>
      <c r="H161" s="2">
        <v>5.0000000000000001E-3</v>
      </c>
      <c r="I161" s="19">
        <v>44060</v>
      </c>
      <c r="J161" s="19">
        <v>44074</v>
      </c>
      <c r="K161" s="3">
        <f t="shared" si="10"/>
        <v>15</v>
      </c>
      <c r="L161" s="3">
        <f t="shared" si="11"/>
        <v>778</v>
      </c>
      <c r="M161" s="3"/>
    </row>
    <row r="162" spans="1:13" s="18" customFormat="1" outlineLevel="2">
      <c r="A162" s="19" t="s">
        <v>36</v>
      </c>
      <c r="B162" s="20" t="s">
        <v>59</v>
      </c>
      <c r="C162" s="21" t="s">
        <v>57</v>
      </c>
      <c r="D162" s="20" t="s">
        <v>56</v>
      </c>
      <c r="E162" s="3">
        <v>18000000</v>
      </c>
      <c r="F162" s="19">
        <v>43977</v>
      </c>
      <c r="G162" s="3">
        <v>17389832</v>
      </c>
      <c r="H162" s="2">
        <v>5.0000000000000001E-3</v>
      </c>
      <c r="I162" s="19">
        <v>44044</v>
      </c>
      <c r="J162" s="19">
        <v>44059</v>
      </c>
      <c r="K162" s="3">
        <f t="shared" si="10"/>
        <v>16</v>
      </c>
      <c r="L162" s="3">
        <f t="shared" si="11"/>
        <v>3801</v>
      </c>
      <c r="M162" s="3">
        <v>17084748</v>
      </c>
    </row>
    <row r="163" spans="1:13" s="18" customFormat="1" outlineLevel="2">
      <c r="A163" s="19" t="s">
        <v>36</v>
      </c>
      <c r="B163" s="20" t="s">
        <v>59</v>
      </c>
      <c r="C163" s="21" t="s">
        <v>57</v>
      </c>
      <c r="D163" s="20"/>
      <c r="E163" s="3"/>
      <c r="F163" s="19"/>
      <c r="G163" s="3">
        <v>17084748</v>
      </c>
      <c r="H163" s="2">
        <v>5.0000000000000001E-3</v>
      </c>
      <c r="I163" s="19">
        <v>44060</v>
      </c>
      <c r="J163" s="19">
        <v>44074</v>
      </c>
      <c r="K163" s="3">
        <f t="shared" si="10"/>
        <v>15</v>
      </c>
      <c r="L163" s="3">
        <f t="shared" si="11"/>
        <v>3501</v>
      </c>
      <c r="M163" s="3"/>
    </row>
    <row r="164" spans="1:13" s="18" customFormat="1" outlineLevel="2">
      <c r="A164" s="19" t="s">
        <v>36</v>
      </c>
      <c r="B164" s="20" t="s">
        <v>58</v>
      </c>
      <c r="C164" s="21" t="s">
        <v>57</v>
      </c>
      <c r="D164" s="20" t="s">
        <v>56</v>
      </c>
      <c r="E164" s="3">
        <v>6000000</v>
      </c>
      <c r="F164" s="19">
        <v>43984</v>
      </c>
      <c r="G164" s="3">
        <v>5796612</v>
      </c>
      <c r="H164" s="2">
        <v>5.0000000000000001E-3</v>
      </c>
      <c r="I164" s="19">
        <v>44044</v>
      </c>
      <c r="J164" s="19">
        <v>44059</v>
      </c>
      <c r="K164" s="3">
        <f t="shared" si="10"/>
        <v>16</v>
      </c>
      <c r="L164" s="3">
        <f t="shared" si="11"/>
        <v>1267</v>
      </c>
      <c r="M164" s="3">
        <v>5694918</v>
      </c>
    </row>
    <row r="165" spans="1:13" s="18" customFormat="1" outlineLevel="2">
      <c r="A165" s="19" t="s">
        <v>36</v>
      </c>
      <c r="B165" s="20" t="s">
        <v>58</v>
      </c>
      <c r="C165" s="21" t="s">
        <v>57</v>
      </c>
      <c r="D165" s="20"/>
      <c r="E165" s="3"/>
      <c r="F165" s="19"/>
      <c r="G165" s="3">
        <v>5694918</v>
      </c>
      <c r="H165" s="2">
        <v>5.0000000000000001E-3</v>
      </c>
      <c r="I165" s="19">
        <v>44060</v>
      </c>
      <c r="J165" s="19">
        <v>44074</v>
      </c>
      <c r="K165" s="3">
        <f t="shared" si="10"/>
        <v>15</v>
      </c>
      <c r="L165" s="3">
        <f t="shared" si="11"/>
        <v>1167</v>
      </c>
      <c r="M165" s="3"/>
    </row>
    <row r="166" spans="1:13" s="18" customFormat="1" ht="13.5" outlineLevel="1">
      <c r="A166" s="22" t="s">
        <v>37</v>
      </c>
      <c r="B166" s="39"/>
      <c r="C166" s="40"/>
      <c r="D166" s="39"/>
      <c r="E166" s="41">
        <f>SUBTOTAL(9,E146:E165)</f>
        <v>321900000</v>
      </c>
      <c r="F166" s="42"/>
      <c r="G166" s="41"/>
      <c r="H166" s="43"/>
      <c r="I166" s="42"/>
      <c r="J166" s="42"/>
      <c r="K166" s="41"/>
      <c r="L166" s="41">
        <f>SUBTOTAL(9,L146:L165)</f>
        <v>125214</v>
      </c>
      <c r="M166" s="41">
        <f>SUBTOTAL(9,M146:M165)</f>
        <v>293862214</v>
      </c>
    </row>
    <row r="167" spans="1:13" s="18" customFormat="1" outlineLevel="2">
      <c r="A167" s="19" t="s">
        <v>38</v>
      </c>
      <c r="B167" s="20" t="s">
        <v>16</v>
      </c>
      <c r="C167" s="21" t="s">
        <v>17</v>
      </c>
      <c r="D167" s="20" t="s">
        <v>18</v>
      </c>
      <c r="E167" s="3">
        <v>50000000</v>
      </c>
      <c r="F167" s="19">
        <v>43829</v>
      </c>
      <c r="G167" s="3">
        <v>44166662</v>
      </c>
      <c r="H167" s="2">
        <v>5.0000000000000001E-3</v>
      </c>
      <c r="I167" s="19">
        <v>44044</v>
      </c>
      <c r="J167" s="19">
        <v>44057</v>
      </c>
      <c r="K167" s="3">
        <f t="shared" ref="K167:K175" si="12">J167-I167+1</f>
        <v>14</v>
      </c>
      <c r="L167" s="3">
        <f t="shared" ref="L167:L175" si="13">ROUND(G167*H167*K167/366,0)</f>
        <v>8447</v>
      </c>
      <c r="M167" s="3">
        <v>43333328</v>
      </c>
    </row>
    <row r="168" spans="1:13" s="18" customFormat="1" outlineLevel="2">
      <c r="A168" s="19" t="s">
        <v>38</v>
      </c>
      <c r="B168" s="20" t="s">
        <v>16</v>
      </c>
      <c r="C168" s="21" t="s">
        <v>17</v>
      </c>
      <c r="D168" s="20"/>
      <c r="E168" s="3"/>
      <c r="F168" s="19"/>
      <c r="G168" s="3">
        <v>43333328</v>
      </c>
      <c r="H168" s="2">
        <v>5.0000000000000001E-3</v>
      </c>
      <c r="I168" s="19">
        <v>44058</v>
      </c>
      <c r="J168" s="19">
        <v>44074</v>
      </c>
      <c r="K168" s="3">
        <f t="shared" si="12"/>
        <v>17</v>
      </c>
      <c r="L168" s="3">
        <f t="shared" si="13"/>
        <v>10064</v>
      </c>
      <c r="M168" s="3"/>
    </row>
    <row r="169" spans="1:13" s="18" customFormat="1" outlineLevel="2">
      <c r="A169" s="19" t="s">
        <v>38</v>
      </c>
      <c r="B169" s="20" t="s">
        <v>23</v>
      </c>
      <c r="C169" s="21" t="s">
        <v>17</v>
      </c>
      <c r="D169" s="20" t="s">
        <v>18</v>
      </c>
      <c r="E169" s="3">
        <v>25200000</v>
      </c>
      <c r="F169" s="19">
        <v>43829</v>
      </c>
      <c r="G169" s="3">
        <v>22260000</v>
      </c>
      <c r="H169" s="2">
        <v>5.0000000000000001E-3</v>
      </c>
      <c r="I169" s="19">
        <v>44044</v>
      </c>
      <c r="J169" s="19">
        <v>44057</v>
      </c>
      <c r="K169" s="3">
        <f t="shared" si="12"/>
        <v>14</v>
      </c>
      <c r="L169" s="3">
        <f t="shared" si="13"/>
        <v>4257</v>
      </c>
      <c r="M169" s="3">
        <v>21840000</v>
      </c>
    </row>
    <row r="170" spans="1:13" s="18" customFormat="1" outlineLevel="2">
      <c r="A170" s="19" t="s">
        <v>38</v>
      </c>
      <c r="B170" s="20" t="s">
        <v>23</v>
      </c>
      <c r="C170" s="21" t="s">
        <v>17</v>
      </c>
      <c r="D170" s="20"/>
      <c r="E170" s="3"/>
      <c r="F170" s="19"/>
      <c r="G170" s="3">
        <v>21840000</v>
      </c>
      <c r="H170" s="2">
        <v>5.0000000000000001E-3</v>
      </c>
      <c r="I170" s="19">
        <v>44058</v>
      </c>
      <c r="J170" s="19">
        <v>44074</v>
      </c>
      <c r="K170" s="3">
        <f t="shared" si="12"/>
        <v>17</v>
      </c>
      <c r="L170" s="3">
        <f t="shared" si="13"/>
        <v>5072</v>
      </c>
      <c r="M170" s="3"/>
    </row>
    <row r="171" spans="1:13" s="18" customFormat="1" outlineLevel="2">
      <c r="A171" s="19" t="s">
        <v>38</v>
      </c>
      <c r="B171" s="20" t="s">
        <v>29</v>
      </c>
      <c r="C171" s="21" t="s">
        <v>17</v>
      </c>
      <c r="D171" s="20" t="s">
        <v>18</v>
      </c>
      <c r="E171" s="3">
        <v>11310000</v>
      </c>
      <c r="F171" s="19">
        <v>43920</v>
      </c>
      <c r="G171" s="3">
        <v>10516316</v>
      </c>
      <c r="H171" s="2">
        <v>5.0000000000000001E-3</v>
      </c>
      <c r="I171" s="19">
        <v>44044</v>
      </c>
      <c r="J171" s="19">
        <v>44057</v>
      </c>
      <c r="K171" s="3">
        <f t="shared" si="12"/>
        <v>14</v>
      </c>
      <c r="L171" s="3">
        <f t="shared" si="13"/>
        <v>2011</v>
      </c>
      <c r="M171" s="3">
        <v>10317895</v>
      </c>
    </row>
    <row r="172" spans="1:13" s="18" customFormat="1" outlineLevel="2">
      <c r="A172" s="19" t="s">
        <v>38</v>
      </c>
      <c r="B172" s="20" t="s">
        <v>29</v>
      </c>
      <c r="C172" s="21" t="s">
        <v>17</v>
      </c>
      <c r="D172" s="20"/>
      <c r="E172" s="3"/>
      <c r="F172" s="19"/>
      <c r="G172" s="3">
        <v>10317895</v>
      </c>
      <c r="H172" s="2">
        <v>5.0000000000000001E-3</v>
      </c>
      <c r="I172" s="19">
        <v>44058</v>
      </c>
      <c r="J172" s="19">
        <v>44074</v>
      </c>
      <c r="K172" s="3">
        <f t="shared" si="12"/>
        <v>17</v>
      </c>
      <c r="L172" s="3">
        <f t="shared" si="13"/>
        <v>2396</v>
      </c>
      <c r="M172" s="3"/>
    </row>
    <row r="173" spans="1:13" s="18" customFormat="1" outlineLevel="2">
      <c r="A173" s="19" t="s">
        <v>38</v>
      </c>
      <c r="B173" s="20" t="s">
        <v>30</v>
      </c>
      <c r="C173" s="21" t="s">
        <v>17</v>
      </c>
      <c r="D173" s="20" t="s">
        <v>18</v>
      </c>
      <c r="E173" s="3">
        <v>6050000</v>
      </c>
      <c r="F173" s="19">
        <v>43990</v>
      </c>
      <c r="G173" s="3">
        <v>5830000</v>
      </c>
      <c r="H173" s="2">
        <v>5.0000000000000001E-3</v>
      </c>
      <c r="I173" s="19">
        <v>44044</v>
      </c>
      <c r="J173" s="19">
        <v>44057</v>
      </c>
      <c r="K173" s="3">
        <f t="shared" si="12"/>
        <v>14</v>
      </c>
      <c r="L173" s="3">
        <f t="shared" si="13"/>
        <v>1115</v>
      </c>
      <c r="M173" s="3">
        <v>5720000</v>
      </c>
    </row>
    <row r="174" spans="1:13" s="18" customFormat="1" outlineLevel="2">
      <c r="A174" s="19" t="s">
        <v>38</v>
      </c>
      <c r="B174" s="20" t="s">
        <v>30</v>
      </c>
      <c r="C174" s="21" t="s">
        <v>17</v>
      </c>
      <c r="D174" s="20"/>
      <c r="E174" s="3"/>
      <c r="F174" s="19"/>
      <c r="G174" s="3">
        <v>5720000</v>
      </c>
      <c r="H174" s="2">
        <v>5.0000000000000001E-3</v>
      </c>
      <c r="I174" s="19">
        <v>44058</v>
      </c>
      <c r="J174" s="19">
        <v>44074</v>
      </c>
      <c r="K174" s="3">
        <f t="shared" si="12"/>
        <v>17</v>
      </c>
      <c r="L174" s="3">
        <f t="shared" si="13"/>
        <v>1328</v>
      </c>
      <c r="M174" s="3"/>
    </row>
    <row r="175" spans="1:13" s="18" customFormat="1" outlineLevel="2">
      <c r="A175" s="19" t="s">
        <v>38</v>
      </c>
      <c r="B175" s="20" t="s">
        <v>31</v>
      </c>
      <c r="C175" s="21" t="s">
        <v>17</v>
      </c>
      <c r="D175" s="20" t="s">
        <v>18</v>
      </c>
      <c r="E175" s="3">
        <v>7541000</v>
      </c>
      <c r="F175" s="19">
        <v>44074</v>
      </c>
      <c r="G175" s="3">
        <v>7541000</v>
      </c>
      <c r="H175" s="2">
        <v>5.0000000000000001E-3</v>
      </c>
      <c r="I175" s="19">
        <v>44074</v>
      </c>
      <c r="J175" s="19">
        <v>44074</v>
      </c>
      <c r="K175" s="3">
        <f t="shared" si="12"/>
        <v>1</v>
      </c>
      <c r="L175" s="3">
        <f t="shared" si="13"/>
        <v>103</v>
      </c>
      <c r="M175" s="3">
        <v>7541000</v>
      </c>
    </row>
    <row r="176" spans="1:13" s="18" customFormat="1" ht="13.5" outlineLevel="1">
      <c r="A176" s="22" t="s">
        <v>39</v>
      </c>
      <c r="B176" s="39"/>
      <c r="C176" s="40"/>
      <c r="D176" s="39"/>
      <c r="E176" s="41">
        <f>SUBTOTAL(9,E167:E175)</f>
        <v>100101000</v>
      </c>
      <c r="F176" s="42"/>
      <c r="G176" s="41"/>
      <c r="H176" s="43"/>
      <c r="I176" s="42"/>
      <c r="J176" s="42"/>
      <c r="K176" s="41"/>
      <c r="L176" s="41">
        <f>SUBTOTAL(9,L167:L175)</f>
        <v>34793</v>
      </c>
      <c r="M176" s="41">
        <f>SUBTOTAL(9,M167:M175)</f>
        <v>88752223</v>
      </c>
    </row>
    <row r="177" spans="1:13" s="18" customFormat="1" outlineLevel="2">
      <c r="A177" s="19" t="s">
        <v>108</v>
      </c>
      <c r="B177" s="20" t="s">
        <v>16</v>
      </c>
      <c r="C177" s="21" t="s">
        <v>107</v>
      </c>
      <c r="D177" s="20" t="s">
        <v>106</v>
      </c>
      <c r="E177" s="3">
        <v>4300000</v>
      </c>
      <c r="F177" s="19">
        <v>43966</v>
      </c>
      <c r="G177" s="3">
        <v>4300000</v>
      </c>
      <c r="H177" s="2">
        <v>5.0000000000000001E-3</v>
      </c>
      <c r="I177" s="19">
        <v>44044</v>
      </c>
      <c r="J177" s="19">
        <v>44074</v>
      </c>
      <c r="K177" s="3">
        <f>J177-I177+1</f>
        <v>31</v>
      </c>
      <c r="L177" s="3">
        <f>ROUND(G177*H177*K177/366,0)</f>
        <v>1821</v>
      </c>
      <c r="M177" s="3">
        <v>4300000</v>
      </c>
    </row>
    <row r="178" spans="1:13" s="18" customFormat="1" outlineLevel="2">
      <c r="A178" s="19" t="s">
        <v>108</v>
      </c>
      <c r="B178" s="20" t="s">
        <v>23</v>
      </c>
      <c r="C178" s="21" t="s">
        <v>113</v>
      </c>
      <c r="D178" s="20" t="s">
        <v>112</v>
      </c>
      <c r="E178" s="3">
        <v>120000000</v>
      </c>
      <c r="F178" s="19">
        <v>44060</v>
      </c>
      <c r="G178" s="3">
        <v>120000000</v>
      </c>
      <c r="H178" s="2">
        <v>5.0000000000000001E-3</v>
      </c>
      <c r="I178" s="19">
        <v>44060</v>
      </c>
      <c r="J178" s="19">
        <v>44074</v>
      </c>
      <c r="K178" s="3">
        <f>J178-I178+1</f>
        <v>15</v>
      </c>
      <c r="L178" s="3">
        <f>ROUND(G178*H178*K178/366,0)</f>
        <v>24590</v>
      </c>
      <c r="M178" s="3">
        <v>120000000</v>
      </c>
    </row>
    <row r="179" spans="1:13" s="18" customFormat="1" ht="13.5" outlineLevel="1">
      <c r="A179" s="22" t="s">
        <v>105</v>
      </c>
      <c r="B179" s="39"/>
      <c r="C179" s="40"/>
      <c r="D179" s="39"/>
      <c r="E179" s="41">
        <f>SUBTOTAL(9,E177:E178)</f>
        <v>124300000</v>
      </c>
      <c r="F179" s="42"/>
      <c r="G179" s="41"/>
      <c r="H179" s="43"/>
      <c r="I179" s="42"/>
      <c r="J179" s="42"/>
      <c r="K179" s="41"/>
      <c r="L179" s="41">
        <f>SUBTOTAL(9,L177:L178)</f>
        <v>26411</v>
      </c>
      <c r="M179" s="41">
        <f>SUBTOTAL(9,M177:M178)</f>
        <v>124300000</v>
      </c>
    </row>
    <row r="180" spans="1:13" s="18" customFormat="1" outlineLevel="2">
      <c r="A180" s="19" t="s">
        <v>124</v>
      </c>
      <c r="B180" s="20" t="s">
        <v>16</v>
      </c>
      <c r="C180" s="21" t="s">
        <v>77</v>
      </c>
      <c r="D180" s="20" t="s">
        <v>76</v>
      </c>
      <c r="E180" s="3">
        <v>38650000</v>
      </c>
      <c r="F180" s="19">
        <v>43986</v>
      </c>
      <c r="G180" s="3">
        <v>38650000</v>
      </c>
      <c r="H180" s="2">
        <v>5.0000000000000001E-3</v>
      </c>
      <c r="I180" s="19">
        <v>44044</v>
      </c>
      <c r="J180" s="19">
        <v>44074</v>
      </c>
      <c r="K180" s="3">
        <f>J180-I180+1</f>
        <v>31</v>
      </c>
      <c r="L180" s="3">
        <f>ROUND(G180*H180*K180/366,0)</f>
        <v>16368</v>
      </c>
      <c r="M180" s="3">
        <v>38650000</v>
      </c>
    </row>
    <row r="181" spans="1:13" s="18" customFormat="1" outlineLevel="2">
      <c r="A181" s="19" t="s">
        <v>124</v>
      </c>
      <c r="B181" s="20" t="s">
        <v>23</v>
      </c>
      <c r="C181" s="21" t="s">
        <v>104</v>
      </c>
      <c r="D181" s="20" t="s">
        <v>103</v>
      </c>
      <c r="E181" s="3">
        <v>23530000</v>
      </c>
      <c r="F181" s="19">
        <v>44013</v>
      </c>
      <c r="G181" s="3">
        <v>23530000</v>
      </c>
      <c r="H181" s="2">
        <v>5.0000000000000001E-3</v>
      </c>
      <c r="I181" s="19">
        <v>44044</v>
      </c>
      <c r="J181" s="19">
        <v>44074</v>
      </c>
      <c r="K181" s="3">
        <f>J181-I181+1</f>
        <v>31</v>
      </c>
      <c r="L181" s="3">
        <f>ROUND(G181*H181*K181/366,0)</f>
        <v>9965</v>
      </c>
      <c r="M181" s="3">
        <v>23530000</v>
      </c>
    </row>
    <row r="182" spans="1:13" s="18" customFormat="1" outlineLevel="2">
      <c r="A182" s="19" t="s">
        <v>124</v>
      </c>
      <c r="B182" s="20" t="s">
        <v>29</v>
      </c>
      <c r="C182" s="21" t="s">
        <v>104</v>
      </c>
      <c r="D182" s="20" t="s">
        <v>103</v>
      </c>
      <c r="E182" s="3">
        <v>47470000</v>
      </c>
      <c r="F182" s="19">
        <v>44013</v>
      </c>
      <c r="G182" s="3">
        <v>47470000</v>
      </c>
      <c r="H182" s="2">
        <v>5.0000000000000001E-3</v>
      </c>
      <c r="I182" s="19">
        <v>44044</v>
      </c>
      <c r="J182" s="19">
        <v>44074</v>
      </c>
      <c r="K182" s="3">
        <f>J182-I182+1</f>
        <v>31</v>
      </c>
      <c r="L182" s="3">
        <f>ROUND(G182*H182*K182/366,0)</f>
        <v>20103</v>
      </c>
      <c r="M182" s="3">
        <v>47470000</v>
      </c>
    </row>
    <row r="183" spans="1:13" s="18" customFormat="1" outlineLevel="2">
      <c r="A183" s="19" t="s">
        <v>124</v>
      </c>
      <c r="B183" s="20" t="s">
        <v>30</v>
      </c>
      <c r="C183" s="21" t="s">
        <v>149</v>
      </c>
      <c r="D183" s="20" t="s">
        <v>148</v>
      </c>
      <c r="E183" s="3">
        <v>6665394</v>
      </c>
      <c r="F183" s="19">
        <v>44029</v>
      </c>
      <c r="G183" s="3">
        <v>6665394</v>
      </c>
      <c r="H183" s="2">
        <v>5.0000000000000001E-3</v>
      </c>
      <c r="I183" s="19">
        <v>44044</v>
      </c>
      <c r="J183" s="19">
        <v>44074</v>
      </c>
      <c r="K183" s="3">
        <f>J183-I183+1</f>
        <v>31</v>
      </c>
      <c r="L183" s="3">
        <f>ROUND(G183*H183*K183/366,0)</f>
        <v>2823</v>
      </c>
      <c r="M183" s="3">
        <v>6665394</v>
      </c>
    </row>
    <row r="184" spans="1:13" s="18" customFormat="1" outlineLevel="2">
      <c r="A184" s="19" t="s">
        <v>124</v>
      </c>
      <c r="B184" s="20" t="s">
        <v>31</v>
      </c>
      <c r="C184" s="21" t="s">
        <v>149</v>
      </c>
      <c r="D184" s="20" t="s">
        <v>148</v>
      </c>
      <c r="E184" s="3">
        <v>12334606</v>
      </c>
      <c r="F184" s="19">
        <v>44029</v>
      </c>
      <c r="G184" s="3">
        <v>12334606</v>
      </c>
      <c r="H184" s="2">
        <v>5.0000000000000001E-3</v>
      </c>
      <c r="I184" s="19">
        <v>44044</v>
      </c>
      <c r="J184" s="19">
        <v>44074</v>
      </c>
      <c r="K184" s="3">
        <f>J184-I184+1</f>
        <v>31</v>
      </c>
      <c r="L184" s="3">
        <f>ROUND(G184*H184*K184/366,0)</f>
        <v>5224</v>
      </c>
      <c r="M184" s="3">
        <v>12334606</v>
      </c>
    </row>
    <row r="185" spans="1:13" s="18" customFormat="1" ht="13.5" outlineLevel="1">
      <c r="A185" s="22" t="s">
        <v>123</v>
      </c>
      <c r="B185" s="39"/>
      <c r="C185" s="40"/>
      <c r="D185" s="39"/>
      <c r="E185" s="41">
        <f>SUBTOTAL(9,E180:E184)</f>
        <v>128650000</v>
      </c>
      <c r="F185" s="42"/>
      <c r="G185" s="41"/>
      <c r="H185" s="43"/>
      <c r="I185" s="42"/>
      <c r="J185" s="42"/>
      <c r="K185" s="41"/>
      <c r="L185" s="41">
        <f>SUBTOTAL(9,L180:L184)</f>
        <v>54483</v>
      </c>
      <c r="M185" s="41">
        <f>SUBTOTAL(9,M180:M184)</f>
        <v>128650000</v>
      </c>
    </row>
    <row r="186" spans="1:13" s="18" customFormat="1" outlineLevel="2">
      <c r="A186" s="19" t="s">
        <v>70</v>
      </c>
      <c r="B186" s="20" t="s">
        <v>16</v>
      </c>
      <c r="C186" s="21" t="s">
        <v>69</v>
      </c>
      <c r="D186" s="20" t="s">
        <v>68</v>
      </c>
      <c r="E186" s="3">
        <v>330000000</v>
      </c>
      <c r="F186" s="19">
        <v>43915</v>
      </c>
      <c r="G186" s="3">
        <v>330000000</v>
      </c>
      <c r="H186" s="2">
        <v>5.0000000000000001E-3</v>
      </c>
      <c r="I186" s="19">
        <v>44044</v>
      </c>
      <c r="J186" s="19">
        <v>44074</v>
      </c>
      <c r="K186" s="3">
        <f>J186-I186+1</f>
        <v>31</v>
      </c>
      <c r="L186" s="3">
        <f>ROUND(G186*H186*K186/366,0)</f>
        <v>139754</v>
      </c>
      <c r="M186" s="3">
        <v>330000000</v>
      </c>
    </row>
    <row r="187" spans="1:13" s="18" customFormat="1" outlineLevel="2">
      <c r="A187" s="19" t="s">
        <v>70</v>
      </c>
      <c r="B187" s="20" t="s">
        <v>23</v>
      </c>
      <c r="C187" s="21" t="s">
        <v>69</v>
      </c>
      <c r="D187" s="20" t="s">
        <v>68</v>
      </c>
      <c r="E187" s="3">
        <v>93600000</v>
      </c>
      <c r="F187" s="19">
        <v>43955</v>
      </c>
      <c r="G187" s="3">
        <v>93600000</v>
      </c>
      <c r="H187" s="2">
        <v>5.0000000000000001E-3</v>
      </c>
      <c r="I187" s="19">
        <v>44044</v>
      </c>
      <c r="J187" s="19">
        <v>44074</v>
      </c>
      <c r="K187" s="3">
        <f>J187-I187+1</f>
        <v>31</v>
      </c>
      <c r="L187" s="3">
        <f>ROUND(G187*H187*K187/366,0)</f>
        <v>39639</v>
      </c>
      <c r="M187" s="3">
        <v>93600000</v>
      </c>
    </row>
    <row r="188" spans="1:13" s="18" customFormat="1" outlineLevel="2">
      <c r="A188" s="19" t="s">
        <v>70</v>
      </c>
      <c r="B188" s="20" t="s">
        <v>29</v>
      </c>
      <c r="C188" s="21" t="s">
        <v>69</v>
      </c>
      <c r="D188" s="20" t="s">
        <v>68</v>
      </c>
      <c r="E188" s="3">
        <v>576400000</v>
      </c>
      <c r="F188" s="19">
        <v>44013</v>
      </c>
      <c r="G188" s="3">
        <v>576400000</v>
      </c>
      <c r="H188" s="2">
        <v>5.0000000000000001E-3</v>
      </c>
      <c r="I188" s="19">
        <v>44044</v>
      </c>
      <c r="J188" s="19">
        <v>44074</v>
      </c>
      <c r="K188" s="3">
        <f>J188-I188+1</f>
        <v>31</v>
      </c>
      <c r="L188" s="3">
        <f>ROUND(G188*H188*K188/366,0)</f>
        <v>244104</v>
      </c>
      <c r="M188" s="3">
        <v>576400000</v>
      </c>
    </row>
    <row r="189" spans="1:13" s="18" customFormat="1" ht="13.5" outlineLevel="1">
      <c r="A189" s="22" t="s">
        <v>67</v>
      </c>
      <c r="B189" s="39"/>
      <c r="C189" s="40"/>
      <c r="D189" s="39"/>
      <c r="E189" s="41">
        <f>SUBTOTAL(9,E186:E188)</f>
        <v>1000000000</v>
      </c>
      <c r="F189" s="42"/>
      <c r="G189" s="41"/>
      <c r="H189" s="43"/>
      <c r="I189" s="42"/>
      <c r="J189" s="42"/>
      <c r="K189" s="41"/>
      <c r="L189" s="41">
        <f>SUBTOTAL(9,L186:L188)</f>
        <v>423497</v>
      </c>
      <c r="M189" s="41">
        <f>SUBTOTAL(9,M186:M188)</f>
        <v>1000000000</v>
      </c>
    </row>
    <row r="190" spans="1:13" s="18" customFormat="1" outlineLevel="2">
      <c r="A190" s="19" t="s">
        <v>91</v>
      </c>
      <c r="B190" s="20" t="s">
        <v>16</v>
      </c>
      <c r="C190" s="21" t="s">
        <v>90</v>
      </c>
      <c r="D190" s="20" t="s">
        <v>89</v>
      </c>
      <c r="E190" s="3">
        <v>3400000</v>
      </c>
      <c r="F190" s="19">
        <v>43927</v>
      </c>
      <c r="G190" s="3">
        <v>3400000</v>
      </c>
      <c r="H190" s="2">
        <v>5.0000000000000001E-3</v>
      </c>
      <c r="I190" s="19">
        <v>44044</v>
      </c>
      <c r="J190" s="19">
        <v>44074</v>
      </c>
      <c r="K190" s="3">
        <f>J190-I190+1</f>
        <v>31</v>
      </c>
      <c r="L190" s="3">
        <f>ROUND(G190*H190*K190/366,0)</f>
        <v>1440</v>
      </c>
      <c r="M190" s="3">
        <v>3400000</v>
      </c>
    </row>
    <row r="191" spans="1:13" s="18" customFormat="1" outlineLevel="2">
      <c r="A191" s="19" t="s">
        <v>91</v>
      </c>
      <c r="B191" s="20" t="s">
        <v>23</v>
      </c>
      <c r="C191" s="21" t="s">
        <v>90</v>
      </c>
      <c r="D191" s="20" t="s">
        <v>89</v>
      </c>
      <c r="E191" s="3">
        <v>70440000</v>
      </c>
      <c r="F191" s="19">
        <v>43951</v>
      </c>
      <c r="G191" s="3">
        <v>70440000</v>
      </c>
      <c r="H191" s="2">
        <v>5.0000000000000001E-3</v>
      </c>
      <c r="I191" s="19">
        <v>44044</v>
      </c>
      <c r="J191" s="19">
        <v>44074</v>
      </c>
      <c r="K191" s="3">
        <f>J191-I191+1</f>
        <v>31</v>
      </c>
      <c r="L191" s="3">
        <f>ROUND(G191*H191*K191/366,0)</f>
        <v>29831</v>
      </c>
      <c r="M191" s="3">
        <v>70440000</v>
      </c>
    </row>
    <row r="192" spans="1:13" s="18" customFormat="1" outlineLevel="2">
      <c r="A192" s="19" t="s">
        <v>91</v>
      </c>
      <c r="B192" s="20" t="s">
        <v>29</v>
      </c>
      <c r="C192" s="21" t="s">
        <v>104</v>
      </c>
      <c r="D192" s="20" t="s">
        <v>103</v>
      </c>
      <c r="E192" s="3">
        <v>182300000</v>
      </c>
      <c r="F192" s="19">
        <v>43959</v>
      </c>
      <c r="G192" s="3">
        <v>182300000</v>
      </c>
      <c r="H192" s="2">
        <v>5.0000000000000001E-3</v>
      </c>
      <c r="I192" s="19">
        <v>44044</v>
      </c>
      <c r="J192" s="19">
        <v>44074</v>
      </c>
      <c r="K192" s="3">
        <f>J192-I192+1</f>
        <v>31</v>
      </c>
      <c r="L192" s="3">
        <f>ROUND(G192*H192*K192/366,0)</f>
        <v>77204</v>
      </c>
      <c r="M192" s="3">
        <v>182300000</v>
      </c>
    </row>
    <row r="193" spans="1:13" s="18" customFormat="1" ht="13.5" outlineLevel="1">
      <c r="A193" s="22" t="s">
        <v>88</v>
      </c>
      <c r="B193" s="39"/>
      <c r="C193" s="40"/>
      <c r="D193" s="39"/>
      <c r="E193" s="41">
        <f>SUBTOTAL(9,E190:E192)</f>
        <v>256140000</v>
      </c>
      <c r="F193" s="42"/>
      <c r="G193" s="41"/>
      <c r="H193" s="43"/>
      <c r="I193" s="42"/>
      <c r="J193" s="42"/>
      <c r="K193" s="41"/>
      <c r="L193" s="41">
        <f>SUBTOTAL(9,L190:L192)</f>
        <v>108475</v>
      </c>
      <c r="M193" s="41">
        <f>SUBTOTAL(9,M190:M192)</f>
        <v>256140000</v>
      </c>
    </row>
    <row r="194" spans="1:13" s="18" customFormat="1" outlineLevel="2">
      <c r="A194" s="19" t="s">
        <v>87</v>
      </c>
      <c r="B194" s="20" t="s">
        <v>16</v>
      </c>
      <c r="C194" s="21" t="s">
        <v>69</v>
      </c>
      <c r="D194" s="20" t="s">
        <v>68</v>
      </c>
      <c r="E194" s="3">
        <v>43200000</v>
      </c>
      <c r="F194" s="19">
        <v>43937</v>
      </c>
      <c r="G194" s="3">
        <v>43200000</v>
      </c>
      <c r="H194" s="2">
        <v>3.0000000000000001E-3</v>
      </c>
      <c r="I194" s="19">
        <v>44044</v>
      </c>
      <c r="J194" s="19">
        <v>44074</v>
      </c>
      <c r="K194" s="3">
        <f>J194-I194+1</f>
        <v>31</v>
      </c>
      <c r="L194" s="3">
        <f>ROUND(G194*H194*K194/366,0)</f>
        <v>10977</v>
      </c>
      <c r="M194" s="3">
        <v>43200000</v>
      </c>
    </row>
    <row r="195" spans="1:13" s="18" customFormat="1" outlineLevel="2">
      <c r="A195" s="19" t="s">
        <v>87</v>
      </c>
      <c r="B195" s="20" t="s">
        <v>23</v>
      </c>
      <c r="C195" s="21" t="s">
        <v>69</v>
      </c>
      <c r="D195" s="20" t="s">
        <v>68</v>
      </c>
      <c r="E195" s="3">
        <v>330000000</v>
      </c>
      <c r="F195" s="19">
        <v>44013</v>
      </c>
      <c r="G195" s="3">
        <v>330000000</v>
      </c>
      <c r="H195" s="2">
        <v>3.0000000000000001E-3</v>
      </c>
      <c r="I195" s="19">
        <v>44044</v>
      </c>
      <c r="J195" s="19">
        <v>44074</v>
      </c>
      <c r="K195" s="3">
        <f>J195-I195+1</f>
        <v>31</v>
      </c>
      <c r="L195" s="3">
        <f>ROUND(G195*H195*K195/366,0)</f>
        <v>83852</v>
      </c>
      <c r="M195" s="3">
        <v>330000000</v>
      </c>
    </row>
    <row r="196" spans="1:13" s="18" customFormat="1" outlineLevel="2">
      <c r="A196" s="19" t="s">
        <v>87</v>
      </c>
      <c r="B196" s="20" t="s">
        <v>29</v>
      </c>
      <c r="C196" s="21" t="s">
        <v>69</v>
      </c>
      <c r="D196" s="20" t="s">
        <v>68</v>
      </c>
      <c r="E196" s="3">
        <v>120000000</v>
      </c>
      <c r="F196" s="19">
        <v>44049</v>
      </c>
      <c r="G196" s="3">
        <v>120000000</v>
      </c>
      <c r="H196" s="2">
        <v>3.0000000000000001E-3</v>
      </c>
      <c r="I196" s="19">
        <v>44049</v>
      </c>
      <c r="J196" s="19">
        <v>44074</v>
      </c>
      <c r="K196" s="3">
        <f>J196-I196+1</f>
        <v>26</v>
      </c>
      <c r="L196" s="3">
        <f>ROUND(G196*H196*K196/366,0)</f>
        <v>25574</v>
      </c>
      <c r="M196" s="3">
        <v>120000000</v>
      </c>
    </row>
    <row r="197" spans="1:13" s="18" customFormat="1" ht="13.5" outlineLevel="1">
      <c r="A197" s="22" t="s">
        <v>86</v>
      </c>
      <c r="B197" s="39"/>
      <c r="C197" s="40"/>
      <c r="D197" s="39"/>
      <c r="E197" s="41">
        <f>SUBTOTAL(9,E194:E196)</f>
        <v>493200000</v>
      </c>
      <c r="F197" s="42"/>
      <c r="G197" s="41"/>
      <c r="H197" s="43"/>
      <c r="I197" s="42"/>
      <c r="J197" s="42"/>
      <c r="K197" s="41"/>
      <c r="L197" s="41">
        <f>SUBTOTAL(9,L194:L196)</f>
        <v>120403</v>
      </c>
      <c r="M197" s="41">
        <f>SUBTOTAL(9,M194:M196)</f>
        <v>493200000</v>
      </c>
    </row>
    <row r="198" spans="1:13" s="18" customFormat="1" outlineLevel="2">
      <c r="A198" s="19" t="s">
        <v>40</v>
      </c>
      <c r="B198" s="20" t="s">
        <v>16</v>
      </c>
      <c r="C198" s="21" t="s">
        <v>41</v>
      </c>
      <c r="D198" s="20" t="s">
        <v>42</v>
      </c>
      <c r="E198" s="3">
        <v>126000000</v>
      </c>
      <c r="F198" s="19">
        <v>43804</v>
      </c>
      <c r="G198" s="3">
        <v>126000000</v>
      </c>
      <c r="H198" s="2">
        <v>5.0000000000000001E-3</v>
      </c>
      <c r="I198" s="19">
        <v>44044</v>
      </c>
      <c r="J198" s="19">
        <v>44074</v>
      </c>
      <c r="K198" s="3">
        <f t="shared" ref="K198:K233" si="14">J198-I198+1</f>
        <v>31</v>
      </c>
      <c r="L198" s="3">
        <f t="shared" ref="L198:L233" si="15">ROUND(G198*H198*K198/366,0)</f>
        <v>53361</v>
      </c>
      <c r="M198" s="3">
        <v>126000000</v>
      </c>
    </row>
    <row r="199" spans="1:13" s="18" customFormat="1" outlineLevel="2">
      <c r="A199" s="19" t="s">
        <v>40</v>
      </c>
      <c r="B199" s="20" t="s">
        <v>61</v>
      </c>
      <c r="C199" s="21" t="s">
        <v>47</v>
      </c>
      <c r="D199" s="20" t="s">
        <v>42</v>
      </c>
      <c r="E199" s="3">
        <v>46600000</v>
      </c>
      <c r="F199" s="19">
        <v>43866</v>
      </c>
      <c r="G199" s="3">
        <v>46600000</v>
      </c>
      <c r="H199" s="2">
        <v>5.0000000000000001E-3</v>
      </c>
      <c r="I199" s="19">
        <v>44044</v>
      </c>
      <c r="J199" s="19">
        <v>44074</v>
      </c>
      <c r="K199" s="3">
        <f t="shared" si="14"/>
        <v>31</v>
      </c>
      <c r="L199" s="3">
        <f t="shared" si="15"/>
        <v>19735</v>
      </c>
      <c r="M199" s="3">
        <v>46600000</v>
      </c>
    </row>
    <row r="200" spans="1:13" s="18" customFormat="1" outlineLevel="2">
      <c r="A200" s="19" t="s">
        <v>40</v>
      </c>
      <c r="B200" s="20" t="s">
        <v>60</v>
      </c>
      <c r="C200" s="21" t="s">
        <v>47</v>
      </c>
      <c r="D200" s="20" t="s">
        <v>42</v>
      </c>
      <c r="E200" s="3">
        <v>1300000</v>
      </c>
      <c r="F200" s="19">
        <v>43866</v>
      </c>
      <c r="G200" s="3">
        <v>1300000</v>
      </c>
      <c r="H200" s="2">
        <v>5.0000000000000001E-3</v>
      </c>
      <c r="I200" s="19">
        <v>44044</v>
      </c>
      <c r="J200" s="19">
        <v>44074</v>
      </c>
      <c r="K200" s="3">
        <f t="shared" si="14"/>
        <v>31</v>
      </c>
      <c r="L200" s="3">
        <f t="shared" si="15"/>
        <v>551</v>
      </c>
      <c r="M200" s="3">
        <v>1300000</v>
      </c>
    </row>
    <row r="201" spans="1:13" s="18" customFormat="1" outlineLevel="2">
      <c r="A201" s="19" t="s">
        <v>40</v>
      </c>
      <c r="B201" s="20" t="s">
        <v>66</v>
      </c>
      <c r="C201" s="21" t="s">
        <v>43</v>
      </c>
      <c r="D201" s="20" t="s">
        <v>44</v>
      </c>
      <c r="E201" s="3">
        <v>9087600</v>
      </c>
      <c r="F201" s="19">
        <v>43901</v>
      </c>
      <c r="G201" s="3">
        <v>9087600</v>
      </c>
      <c r="H201" s="2">
        <v>5.0000000000000001E-3</v>
      </c>
      <c r="I201" s="19">
        <v>44044</v>
      </c>
      <c r="J201" s="19">
        <v>44074</v>
      </c>
      <c r="K201" s="3">
        <f t="shared" si="14"/>
        <v>31</v>
      </c>
      <c r="L201" s="3">
        <f t="shared" si="15"/>
        <v>3849</v>
      </c>
      <c r="M201" s="3">
        <v>9087600</v>
      </c>
    </row>
    <row r="202" spans="1:13" s="18" customFormat="1" outlineLevel="2">
      <c r="A202" s="19" t="s">
        <v>40</v>
      </c>
      <c r="B202" s="20" t="s">
        <v>65</v>
      </c>
      <c r="C202" s="21" t="s">
        <v>43</v>
      </c>
      <c r="D202" s="20" t="s">
        <v>44</v>
      </c>
      <c r="E202" s="3">
        <v>7270080</v>
      </c>
      <c r="F202" s="19">
        <v>43901</v>
      </c>
      <c r="G202" s="3">
        <v>7270080</v>
      </c>
      <c r="H202" s="2">
        <v>5.0000000000000001E-3</v>
      </c>
      <c r="I202" s="19">
        <v>44044</v>
      </c>
      <c r="J202" s="19">
        <v>44074</v>
      </c>
      <c r="K202" s="3">
        <f t="shared" si="14"/>
        <v>31</v>
      </c>
      <c r="L202" s="3">
        <f t="shared" si="15"/>
        <v>3079</v>
      </c>
      <c r="M202" s="3">
        <v>7270080</v>
      </c>
    </row>
    <row r="203" spans="1:13" s="18" customFormat="1" outlineLevel="2">
      <c r="A203" s="19" t="s">
        <v>40</v>
      </c>
      <c r="B203" s="20" t="s">
        <v>64</v>
      </c>
      <c r="C203" s="21" t="s">
        <v>47</v>
      </c>
      <c r="D203" s="20" t="s">
        <v>42</v>
      </c>
      <c r="E203" s="3">
        <v>99400000</v>
      </c>
      <c r="F203" s="19">
        <v>43917</v>
      </c>
      <c r="G203" s="3">
        <v>99400000</v>
      </c>
      <c r="H203" s="2">
        <v>5.0000000000000001E-3</v>
      </c>
      <c r="I203" s="19">
        <v>44044</v>
      </c>
      <c r="J203" s="19">
        <v>44074</v>
      </c>
      <c r="K203" s="3">
        <f t="shared" si="14"/>
        <v>31</v>
      </c>
      <c r="L203" s="3">
        <f t="shared" si="15"/>
        <v>42096</v>
      </c>
      <c r="M203" s="3">
        <v>99400000</v>
      </c>
    </row>
    <row r="204" spans="1:13" s="18" customFormat="1" outlineLevel="2">
      <c r="A204" s="19" t="s">
        <v>40</v>
      </c>
      <c r="B204" s="20" t="s">
        <v>85</v>
      </c>
      <c r="C204" s="21" t="s">
        <v>43</v>
      </c>
      <c r="D204" s="20" t="s">
        <v>44</v>
      </c>
      <c r="E204" s="3">
        <v>9087600</v>
      </c>
      <c r="F204" s="19">
        <v>43929</v>
      </c>
      <c r="G204" s="3">
        <v>9087600</v>
      </c>
      <c r="H204" s="2">
        <v>5.0000000000000001E-3</v>
      </c>
      <c r="I204" s="19">
        <v>44044</v>
      </c>
      <c r="J204" s="19">
        <v>44074</v>
      </c>
      <c r="K204" s="3">
        <f t="shared" si="14"/>
        <v>31</v>
      </c>
      <c r="L204" s="3">
        <f t="shared" si="15"/>
        <v>3849</v>
      </c>
      <c r="M204" s="3">
        <v>9087600</v>
      </c>
    </row>
    <row r="205" spans="1:13" s="18" customFormat="1" outlineLevel="2">
      <c r="A205" s="19" t="s">
        <v>40</v>
      </c>
      <c r="B205" s="20" t="s">
        <v>84</v>
      </c>
      <c r="C205" s="21" t="s">
        <v>43</v>
      </c>
      <c r="D205" s="20" t="s">
        <v>44</v>
      </c>
      <c r="E205" s="3">
        <v>13007640</v>
      </c>
      <c r="F205" s="19">
        <v>43929</v>
      </c>
      <c r="G205" s="3">
        <v>13007640</v>
      </c>
      <c r="H205" s="2">
        <v>5.0000000000000001E-3</v>
      </c>
      <c r="I205" s="19">
        <v>44044</v>
      </c>
      <c r="J205" s="19">
        <v>44074</v>
      </c>
      <c r="K205" s="3">
        <f t="shared" si="14"/>
        <v>31</v>
      </c>
      <c r="L205" s="3">
        <f t="shared" si="15"/>
        <v>5509</v>
      </c>
      <c r="M205" s="3">
        <v>13007640</v>
      </c>
    </row>
    <row r="206" spans="1:13" s="18" customFormat="1" outlineLevel="2">
      <c r="A206" s="19" t="s">
        <v>40</v>
      </c>
      <c r="B206" s="20" t="s">
        <v>83</v>
      </c>
      <c r="C206" s="21" t="s">
        <v>82</v>
      </c>
      <c r="D206" s="20" t="s">
        <v>81</v>
      </c>
      <c r="E206" s="3">
        <v>61668037</v>
      </c>
      <c r="F206" s="19">
        <v>43949</v>
      </c>
      <c r="G206" s="3">
        <v>61668037</v>
      </c>
      <c r="H206" s="2">
        <v>5.0000000000000001E-3</v>
      </c>
      <c r="I206" s="19">
        <v>44044</v>
      </c>
      <c r="J206" s="19">
        <v>44074</v>
      </c>
      <c r="K206" s="3">
        <f t="shared" si="14"/>
        <v>31</v>
      </c>
      <c r="L206" s="3">
        <f t="shared" si="15"/>
        <v>26116</v>
      </c>
      <c r="M206" s="3">
        <v>61668037</v>
      </c>
    </row>
    <row r="207" spans="1:13" s="18" customFormat="1" outlineLevel="2">
      <c r="A207" s="19" t="s">
        <v>40</v>
      </c>
      <c r="B207" s="20" t="s">
        <v>102</v>
      </c>
      <c r="C207" s="21" t="s">
        <v>43</v>
      </c>
      <c r="D207" s="20" t="s">
        <v>44</v>
      </c>
      <c r="E207" s="3">
        <v>13007640</v>
      </c>
      <c r="F207" s="19">
        <v>43964</v>
      </c>
      <c r="G207" s="3">
        <v>13007640</v>
      </c>
      <c r="H207" s="2">
        <v>5.0000000000000001E-3</v>
      </c>
      <c r="I207" s="19">
        <v>44044</v>
      </c>
      <c r="J207" s="19">
        <v>44074</v>
      </c>
      <c r="K207" s="3">
        <f t="shared" si="14"/>
        <v>31</v>
      </c>
      <c r="L207" s="3">
        <f t="shared" si="15"/>
        <v>5509</v>
      </c>
      <c r="M207" s="3">
        <v>13007640</v>
      </c>
    </row>
    <row r="208" spans="1:13" s="18" customFormat="1" outlineLevel="2">
      <c r="A208" s="19" t="s">
        <v>40</v>
      </c>
      <c r="B208" s="20" t="s">
        <v>101</v>
      </c>
      <c r="C208" s="21" t="s">
        <v>43</v>
      </c>
      <c r="D208" s="20" t="s">
        <v>44</v>
      </c>
      <c r="E208" s="3">
        <v>6361320</v>
      </c>
      <c r="F208" s="19">
        <v>43964</v>
      </c>
      <c r="G208" s="3">
        <v>6361320</v>
      </c>
      <c r="H208" s="2">
        <v>5.0000000000000001E-3</v>
      </c>
      <c r="I208" s="19">
        <v>44044</v>
      </c>
      <c r="J208" s="19">
        <v>44074</v>
      </c>
      <c r="K208" s="3">
        <f t="shared" si="14"/>
        <v>31</v>
      </c>
      <c r="L208" s="3">
        <f t="shared" si="15"/>
        <v>2694</v>
      </c>
      <c r="M208" s="3">
        <v>6361320</v>
      </c>
    </row>
    <row r="209" spans="1:13" s="18" customFormat="1" outlineLevel="2">
      <c r="A209" s="19" t="s">
        <v>40</v>
      </c>
      <c r="B209" s="20" t="s">
        <v>23</v>
      </c>
      <c r="C209" s="21" t="s">
        <v>43</v>
      </c>
      <c r="D209" s="20" t="s">
        <v>44</v>
      </c>
      <c r="E209" s="3">
        <v>5452560</v>
      </c>
      <c r="F209" s="19">
        <v>43810</v>
      </c>
      <c r="G209" s="3">
        <v>5452560</v>
      </c>
      <c r="H209" s="2">
        <v>5.0000000000000001E-3</v>
      </c>
      <c r="I209" s="19">
        <v>44044</v>
      </c>
      <c r="J209" s="19">
        <v>44074</v>
      </c>
      <c r="K209" s="3">
        <f t="shared" si="14"/>
        <v>31</v>
      </c>
      <c r="L209" s="3">
        <f t="shared" si="15"/>
        <v>2309</v>
      </c>
      <c r="M209" s="3">
        <v>5452560</v>
      </c>
    </row>
    <row r="210" spans="1:13" s="18" customFormat="1" outlineLevel="2">
      <c r="A210" s="19" t="s">
        <v>40</v>
      </c>
      <c r="B210" s="20" t="s">
        <v>100</v>
      </c>
      <c r="C210" s="21" t="s">
        <v>47</v>
      </c>
      <c r="D210" s="20" t="s">
        <v>42</v>
      </c>
      <c r="E210" s="3">
        <v>69800000</v>
      </c>
      <c r="F210" s="19">
        <v>43956</v>
      </c>
      <c r="G210" s="3">
        <v>69800000</v>
      </c>
      <c r="H210" s="2">
        <v>5.0000000000000001E-3</v>
      </c>
      <c r="I210" s="19">
        <v>44044</v>
      </c>
      <c r="J210" s="19">
        <v>44074</v>
      </c>
      <c r="K210" s="3">
        <f t="shared" si="14"/>
        <v>31</v>
      </c>
      <c r="L210" s="3">
        <f t="shared" si="15"/>
        <v>29560</v>
      </c>
      <c r="M210" s="3">
        <v>69800000</v>
      </c>
    </row>
    <row r="211" spans="1:13" s="18" customFormat="1" outlineLevel="2">
      <c r="A211" s="19" t="s">
        <v>40</v>
      </c>
      <c r="B211" s="20" t="s">
        <v>99</v>
      </c>
      <c r="C211" s="21" t="s">
        <v>47</v>
      </c>
      <c r="D211" s="20" t="s">
        <v>42</v>
      </c>
      <c r="E211" s="3">
        <v>1500000</v>
      </c>
      <c r="F211" s="19">
        <v>43956</v>
      </c>
      <c r="G211" s="3">
        <v>1500000</v>
      </c>
      <c r="H211" s="2">
        <v>5.0000000000000001E-3</v>
      </c>
      <c r="I211" s="19">
        <v>44044</v>
      </c>
      <c r="J211" s="19">
        <v>44074</v>
      </c>
      <c r="K211" s="3">
        <f t="shared" si="14"/>
        <v>31</v>
      </c>
      <c r="L211" s="3">
        <f t="shared" si="15"/>
        <v>635</v>
      </c>
      <c r="M211" s="3">
        <v>1500000</v>
      </c>
    </row>
    <row r="212" spans="1:13" s="18" customFormat="1" outlineLevel="2">
      <c r="A212" s="19" t="s">
        <v>40</v>
      </c>
      <c r="B212" s="20" t="s">
        <v>98</v>
      </c>
      <c r="C212" s="21" t="s">
        <v>97</v>
      </c>
      <c r="D212" s="20" t="s">
        <v>96</v>
      </c>
      <c r="E212" s="3">
        <v>50000000</v>
      </c>
      <c r="F212" s="19">
        <v>43976</v>
      </c>
      <c r="G212" s="3">
        <v>50000000</v>
      </c>
      <c r="H212" s="2">
        <v>5.0000000000000001E-3</v>
      </c>
      <c r="I212" s="19">
        <v>44044</v>
      </c>
      <c r="J212" s="19">
        <v>44074</v>
      </c>
      <c r="K212" s="3">
        <f t="shared" si="14"/>
        <v>31</v>
      </c>
      <c r="L212" s="3">
        <f t="shared" si="15"/>
        <v>21175</v>
      </c>
      <c r="M212" s="3">
        <v>50000000</v>
      </c>
    </row>
    <row r="213" spans="1:13" s="18" customFormat="1" outlineLevel="2">
      <c r="A213" s="19" t="s">
        <v>40</v>
      </c>
      <c r="B213" s="20" t="s">
        <v>122</v>
      </c>
      <c r="C213" s="21" t="s">
        <v>43</v>
      </c>
      <c r="D213" s="20" t="s">
        <v>44</v>
      </c>
      <c r="E213" s="3">
        <v>6657720</v>
      </c>
      <c r="F213" s="19">
        <v>43992</v>
      </c>
      <c r="G213" s="3">
        <v>6657720</v>
      </c>
      <c r="H213" s="2">
        <v>5.0000000000000001E-3</v>
      </c>
      <c r="I213" s="19">
        <v>44044</v>
      </c>
      <c r="J213" s="19">
        <v>44074</v>
      </c>
      <c r="K213" s="3">
        <f t="shared" si="14"/>
        <v>31</v>
      </c>
      <c r="L213" s="3">
        <f t="shared" si="15"/>
        <v>2820</v>
      </c>
      <c r="M213" s="3">
        <v>6657720</v>
      </c>
    </row>
    <row r="214" spans="1:13" s="18" customFormat="1" outlineLevel="2">
      <c r="A214" s="19" t="s">
        <v>40</v>
      </c>
      <c r="B214" s="20" t="s">
        <v>121</v>
      </c>
      <c r="C214" s="21" t="s">
        <v>43</v>
      </c>
      <c r="D214" s="20" t="s">
        <v>44</v>
      </c>
      <c r="E214" s="3">
        <v>6361320</v>
      </c>
      <c r="F214" s="19">
        <v>43992</v>
      </c>
      <c r="G214" s="3">
        <v>6361320</v>
      </c>
      <c r="H214" s="2">
        <v>5.0000000000000001E-3</v>
      </c>
      <c r="I214" s="19">
        <v>44044</v>
      </c>
      <c r="J214" s="19">
        <v>44074</v>
      </c>
      <c r="K214" s="3">
        <f t="shared" si="14"/>
        <v>31</v>
      </c>
      <c r="L214" s="3">
        <f t="shared" si="15"/>
        <v>2694</v>
      </c>
      <c r="M214" s="3">
        <v>6361320</v>
      </c>
    </row>
    <row r="215" spans="1:13" s="18" customFormat="1" outlineLevel="2">
      <c r="A215" s="19" t="s">
        <v>40</v>
      </c>
      <c r="B215" s="20" t="s">
        <v>120</v>
      </c>
      <c r="C215" s="21" t="s">
        <v>47</v>
      </c>
      <c r="D215" s="20" t="s">
        <v>42</v>
      </c>
      <c r="E215" s="3">
        <v>41200000</v>
      </c>
      <c r="F215" s="19">
        <v>43987</v>
      </c>
      <c r="G215" s="3">
        <v>41200000</v>
      </c>
      <c r="H215" s="2">
        <v>5.0000000000000001E-3</v>
      </c>
      <c r="I215" s="19">
        <v>44044</v>
      </c>
      <c r="J215" s="19">
        <v>44074</v>
      </c>
      <c r="K215" s="3">
        <f t="shared" si="14"/>
        <v>31</v>
      </c>
      <c r="L215" s="3">
        <f t="shared" si="15"/>
        <v>17448</v>
      </c>
      <c r="M215" s="3">
        <v>41200000</v>
      </c>
    </row>
    <row r="216" spans="1:13" s="18" customFormat="1" outlineLevel="2">
      <c r="A216" s="19" t="s">
        <v>40</v>
      </c>
      <c r="B216" s="20" t="s">
        <v>147</v>
      </c>
      <c r="C216" s="21" t="s">
        <v>43</v>
      </c>
      <c r="D216" s="20" t="s">
        <v>44</v>
      </c>
      <c r="E216" s="3">
        <v>6657720</v>
      </c>
      <c r="F216" s="19">
        <v>44020</v>
      </c>
      <c r="G216" s="3">
        <v>6657720</v>
      </c>
      <c r="H216" s="2">
        <v>5.0000000000000001E-3</v>
      </c>
      <c r="I216" s="19">
        <v>44044</v>
      </c>
      <c r="J216" s="19">
        <v>44074</v>
      </c>
      <c r="K216" s="3">
        <f t="shared" si="14"/>
        <v>31</v>
      </c>
      <c r="L216" s="3">
        <f t="shared" si="15"/>
        <v>2820</v>
      </c>
      <c r="M216" s="3">
        <v>6657720</v>
      </c>
    </row>
    <row r="217" spans="1:13" s="18" customFormat="1" outlineLevel="2">
      <c r="A217" s="19" t="s">
        <v>40</v>
      </c>
      <c r="B217" s="20" t="s">
        <v>146</v>
      </c>
      <c r="C217" s="21" t="s">
        <v>43</v>
      </c>
      <c r="D217" s="20" t="s">
        <v>44</v>
      </c>
      <c r="E217" s="3">
        <v>6657720</v>
      </c>
      <c r="F217" s="19">
        <v>44020</v>
      </c>
      <c r="G217" s="3">
        <v>6657720</v>
      </c>
      <c r="H217" s="2">
        <v>5.0000000000000001E-3</v>
      </c>
      <c r="I217" s="19">
        <v>44044</v>
      </c>
      <c r="J217" s="19">
        <v>44074</v>
      </c>
      <c r="K217" s="3">
        <f t="shared" si="14"/>
        <v>31</v>
      </c>
      <c r="L217" s="3">
        <f t="shared" si="15"/>
        <v>2820</v>
      </c>
      <c r="M217" s="3">
        <v>6657720</v>
      </c>
    </row>
    <row r="218" spans="1:13" s="18" customFormat="1" outlineLevel="2">
      <c r="A218" s="19" t="s">
        <v>40</v>
      </c>
      <c r="B218" s="20" t="s">
        <v>145</v>
      </c>
      <c r="C218" s="21" t="s">
        <v>47</v>
      </c>
      <c r="D218" s="20" t="s">
        <v>42</v>
      </c>
      <c r="E218" s="3">
        <v>11800000</v>
      </c>
      <c r="F218" s="19">
        <v>44015</v>
      </c>
      <c r="G218" s="3">
        <v>11800000</v>
      </c>
      <c r="H218" s="2">
        <v>5.0000000000000001E-3</v>
      </c>
      <c r="I218" s="19">
        <v>44044</v>
      </c>
      <c r="J218" s="19">
        <v>44074</v>
      </c>
      <c r="K218" s="3">
        <f t="shared" si="14"/>
        <v>31</v>
      </c>
      <c r="L218" s="3">
        <f t="shared" si="15"/>
        <v>4997</v>
      </c>
      <c r="M218" s="3">
        <v>11800000</v>
      </c>
    </row>
    <row r="219" spans="1:13" s="18" customFormat="1" outlineLevel="2">
      <c r="A219" s="19" t="s">
        <v>40</v>
      </c>
      <c r="B219" s="20" t="s">
        <v>144</v>
      </c>
      <c r="C219" s="21" t="s">
        <v>47</v>
      </c>
      <c r="D219" s="20" t="s">
        <v>42</v>
      </c>
      <c r="E219" s="3">
        <v>2600000</v>
      </c>
      <c r="F219" s="19">
        <v>44015</v>
      </c>
      <c r="G219" s="3">
        <v>2600000</v>
      </c>
      <c r="H219" s="2">
        <v>5.0000000000000001E-3</v>
      </c>
      <c r="I219" s="19">
        <v>44044</v>
      </c>
      <c r="J219" s="19">
        <v>44074</v>
      </c>
      <c r="K219" s="3">
        <f t="shared" si="14"/>
        <v>31</v>
      </c>
      <c r="L219" s="3">
        <f t="shared" si="15"/>
        <v>1101</v>
      </c>
      <c r="M219" s="3">
        <v>2600000</v>
      </c>
    </row>
    <row r="220" spans="1:13" s="18" customFormat="1" outlineLevel="2">
      <c r="A220" s="19" t="s">
        <v>40</v>
      </c>
      <c r="B220" s="20" t="s">
        <v>29</v>
      </c>
      <c r="C220" s="21" t="s">
        <v>45</v>
      </c>
      <c r="D220" s="20" t="s">
        <v>46</v>
      </c>
      <c r="E220" s="3">
        <v>220000000</v>
      </c>
      <c r="F220" s="19">
        <v>43815</v>
      </c>
      <c r="G220" s="3">
        <v>220000000</v>
      </c>
      <c r="H220" s="2">
        <v>5.0000000000000001E-3</v>
      </c>
      <c r="I220" s="19">
        <v>44044</v>
      </c>
      <c r="J220" s="19">
        <v>44074</v>
      </c>
      <c r="K220" s="3">
        <f t="shared" si="14"/>
        <v>31</v>
      </c>
      <c r="L220" s="3">
        <f t="shared" si="15"/>
        <v>93169</v>
      </c>
      <c r="M220" s="3">
        <v>220000000</v>
      </c>
    </row>
    <row r="221" spans="1:13" s="18" customFormat="1" outlineLevel="2">
      <c r="A221" s="19" t="s">
        <v>40</v>
      </c>
      <c r="B221" s="20" t="s">
        <v>143</v>
      </c>
      <c r="C221" s="21" t="s">
        <v>27</v>
      </c>
      <c r="D221" s="20" t="s">
        <v>28</v>
      </c>
      <c r="E221" s="3">
        <v>10400000</v>
      </c>
      <c r="F221" s="19">
        <v>44033</v>
      </c>
      <c r="G221" s="3">
        <v>10400000</v>
      </c>
      <c r="H221" s="2">
        <v>5.0000000000000001E-3</v>
      </c>
      <c r="I221" s="19">
        <v>44044</v>
      </c>
      <c r="J221" s="19">
        <v>44074</v>
      </c>
      <c r="K221" s="3">
        <f t="shared" si="14"/>
        <v>31</v>
      </c>
      <c r="L221" s="3">
        <f t="shared" si="15"/>
        <v>4404</v>
      </c>
      <c r="M221" s="3">
        <v>10400000</v>
      </c>
    </row>
    <row r="222" spans="1:13" s="18" customFormat="1" outlineLevel="2">
      <c r="A222" s="19" t="s">
        <v>40</v>
      </c>
      <c r="B222" s="20" t="s">
        <v>142</v>
      </c>
      <c r="C222" s="21" t="s">
        <v>141</v>
      </c>
      <c r="D222" s="20" t="s">
        <v>140</v>
      </c>
      <c r="E222" s="3">
        <v>28200000</v>
      </c>
      <c r="F222" s="19">
        <v>44027</v>
      </c>
      <c r="G222" s="3">
        <v>28200000</v>
      </c>
      <c r="H222" s="2">
        <v>5.0000000000000001E-3</v>
      </c>
      <c r="I222" s="19">
        <v>44044</v>
      </c>
      <c r="J222" s="19">
        <v>44074</v>
      </c>
      <c r="K222" s="3">
        <f t="shared" si="14"/>
        <v>31</v>
      </c>
      <c r="L222" s="3">
        <f t="shared" si="15"/>
        <v>11943</v>
      </c>
      <c r="M222" s="3">
        <v>28200000</v>
      </c>
    </row>
    <row r="223" spans="1:13" s="18" customFormat="1" outlineLevel="2">
      <c r="A223" s="19" t="s">
        <v>40</v>
      </c>
      <c r="B223" s="20" t="s">
        <v>152</v>
      </c>
      <c r="C223" s="21" t="s">
        <v>43</v>
      </c>
      <c r="D223" s="20" t="s">
        <v>44</v>
      </c>
      <c r="E223" s="3">
        <v>6657720</v>
      </c>
      <c r="F223" s="19">
        <v>44055</v>
      </c>
      <c r="G223" s="3">
        <v>6657720</v>
      </c>
      <c r="H223" s="2">
        <v>5.0000000000000001E-3</v>
      </c>
      <c r="I223" s="19">
        <v>44055</v>
      </c>
      <c r="J223" s="19">
        <v>44074</v>
      </c>
      <c r="K223" s="3">
        <f t="shared" si="14"/>
        <v>20</v>
      </c>
      <c r="L223" s="3">
        <f t="shared" si="15"/>
        <v>1819</v>
      </c>
      <c r="M223" s="3">
        <v>6657720</v>
      </c>
    </row>
    <row r="224" spans="1:13" s="18" customFormat="1" outlineLevel="2">
      <c r="A224" s="19" t="s">
        <v>40</v>
      </c>
      <c r="B224" s="20" t="s">
        <v>168</v>
      </c>
      <c r="C224" s="21" t="s">
        <v>43</v>
      </c>
      <c r="D224" s="20" t="s">
        <v>44</v>
      </c>
      <c r="E224" s="3">
        <v>6714720</v>
      </c>
      <c r="F224" s="19">
        <v>44055</v>
      </c>
      <c r="G224" s="3">
        <v>6714720</v>
      </c>
      <c r="H224" s="2">
        <v>5.0000000000000001E-3</v>
      </c>
      <c r="I224" s="19">
        <v>44055</v>
      </c>
      <c r="J224" s="19">
        <v>44074</v>
      </c>
      <c r="K224" s="3">
        <f t="shared" si="14"/>
        <v>20</v>
      </c>
      <c r="L224" s="3">
        <f t="shared" si="15"/>
        <v>1835</v>
      </c>
      <c r="M224" s="3">
        <v>6714720</v>
      </c>
    </row>
    <row r="225" spans="1:13" s="18" customFormat="1" outlineLevel="2">
      <c r="A225" s="19" t="s">
        <v>40</v>
      </c>
      <c r="B225" s="20" t="s">
        <v>167</v>
      </c>
      <c r="C225" s="21" t="s">
        <v>47</v>
      </c>
      <c r="D225" s="20" t="s">
        <v>42</v>
      </c>
      <c r="E225" s="3">
        <v>47630000</v>
      </c>
      <c r="F225" s="19">
        <v>44048</v>
      </c>
      <c r="G225" s="3">
        <v>47630000</v>
      </c>
      <c r="H225" s="2">
        <v>5.0000000000000001E-3</v>
      </c>
      <c r="I225" s="19">
        <v>44048</v>
      </c>
      <c r="J225" s="19">
        <v>44074</v>
      </c>
      <c r="K225" s="3">
        <f t="shared" si="14"/>
        <v>27</v>
      </c>
      <c r="L225" s="3">
        <f t="shared" si="15"/>
        <v>17568</v>
      </c>
      <c r="M225" s="3">
        <v>47630000</v>
      </c>
    </row>
    <row r="226" spans="1:13" s="18" customFormat="1" outlineLevel="2">
      <c r="A226" s="19" t="s">
        <v>40</v>
      </c>
      <c r="B226" s="20" t="s">
        <v>166</v>
      </c>
      <c r="C226" s="21" t="s">
        <v>47</v>
      </c>
      <c r="D226" s="20" t="s">
        <v>42</v>
      </c>
      <c r="E226" s="3">
        <v>1970000</v>
      </c>
      <c r="F226" s="19">
        <v>44048</v>
      </c>
      <c r="G226" s="3">
        <v>1970000</v>
      </c>
      <c r="H226" s="2">
        <v>5.0000000000000001E-3</v>
      </c>
      <c r="I226" s="19">
        <v>44048</v>
      </c>
      <c r="J226" s="19">
        <v>44074</v>
      </c>
      <c r="K226" s="3">
        <f t="shared" si="14"/>
        <v>27</v>
      </c>
      <c r="L226" s="3">
        <f t="shared" si="15"/>
        <v>727</v>
      </c>
      <c r="M226" s="3">
        <v>1970000</v>
      </c>
    </row>
    <row r="227" spans="1:13" s="18" customFormat="1" outlineLevel="2">
      <c r="A227" s="19" t="s">
        <v>40</v>
      </c>
      <c r="B227" s="20" t="s">
        <v>165</v>
      </c>
      <c r="C227" s="21" t="s">
        <v>164</v>
      </c>
      <c r="D227" s="20" t="s">
        <v>163</v>
      </c>
      <c r="E227" s="3">
        <v>27700000</v>
      </c>
      <c r="F227" s="19">
        <v>44071</v>
      </c>
      <c r="G227" s="3">
        <v>27700000</v>
      </c>
      <c r="H227" s="2">
        <v>5.0000000000000001E-3</v>
      </c>
      <c r="I227" s="19">
        <v>44071</v>
      </c>
      <c r="J227" s="19">
        <v>44074</v>
      </c>
      <c r="K227" s="3">
        <f t="shared" si="14"/>
        <v>4</v>
      </c>
      <c r="L227" s="3">
        <f t="shared" si="15"/>
        <v>1514</v>
      </c>
      <c r="M227" s="3">
        <v>27700000</v>
      </c>
    </row>
    <row r="228" spans="1:13" s="18" customFormat="1" outlineLevel="2">
      <c r="A228" s="19" t="s">
        <v>40</v>
      </c>
      <c r="B228" s="20" t="s">
        <v>30</v>
      </c>
      <c r="C228" s="21" t="s">
        <v>43</v>
      </c>
      <c r="D228" s="20" t="s">
        <v>44</v>
      </c>
      <c r="E228" s="3">
        <v>5452560</v>
      </c>
      <c r="F228" s="19">
        <v>43838</v>
      </c>
      <c r="G228" s="3">
        <v>5452560</v>
      </c>
      <c r="H228" s="2">
        <v>5.0000000000000001E-3</v>
      </c>
      <c r="I228" s="19">
        <v>44044</v>
      </c>
      <c r="J228" s="19">
        <v>44074</v>
      </c>
      <c r="K228" s="3">
        <f t="shared" si="14"/>
        <v>31</v>
      </c>
      <c r="L228" s="3">
        <f t="shared" si="15"/>
        <v>2309</v>
      </c>
      <c r="M228" s="3">
        <v>5452560</v>
      </c>
    </row>
    <row r="229" spans="1:13" s="18" customFormat="1" outlineLevel="2">
      <c r="A229" s="19" t="s">
        <v>40</v>
      </c>
      <c r="B229" s="20" t="s">
        <v>31</v>
      </c>
      <c r="C229" s="21" t="s">
        <v>43</v>
      </c>
      <c r="D229" s="20" t="s">
        <v>44</v>
      </c>
      <c r="E229" s="3">
        <v>5452560</v>
      </c>
      <c r="F229" s="19">
        <v>43838</v>
      </c>
      <c r="G229" s="3">
        <v>5452560</v>
      </c>
      <c r="H229" s="2">
        <v>5.0000000000000001E-3</v>
      </c>
      <c r="I229" s="19">
        <v>44044</v>
      </c>
      <c r="J229" s="19">
        <v>44074</v>
      </c>
      <c r="K229" s="3">
        <f t="shared" si="14"/>
        <v>31</v>
      </c>
      <c r="L229" s="3">
        <f t="shared" si="15"/>
        <v>2309</v>
      </c>
      <c r="M229" s="3">
        <v>5452560</v>
      </c>
    </row>
    <row r="230" spans="1:13" s="18" customFormat="1" outlineLevel="2">
      <c r="A230" s="19" t="s">
        <v>40</v>
      </c>
      <c r="B230" s="20" t="s">
        <v>32</v>
      </c>
      <c r="C230" s="21" t="s">
        <v>47</v>
      </c>
      <c r="D230" s="20" t="s">
        <v>42</v>
      </c>
      <c r="E230" s="3">
        <v>55600000</v>
      </c>
      <c r="F230" s="19">
        <v>43833</v>
      </c>
      <c r="G230" s="3">
        <v>55600000</v>
      </c>
      <c r="H230" s="2">
        <v>5.0000000000000001E-3</v>
      </c>
      <c r="I230" s="19">
        <v>44044</v>
      </c>
      <c r="J230" s="19">
        <v>44074</v>
      </c>
      <c r="K230" s="3">
        <f t="shared" si="14"/>
        <v>31</v>
      </c>
      <c r="L230" s="3">
        <f t="shared" si="15"/>
        <v>23546</v>
      </c>
      <c r="M230" s="3">
        <v>55600000</v>
      </c>
    </row>
    <row r="231" spans="1:13" s="18" customFormat="1" outlineLevel="2">
      <c r="A231" s="19" t="s">
        <v>40</v>
      </c>
      <c r="B231" s="20" t="s">
        <v>48</v>
      </c>
      <c r="C231" s="21" t="s">
        <v>47</v>
      </c>
      <c r="D231" s="20" t="s">
        <v>42</v>
      </c>
      <c r="E231" s="3">
        <v>28400000</v>
      </c>
      <c r="F231" s="19">
        <v>43833</v>
      </c>
      <c r="G231" s="3">
        <v>28400000</v>
      </c>
      <c r="H231" s="2">
        <v>5.0000000000000001E-3</v>
      </c>
      <c r="I231" s="19">
        <v>44044</v>
      </c>
      <c r="J231" s="19">
        <v>44074</v>
      </c>
      <c r="K231" s="3">
        <f t="shared" si="14"/>
        <v>31</v>
      </c>
      <c r="L231" s="3">
        <f t="shared" si="15"/>
        <v>12027</v>
      </c>
      <c r="M231" s="3">
        <v>28400000</v>
      </c>
    </row>
    <row r="232" spans="1:13" s="18" customFormat="1" outlineLevel="2">
      <c r="A232" s="19" t="s">
        <v>40</v>
      </c>
      <c r="B232" s="20" t="s">
        <v>59</v>
      </c>
      <c r="C232" s="21" t="s">
        <v>43</v>
      </c>
      <c r="D232" s="20" t="s">
        <v>44</v>
      </c>
      <c r="E232" s="3">
        <v>5452560</v>
      </c>
      <c r="F232" s="19">
        <v>43873</v>
      </c>
      <c r="G232" s="3">
        <v>5452560</v>
      </c>
      <c r="H232" s="2">
        <v>5.0000000000000001E-3</v>
      </c>
      <c r="I232" s="19">
        <v>44044</v>
      </c>
      <c r="J232" s="19">
        <v>44074</v>
      </c>
      <c r="K232" s="3">
        <f t="shared" si="14"/>
        <v>31</v>
      </c>
      <c r="L232" s="3">
        <f t="shared" si="15"/>
        <v>2309</v>
      </c>
      <c r="M232" s="3">
        <v>5452560</v>
      </c>
    </row>
    <row r="233" spans="1:13" s="18" customFormat="1" outlineLevel="2">
      <c r="A233" s="19" t="s">
        <v>40</v>
      </c>
      <c r="B233" s="20" t="s">
        <v>58</v>
      </c>
      <c r="C233" s="21" t="s">
        <v>43</v>
      </c>
      <c r="D233" s="20" t="s">
        <v>44</v>
      </c>
      <c r="E233" s="3">
        <v>7270080</v>
      </c>
      <c r="F233" s="19">
        <v>43873</v>
      </c>
      <c r="G233" s="3">
        <v>7270080</v>
      </c>
      <c r="H233" s="2">
        <v>5.0000000000000001E-3</v>
      </c>
      <c r="I233" s="19">
        <v>44044</v>
      </c>
      <c r="J233" s="19">
        <v>44074</v>
      </c>
      <c r="K233" s="3">
        <f t="shared" si="14"/>
        <v>31</v>
      </c>
      <c r="L233" s="3">
        <f t="shared" si="15"/>
        <v>3079</v>
      </c>
      <c r="M233" s="3">
        <v>7270080</v>
      </c>
    </row>
    <row r="234" spans="1:13" s="18" customFormat="1" ht="13.5" outlineLevel="1">
      <c r="A234" s="22" t="s">
        <v>49</v>
      </c>
      <c r="B234" s="39"/>
      <c r="C234" s="40"/>
      <c r="D234" s="39"/>
      <c r="E234" s="41">
        <f>SUBTOTAL(9,E198:E233)</f>
        <v>1058377157</v>
      </c>
      <c r="F234" s="42"/>
      <c r="G234" s="41"/>
      <c r="H234" s="43"/>
      <c r="I234" s="42"/>
      <c r="J234" s="42"/>
      <c r="K234" s="41"/>
      <c r="L234" s="41">
        <f>SUBTOTAL(9,L198:L233)</f>
        <v>433285</v>
      </c>
      <c r="M234" s="41">
        <f>SUBTOTAL(9,M198:M233)</f>
        <v>1058377157</v>
      </c>
    </row>
    <row r="235" spans="1:13" s="18" customFormat="1" outlineLevel="2">
      <c r="A235" s="19" t="s">
        <v>119</v>
      </c>
      <c r="B235" s="20" t="s">
        <v>16</v>
      </c>
      <c r="C235" s="21" t="s">
        <v>97</v>
      </c>
      <c r="D235" s="20" t="s">
        <v>96</v>
      </c>
      <c r="E235" s="3">
        <v>20000000</v>
      </c>
      <c r="F235" s="19">
        <v>43985</v>
      </c>
      <c r="G235" s="3">
        <v>20000000</v>
      </c>
      <c r="H235" s="2">
        <v>5.0000000000000001E-3</v>
      </c>
      <c r="I235" s="19">
        <v>44044</v>
      </c>
      <c r="J235" s="19">
        <v>44074</v>
      </c>
      <c r="K235" s="3">
        <f>J235-I235+1</f>
        <v>31</v>
      </c>
      <c r="L235" s="3">
        <f>ROUND(G235*H235*K235/366,0)</f>
        <v>8470</v>
      </c>
      <c r="M235" s="3">
        <v>20000000</v>
      </c>
    </row>
    <row r="236" spans="1:13" s="18" customFormat="1" outlineLevel="2">
      <c r="A236" s="19" t="s">
        <v>119</v>
      </c>
      <c r="B236" s="20" t="s">
        <v>23</v>
      </c>
      <c r="C236" s="21" t="s">
        <v>97</v>
      </c>
      <c r="D236" s="20" t="s">
        <v>96</v>
      </c>
      <c r="E236" s="3">
        <v>13800000</v>
      </c>
      <c r="F236" s="19">
        <v>44034</v>
      </c>
      <c r="G236" s="3">
        <v>13800000</v>
      </c>
      <c r="H236" s="2">
        <v>5.0000000000000001E-3</v>
      </c>
      <c r="I236" s="19">
        <v>44044</v>
      </c>
      <c r="J236" s="19">
        <v>44074</v>
      </c>
      <c r="K236" s="3">
        <f>J236-I236+1</f>
        <v>31</v>
      </c>
      <c r="L236" s="3">
        <f>ROUND(G236*H236*K236/366,0)</f>
        <v>5844</v>
      </c>
      <c r="M236" s="3">
        <v>13800000</v>
      </c>
    </row>
    <row r="237" spans="1:13" s="18" customFormat="1" ht="13.5" outlineLevel="1">
      <c r="A237" s="22" t="s">
        <v>118</v>
      </c>
      <c r="B237" s="39"/>
      <c r="C237" s="40"/>
      <c r="D237" s="39"/>
      <c r="E237" s="41">
        <f>SUBTOTAL(9,E235:E236)</f>
        <v>33800000</v>
      </c>
      <c r="F237" s="42"/>
      <c r="G237" s="41"/>
      <c r="H237" s="43"/>
      <c r="I237" s="42"/>
      <c r="J237" s="42"/>
      <c r="K237" s="41"/>
      <c r="L237" s="41">
        <f>SUBTOTAL(9,L235:L236)</f>
        <v>14314</v>
      </c>
      <c r="M237" s="41">
        <f>SUBTOTAL(9,M235:M236)</f>
        <v>33800000</v>
      </c>
    </row>
    <row r="238" spans="1:13" s="18" customFormat="1" outlineLevel="2">
      <c r="A238" s="19" t="s">
        <v>63</v>
      </c>
      <c r="B238" s="20" t="s">
        <v>16</v>
      </c>
      <c r="C238" s="21" t="s">
        <v>21</v>
      </c>
      <c r="D238" s="20" t="s">
        <v>22</v>
      </c>
      <c r="E238" s="3">
        <v>72000000</v>
      </c>
      <c r="F238" s="19">
        <v>43917</v>
      </c>
      <c r="G238" s="3">
        <v>72000000</v>
      </c>
      <c r="H238" s="2">
        <v>5.0000000000000001E-3</v>
      </c>
      <c r="I238" s="19">
        <v>44044</v>
      </c>
      <c r="J238" s="19">
        <v>44074</v>
      </c>
      <c r="K238" s="3">
        <f>J238-I238+1</f>
        <v>31</v>
      </c>
      <c r="L238" s="3">
        <f>ROUND(G238*H238*K238/366,0)</f>
        <v>30492</v>
      </c>
      <c r="M238" s="3">
        <v>72000000</v>
      </c>
    </row>
    <row r="239" spans="1:13" s="18" customFormat="1" outlineLevel="2">
      <c r="A239" s="19" t="s">
        <v>63</v>
      </c>
      <c r="B239" s="20" t="s">
        <v>23</v>
      </c>
      <c r="C239" s="21" t="s">
        <v>21</v>
      </c>
      <c r="D239" s="20" t="s">
        <v>22</v>
      </c>
      <c r="E239" s="3">
        <v>144000000</v>
      </c>
      <c r="F239" s="19">
        <v>44018</v>
      </c>
      <c r="G239" s="3">
        <v>144000000</v>
      </c>
      <c r="H239" s="2">
        <v>5.0000000000000001E-3</v>
      </c>
      <c r="I239" s="19">
        <v>44044</v>
      </c>
      <c r="J239" s="19">
        <v>44074</v>
      </c>
      <c r="K239" s="3">
        <f>J239-I239+1</f>
        <v>31</v>
      </c>
      <c r="L239" s="3">
        <f>ROUND(G239*H239*K239/366,0)</f>
        <v>60984</v>
      </c>
      <c r="M239" s="3">
        <v>144000000</v>
      </c>
    </row>
    <row r="240" spans="1:13" s="18" customFormat="1" ht="13.5" outlineLevel="1">
      <c r="A240" s="22" t="s">
        <v>62</v>
      </c>
      <c r="B240" s="39"/>
      <c r="C240" s="40"/>
      <c r="D240" s="39"/>
      <c r="E240" s="41">
        <f>SUBTOTAL(9,E238:E239)</f>
        <v>216000000</v>
      </c>
      <c r="F240" s="42"/>
      <c r="G240" s="41"/>
      <c r="H240" s="43"/>
      <c r="I240" s="42"/>
      <c r="J240" s="42"/>
      <c r="K240" s="41"/>
      <c r="L240" s="41">
        <f>SUBTOTAL(9,L238:L239)</f>
        <v>91476</v>
      </c>
      <c r="M240" s="41">
        <f>SUBTOTAL(9,M238:M239)</f>
        <v>216000000</v>
      </c>
    </row>
    <row r="241" spans="1:13" s="18" customFormat="1" outlineLevel="2">
      <c r="A241" s="19" t="s">
        <v>50</v>
      </c>
      <c r="B241" s="20" t="s">
        <v>16</v>
      </c>
      <c r="C241" s="21" t="s">
        <v>21</v>
      </c>
      <c r="D241" s="20" t="s">
        <v>22</v>
      </c>
      <c r="E241" s="3">
        <v>190000000</v>
      </c>
      <c r="F241" s="19">
        <v>43797</v>
      </c>
      <c r="G241" s="3">
        <v>190000000</v>
      </c>
      <c r="H241" s="2">
        <v>5.0000000000000001E-3</v>
      </c>
      <c r="I241" s="19">
        <v>44044</v>
      </c>
      <c r="J241" s="19">
        <v>44074</v>
      </c>
      <c r="K241" s="3">
        <f t="shared" ref="K241:K255" si="16">J241-I241+1</f>
        <v>31</v>
      </c>
      <c r="L241" s="3">
        <f t="shared" ref="L241:L255" si="17">ROUND(G241*H241*K241/366,0)</f>
        <v>80464</v>
      </c>
      <c r="M241" s="3">
        <v>190000000</v>
      </c>
    </row>
    <row r="242" spans="1:13" s="18" customFormat="1" outlineLevel="2">
      <c r="A242" s="19" t="s">
        <v>50</v>
      </c>
      <c r="B242" s="20" t="s">
        <v>61</v>
      </c>
      <c r="C242" s="21" t="s">
        <v>57</v>
      </c>
      <c r="D242" s="20" t="s">
        <v>56</v>
      </c>
      <c r="E242" s="3">
        <v>1310400</v>
      </c>
      <c r="F242" s="19">
        <v>44043</v>
      </c>
      <c r="G242" s="3">
        <v>1310400</v>
      </c>
      <c r="H242" s="2">
        <v>5.0000000000000001E-3</v>
      </c>
      <c r="I242" s="19">
        <v>44044</v>
      </c>
      <c r="J242" s="19">
        <v>44059</v>
      </c>
      <c r="K242" s="3">
        <f t="shared" si="16"/>
        <v>16</v>
      </c>
      <c r="L242" s="3">
        <f t="shared" si="17"/>
        <v>286</v>
      </c>
      <c r="M242" s="3">
        <v>1286575</v>
      </c>
    </row>
    <row r="243" spans="1:13" s="18" customFormat="1" outlineLevel="2">
      <c r="A243" s="19" t="s">
        <v>50</v>
      </c>
      <c r="B243" s="20" t="s">
        <v>61</v>
      </c>
      <c r="C243" s="21" t="s">
        <v>57</v>
      </c>
      <c r="D243" s="20"/>
      <c r="E243" s="3"/>
      <c r="F243" s="19"/>
      <c r="G243" s="3">
        <v>1286575</v>
      </c>
      <c r="H243" s="2">
        <v>5.0000000000000001E-3</v>
      </c>
      <c r="I243" s="19">
        <v>44060</v>
      </c>
      <c r="J243" s="19">
        <v>44074</v>
      </c>
      <c r="K243" s="3">
        <f t="shared" si="16"/>
        <v>15</v>
      </c>
      <c r="L243" s="3">
        <f t="shared" si="17"/>
        <v>264</v>
      </c>
      <c r="M243" s="3"/>
    </row>
    <row r="244" spans="1:13" s="18" customFormat="1" outlineLevel="2">
      <c r="A244" s="19" t="s">
        <v>50</v>
      </c>
      <c r="B244" s="20" t="s">
        <v>60</v>
      </c>
      <c r="C244" s="21" t="s">
        <v>69</v>
      </c>
      <c r="D244" s="20" t="s">
        <v>68</v>
      </c>
      <c r="E244" s="3">
        <v>201600000</v>
      </c>
      <c r="F244" s="19">
        <v>44028</v>
      </c>
      <c r="G244" s="3">
        <v>201600000</v>
      </c>
      <c r="H244" s="2">
        <v>3.0000000000000001E-3</v>
      </c>
      <c r="I244" s="19">
        <v>44044</v>
      </c>
      <c r="J244" s="19">
        <v>44074</v>
      </c>
      <c r="K244" s="3">
        <f t="shared" si="16"/>
        <v>31</v>
      </c>
      <c r="L244" s="3">
        <f t="shared" si="17"/>
        <v>51226</v>
      </c>
      <c r="M244" s="3">
        <v>201600000</v>
      </c>
    </row>
    <row r="245" spans="1:13" s="18" customFormat="1" outlineLevel="2">
      <c r="A245" s="19" t="s">
        <v>50</v>
      </c>
      <c r="B245" s="20" t="s">
        <v>66</v>
      </c>
      <c r="C245" s="21" t="s">
        <v>117</v>
      </c>
      <c r="D245" s="20" t="s">
        <v>116</v>
      </c>
      <c r="E245" s="3">
        <v>67678400</v>
      </c>
      <c r="F245" s="19">
        <v>44041</v>
      </c>
      <c r="G245" s="3">
        <v>67678400</v>
      </c>
      <c r="H245" s="2">
        <v>5.0000000000000001E-3</v>
      </c>
      <c r="I245" s="19">
        <v>44044</v>
      </c>
      <c r="J245" s="19">
        <v>44074</v>
      </c>
      <c r="K245" s="3">
        <f t="shared" si="16"/>
        <v>31</v>
      </c>
      <c r="L245" s="3">
        <f t="shared" si="17"/>
        <v>28662</v>
      </c>
      <c r="M245" s="3">
        <v>67678400</v>
      </c>
    </row>
    <row r="246" spans="1:13" s="18" customFormat="1" outlineLevel="2">
      <c r="A246" s="19" t="s">
        <v>50</v>
      </c>
      <c r="B246" s="20" t="s">
        <v>65</v>
      </c>
      <c r="C246" s="21" t="s">
        <v>117</v>
      </c>
      <c r="D246" s="20" t="s">
        <v>116</v>
      </c>
      <c r="E246" s="3">
        <v>56400000</v>
      </c>
      <c r="F246" s="19">
        <v>44060</v>
      </c>
      <c r="G246" s="3">
        <v>56400000</v>
      </c>
      <c r="H246" s="2">
        <v>5.0000000000000001E-3</v>
      </c>
      <c r="I246" s="19">
        <v>44060</v>
      </c>
      <c r="J246" s="19">
        <v>44074</v>
      </c>
      <c r="K246" s="3">
        <f t="shared" si="16"/>
        <v>15</v>
      </c>
      <c r="L246" s="3">
        <f t="shared" si="17"/>
        <v>11557</v>
      </c>
      <c r="M246" s="3">
        <v>56400000</v>
      </c>
    </row>
    <row r="247" spans="1:13" s="18" customFormat="1" outlineLevel="2">
      <c r="A247" s="19" t="s">
        <v>50</v>
      </c>
      <c r="B247" s="20" t="s">
        <v>23</v>
      </c>
      <c r="C247" s="21" t="s">
        <v>21</v>
      </c>
      <c r="D247" s="20" t="s">
        <v>22</v>
      </c>
      <c r="E247" s="3">
        <v>37000000</v>
      </c>
      <c r="F247" s="19">
        <v>43829</v>
      </c>
      <c r="G247" s="3">
        <v>37000000</v>
      </c>
      <c r="H247" s="2">
        <v>5.0000000000000001E-3</v>
      </c>
      <c r="I247" s="19">
        <v>44044</v>
      </c>
      <c r="J247" s="19">
        <v>44074</v>
      </c>
      <c r="K247" s="3">
        <f t="shared" si="16"/>
        <v>31</v>
      </c>
      <c r="L247" s="3">
        <f t="shared" si="17"/>
        <v>15669</v>
      </c>
      <c r="M247" s="3">
        <v>37000000</v>
      </c>
    </row>
    <row r="248" spans="1:13" s="18" customFormat="1" outlineLevel="2">
      <c r="A248" s="19" t="s">
        <v>50</v>
      </c>
      <c r="B248" s="20" t="s">
        <v>29</v>
      </c>
      <c r="C248" s="21" t="s">
        <v>57</v>
      </c>
      <c r="D248" s="20" t="s">
        <v>56</v>
      </c>
      <c r="E248" s="3">
        <v>17276700</v>
      </c>
      <c r="F248" s="19">
        <v>43878</v>
      </c>
      <c r="G248" s="3">
        <v>15836975</v>
      </c>
      <c r="H248" s="2">
        <v>5.0000000000000001E-3</v>
      </c>
      <c r="I248" s="19">
        <v>44044</v>
      </c>
      <c r="J248" s="19">
        <v>44059</v>
      </c>
      <c r="K248" s="3">
        <f t="shared" si="16"/>
        <v>16</v>
      </c>
      <c r="L248" s="3">
        <f t="shared" si="17"/>
        <v>3462</v>
      </c>
      <c r="M248" s="3">
        <v>15549030</v>
      </c>
    </row>
    <row r="249" spans="1:13" s="18" customFormat="1" outlineLevel="2">
      <c r="A249" s="19" t="s">
        <v>50</v>
      </c>
      <c r="B249" s="20" t="s">
        <v>29</v>
      </c>
      <c r="C249" s="21" t="s">
        <v>57</v>
      </c>
      <c r="D249" s="20"/>
      <c r="E249" s="3"/>
      <c r="F249" s="19"/>
      <c r="G249" s="3">
        <v>15549030</v>
      </c>
      <c r="H249" s="2">
        <v>5.0000000000000001E-3</v>
      </c>
      <c r="I249" s="19">
        <v>44060</v>
      </c>
      <c r="J249" s="19">
        <v>44074</v>
      </c>
      <c r="K249" s="3">
        <f t="shared" si="16"/>
        <v>15</v>
      </c>
      <c r="L249" s="3">
        <f t="shared" si="17"/>
        <v>3186</v>
      </c>
      <c r="M249" s="3"/>
    </row>
    <row r="250" spans="1:13" s="18" customFormat="1" outlineLevel="2">
      <c r="A250" s="19" t="s">
        <v>50</v>
      </c>
      <c r="B250" s="20" t="s">
        <v>30</v>
      </c>
      <c r="C250" s="21" t="s">
        <v>21</v>
      </c>
      <c r="D250" s="20" t="s">
        <v>22</v>
      </c>
      <c r="E250" s="3">
        <v>73000000</v>
      </c>
      <c r="F250" s="19">
        <v>43896</v>
      </c>
      <c r="G250" s="3">
        <v>73000000</v>
      </c>
      <c r="H250" s="2">
        <v>5.0000000000000001E-3</v>
      </c>
      <c r="I250" s="19">
        <v>44044</v>
      </c>
      <c r="J250" s="19">
        <v>44074</v>
      </c>
      <c r="K250" s="3">
        <f t="shared" si="16"/>
        <v>31</v>
      </c>
      <c r="L250" s="3">
        <f t="shared" si="17"/>
        <v>30915</v>
      </c>
      <c r="M250" s="3">
        <v>73000000</v>
      </c>
    </row>
    <row r="251" spans="1:13" s="18" customFormat="1" outlineLevel="2">
      <c r="A251" s="19" t="s">
        <v>50</v>
      </c>
      <c r="B251" s="20" t="s">
        <v>31</v>
      </c>
      <c r="C251" s="21" t="s">
        <v>57</v>
      </c>
      <c r="D251" s="20" t="s">
        <v>56</v>
      </c>
      <c r="E251" s="3">
        <v>19997321</v>
      </c>
      <c r="F251" s="19">
        <v>43948</v>
      </c>
      <c r="G251" s="3">
        <v>19997321</v>
      </c>
      <c r="H251" s="2">
        <v>5.0000000000000001E-3</v>
      </c>
      <c r="I251" s="19">
        <v>44044</v>
      </c>
      <c r="J251" s="19">
        <v>44074</v>
      </c>
      <c r="K251" s="3">
        <f t="shared" si="16"/>
        <v>31</v>
      </c>
      <c r="L251" s="3">
        <f t="shared" si="17"/>
        <v>8469</v>
      </c>
      <c r="M251" s="3">
        <v>19997321</v>
      </c>
    </row>
    <row r="252" spans="1:13" s="18" customFormat="1" outlineLevel="2">
      <c r="A252" s="19" t="s">
        <v>50</v>
      </c>
      <c r="B252" s="20" t="s">
        <v>32</v>
      </c>
      <c r="C252" s="21" t="s">
        <v>69</v>
      </c>
      <c r="D252" s="20" t="s">
        <v>68</v>
      </c>
      <c r="E252" s="3">
        <v>242400000</v>
      </c>
      <c r="F252" s="19">
        <v>43930</v>
      </c>
      <c r="G252" s="3">
        <v>242400000</v>
      </c>
      <c r="H252" s="2">
        <v>3.0000000000000001E-3</v>
      </c>
      <c r="I252" s="19">
        <v>44044</v>
      </c>
      <c r="J252" s="19">
        <v>44074</v>
      </c>
      <c r="K252" s="3">
        <f t="shared" si="16"/>
        <v>31</v>
      </c>
      <c r="L252" s="3">
        <f t="shared" si="17"/>
        <v>61593</v>
      </c>
      <c r="M252" s="3">
        <v>242400000</v>
      </c>
    </row>
    <row r="253" spans="1:13" s="18" customFormat="1" outlineLevel="2">
      <c r="A253" s="19" t="s">
        <v>50</v>
      </c>
      <c r="B253" s="20" t="s">
        <v>48</v>
      </c>
      <c r="C253" s="21" t="s">
        <v>69</v>
      </c>
      <c r="D253" s="20" t="s">
        <v>68</v>
      </c>
      <c r="E253" s="3">
        <v>156000000</v>
      </c>
      <c r="F253" s="19">
        <v>43958</v>
      </c>
      <c r="G253" s="3">
        <v>156000000</v>
      </c>
      <c r="H253" s="2">
        <v>3.0000000000000001E-3</v>
      </c>
      <c r="I253" s="19">
        <v>44044</v>
      </c>
      <c r="J253" s="19">
        <v>44074</v>
      </c>
      <c r="K253" s="3">
        <f t="shared" si="16"/>
        <v>31</v>
      </c>
      <c r="L253" s="3">
        <f t="shared" si="17"/>
        <v>39639</v>
      </c>
      <c r="M253" s="3">
        <v>156000000</v>
      </c>
    </row>
    <row r="254" spans="1:13" s="18" customFormat="1" outlineLevel="2">
      <c r="A254" s="19" t="s">
        <v>50</v>
      </c>
      <c r="B254" s="20" t="s">
        <v>59</v>
      </c>
      <c r="C254" s="21" t="s">
        <v>117</v>
      </c>
      <c r="D254" s="20" t="s">
        <v>116</v>
      </c>
      <c r="E254" s="3">
        <v>33840000</v>
      </c>
      <c r="F254" s="19">
        <v>43986</v>
      </c>
      <c r="G254" s="3">
        <v>33840000</v>
      </c>
      <c r="H254" s="2">
        <v>5.0000000000000001E-3</v>
      </c>
      <c r="I254" s="19">
        <v>44044</v>
      </c>
      <c r="J254" s="19">
        <v>44074</v>
      </c>
      <c r="K254" s="3">
        <f t="shared" si="16"/>
        <v>31</v>
      </c>
      <c r="L254" s="3">
        <f t="shared" si="17"/>
        <v>14331</v>
      </c>
      <c r="M254" s="3">
        <v>33840000</v>
      </c>
    </row>
    <row r="255" spans="1:13" s="18" customFormat="1" outlineLevel="2">
      <c r="A255" s="19" t="s">
        <v>50</v>
      </c>
      <c r="B255" s="20" t="s">
        <v>58</v>
      </c>
      <c r="C255" s="21" t="s">
        <v>117</v>
      </c>
      <c r="D255" s="20" t="s">
        <v>116</v>
      </c>
      <c r="E255" s="3">
        <v>134396612</v>
      </c>
      <c r="F255" s="19">
        <v>43986</v>
      </c>
      <c r="G255" s="3">
        <v>134396612</v>
      </c>
      <c r="H255" s="2">
        <v>5.0000000000000001E-3</v>
      </c>
      <c r="I255" s="19">
        <v>44044</v>
      </c>
      <c r="J255" s="19">
        <v>44074</v>
      </c>
      <c r="K255" s="3">
        <f t="shared" si="16"/>
        <v>31</v>
      </c>
      <c r="L255" s="3">
        <f t="shared" si="17"/>
        <v>56917</v>
      </c>
      <c r="M255" s="3">
        <v>134396612</v>
      </c>
    </row>
    <row r="256" spans="1:13" s="18" customFormat="1" ht="13.5" outlineLevel="1">
      <c r="A256" s="22" t="s">
        <v>51</v>
      </c>
      <c r="B256" s="39"/>
      <c r="C256" s="40"/>
      <c r="D256" s="39"/>
      <c r="E256" s="41">
        <f>SUBTOTAL(9,E241:E255)</f>
        <v>1230899433</v>
      </c>
      <c r="F256" s="42"/>
      <c r="G256" s="41"/>
      <c r="H256" s="43"/>
      <c r="I256" s="42"/>
      <c r="J256" s="42"/>
      <c r="K256" s="41"/>
      <c r="L256" s="41">
        <f>SUBTOTAL(9,L241:L255)</f>
        <v>406640</v>
      </c>
      <c r="M256" s="41">
        <f>SUBTOTAL(9,M241:M255)</f>
        <v>1229147938</v>
      </c>
    </row>
    <row r="257" spans="1:16" s="34" customFormat="1" ht="13.5" outlineLevel="1">
      <c r="A257" s="28"/>
      <c r="B257" s="44"/>
      <c r="C257" s="45"/>
      <c r="D257" s="44"/>
      <c r="E257" s="46"/>
      <c r="F257" s="47"/>
      <c r="G257" s="46"/>
      <c r="H257" s="48"/>
      <c r="I257" s="47"/>
      <c r="J257" s="47"/>
      <c r="K257" s="46"/>
      <c r="L257" s="46"/>
      <c r="M257" s="46"/>
    </row>
    <row r="258" spans="1:16" s="18" customFormat="1" ht="13.5">
      <c r="A258" s="26" t="s">
        <v>52</v>
      </c>
      <c r="B258" s="39"/>
      <c r="C258" s="40"/>
      <c r="D258" s="39"/>
      <c r="E258" s="41">
        <f>SUBTOTAL(9,E4:E255)</f>
        <v>11762189352</v>
      </c>
      <c r="F258" s="42"/>
      <c r="G258" s="41"/>
      <c r="H258" s="43"/>
      <c r="I258" s="42"/>
      <c r="J258" s="42"/>
      <c r="K258" s="41"/>
      <c r="L258" s="41">
        <f>SUBTOTAL(9,L4:L255)</f>
        <v>4391114</v>
      </c>
      <c r="M258" s="41">
        <f>SUBTOTAL(9,M4:M255)</f>
        <v>11675229347</v>
      </c>
    </row>
    <row r="259" spans="1:16" s="18" customForma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</row>
    <row r="260" spans="1:16">
      <c r="A260" s="35" t="s">
        <v>53</v>
      </c>
      <c r="B260" s="35"/>
      <c r="E260" s="36" t="s">
        <v>55</v>
      </c>
      <c r="G260" s="6"/>
      <c r="H260" s="38" t="s">
        <v>54</v>
      </c>
      <c r="I260" s="37"/>
    </row>
    <row r="261" spans="1:16" s="18" customForma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</row>
    <row r="262" spans="1:16" s="18" customForma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</row>
    <row r="263" spans="1:16" s="18" customForma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</row>
    <row r="264" spans="1:16" s="18" customForma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</row>
    <row r="265" spans="1:16" s="18" customForma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</row>
    <row r="266" spans="1:16" s="18" customForma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</row>
    <row r="267" spans="1:16" s="18" customForma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</row>
    <row r="268" spans="1:16" s="18" customForma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</row>
    <row r="269" spans="1:16" s="18" customForma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</row>
    <row r="270" spans="1:16" s="18" customForma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</row>
    <row r="271" spans="1:16" s="18" customForma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</row>
    <row r="272" spans="1:16" s="18" customForma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</row>
    <row r="273" spans="1:16" s="18" customForma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</row>
    <row r="274" spans="1:16" s="18" customForma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</row>
    <row r="275" spans="1:16" s="18" customForma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</row>
    <row r="276" spans="1:16" s="18" customForma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</row>
    <row r="277" spans="1:16" s="18" customForma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</row>
    <row r="278" spans="1:16" s="18" customForma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</row>
    <row r="279" spans="1:16" s="18" customForma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</row>
    <row r="280" spans="1:16" s="18" customForma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</row>
    <row r="281" spans="1:16" s="18" customForma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</row>
    <row r="282" spans="1:16" s="18" customForma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</row>
    <row r="283" spans="1:16" s="18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</row>
    <row r="284" spans="1:16" s="18" customForma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</row>
    <row r="285" spans="1:16" s="18" customForma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</row>
    <row r="286" spans="1:16" s="18" customForma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</row>
    <row r="287" spans="1:16" s="18" customForma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</row>
    <row r="288" spans="1:16" s="18" customForma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 spans="1:16" s="18" customForma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</row>
    <row r="290" spans="1:16" s="18" customForma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</row>
    <row r="291" spans="1:16" s="18" customForma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 spans="1:16" s="18" customForma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</row>
    <row r="293" spans="1:16" s="18" customForma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</row>
    <row r="294" spans="1:16" s="18" customForma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 spans="1:16" s="18" customForma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 s="18" customForma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 spans="1:16" s="18" customForma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 spans="1:16" s="18" customForma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</sheetData>
  <autoFilter ref="A3:M256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8FE7-C29B-4D01-82DA-6A3AEA9C2B40}">
  <dimension ref="A1:P842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7.9296875" style="6" bestFit="1" customWidth="1"/>
    <col min="2" max="2" width="8.33203125" style="6" bestFit="1" customWidth="1"/>
    <col min="3" max="3" width="21.59765625" style="6" bestFit="1" customWidth="1"/>
    <col min="4" max="4" width="12" style="6" bestFit="1" customWidth="1"/>
    <col min="5" max="5" width="15.06640625" style="10" bestFit="1" customWidth="1"/>
    <col min="6" max="6" width="12" style="11" bestFit="1" customWidth="1"/>
    <col min="7" max="7" width="13.46484375" style="10" bestFit="1" customWidth="1"/>
    <col min="8" max="8" width="10.33203125" style="12" bestFit="1" customWidth="1"/>
    <col min="9" max="10" width="8.73046875" style="6" bestFit="1" customWidth="1"/>
    <col min="11" max="11" width="10.33203125" style="6" bestFit="1" customWidth="1"/>
    <col min="12" max="12" width="10.33203125" style="10" bestFit="1" customWidth="1"/>
    <col min="13" max="13" width="15.0664062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44104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44075</v>
      </c>
      <c r="J4" s="19">
        <v>44104</v>
      </c>
      <c r="K4" s="3">
        <f t="shared" ref="K4:K23" si="0">J4-I4+1</f>
        <v>30</v>
      </c>
      <c r="L4" s="3">
        <f t="shared" ref="L4:L23" si="1">ROUND(G4*H4*K4/366,0)</f>
        <v>66598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44075</v>
      </c>
      <c r="J5" s="19">
        <v>44104</v>
      </c>
      <c r="K5" s="3">
        <f t="shared" si="0"/>
        <v>30</v>
      </c>
      <c r="L5" s="3">
        <f t="shared" si="1"/>
        <v>590</v>
      </c>
      <c r="M5" s="3">
        <v>2400000</v>
      </c>
    </row>
    <row r="6" spans="1:13" s="18" customFormat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44075</v>
      </c>
      <c r="J6" s="19">
        <v>44104</v>
      </c>
      <c r="K6" s="3">
        <f t="shared" si="0"/>
        <v>30</v>
      </c>
      <c r="L6" s="3">
        <f t="shared" si="1"/>
        <v>3020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44075</v>
      </c>
      <c r="J7" s="19">
        <v>44104</v>
      </c>
      <c r="K7" s="3">
        <f t="shared" si="0"/>
        <v>30</v>
      </c>
      <c r="L7" s="3">
        <f t="shared" si="1"/>
        <v>2414</v>
      </c>
      <c r="M7" s="3">
        <v>5890000</v>
      </c>
    </row>
    <row r="8" spans="1:13" s="18" customFormat="1" outlineLevel="2">
      <c r="A8" s="19" t="s">
        <v>15</v>
      </c>
      <c r="B8" s="20" t="s">
        <v>65</v>
      </c>
      <c r="C8" s="21" t="s">
        <v>158</v>
      </c>
      <c r="D8" s="20" t="s">
        <v>157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44075</v>
      </c>
      <c r="J8" s="19">
        <v>44104</v>
      </c>
      <c r="K8" s="3">
        <f t="shared" si="0"/>
        <v>30</v>
      </c>
      <c r="L8" s="3">
        <f t="shared" si="1"/>
        <v>1238</v>
      </c>
      <c r="M8" s="3">
        <v>3020000</v>
      </c>
    </row>
    <row r="9" spans="1:13" s="18" customFormat="1" outlineLevel="2">
      <c r="A9" s="19" t="s">
        <v>15</v>
      </c>
      <c r="B9" s="20" t="s">
        <v>64</v>
      </c>
      <c r="C9" s="21" t="s">
        <v>97</v>
      </c>
      <c r="D9" s="20" t="s">
        <v>96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44075</v>
      </c>
      <c r="J9" s="19">
        <v>44104</v>
      </c>
      <c r="K9" s="3">
        <f t="shared" si="0"/>
        <v>30</v>
      </c>
      <c r="L9" s="3">
        <f t="shared" si="1"/>
        <v>34672</v>
      </c>
      <c r="M9" s="3">
        <v>84600000</v>
      </c>
    </row>
    <row r="10" spans="1:13" s="18" customFormat="1" outlineLevel="2">
      <c r="A10" s="19" t="s">
        <v>15</v>
      </c>
      <c r="B10" s="20" t="s">
        <v>85</v>
      </c>
      <c r="C10" s="21" t="s">
        <v>97</v>
      </c>
      <c r="D10" s="20" t="s">
        <v>96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44075</v>
      </c>
      <c r="J10" s="19">
        <v>44104</v>
      </c>
      <c r="K10" s="3">
        <f t="shared" si="0"/>
        <v>30</v>
      </c>
      <c r="L10" s="3">
        <f t="shared" si="1"/>
        <v>24590</v>
      </c>
      <c r="M10" s="3">
        <v>60000000</v>
      </c>
    </row>
    <row r="11" spans="1:13" s="18" customFormat="1" outlineLevel="2">
      <c r="A11" s="19" t="s">
        <v>15</v>
      </c>
      <c r="B11" s="20" t="s">
        <v>84</v>
      </c>
      <c r="C11" s="21" t="s">
        <v>69</v>
      </c>
      <c r="D11" s="20" t="s">
        <v>68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44075</v>
      </c>
      <c r="J11" s="19">
        <v>44104</v>
      </c>
      <c r="K11" s="3">
        <f t="shared" si="0"/>
        <v>30</v>
      </c>
      <c r="L11" s="3">
        <f t="shared" si="1"/>
        <v>39836</v>
      </c>
      <c r="M11" s="3">
        <v>162000000</v>
      </c>
    </row>
    <row r="12" spans="1:13" s="18" customFormat="1" outlineLevel="2">
      <c r="A12" s="19" t="s">
        <v>15</v>
      </c>
      <c r="B12" s="20" t="s">
        <v>83</v>
      </c>
      <c r="C12" s="21" t="s">
        <v>17</v>
      </c>
      <c r="D12" s="20" t="s">
        <v>18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44075</v>
      </c>
      <c r="J12" s="19">
        <v>44104</v>
      </c>
      <c r="K12" s="3">
        <f t="shared" si="0"/>
        <v>30</v>
      </c>
      <c r="L12" s="3">
        <f t="shared" si="1"/>
        <v>1700</v>
      </c>
      <c r="M12" s="3">
        <v>4147000</v>
      </c>
    </row>
    <row r="13" spans="1:13" s="18" customFormat="1" outlineLevel="2">
      <c r="A13" s="19" t="s">
        <v>15</v>
      </c>
      <c r="B13" s="20" t="s">
        <v>102</v>
      </c>
      <c r="C13" s="21" t="s">
        <v>158</v>
      </c>
      <c r="D13" s="20" t="s">
        <v>157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44075</v>
      </c>
      <c r="J13" s="19">
        <v>44104</v>
      </c>
      <c r="K13" s="3">
        <f t="shared" si="0"/>
        <v>30</v>
      </c>
      <c r="L13" s="3">
        <f t="shared" si="1"/>
        <v>303</v>
      </c>
      <c r="M13" s="3">
        <v>740000</v>
      </c>
    </row>
    <row r="14" spans="1:13" s="18" customFormat="1" outlineLevel="2">
      <c r="A14" s="19" t="s">
        <v>15</v>
      </c>
      <c r="B14" s="20" t="s">
        <v>101</v>
      </c>
      <c r="C14" s="21" t="s">
        <v>133</v>
      </c>
      <c r="D14" s="20" t="s">
        <v>132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44081</v>
      </c>
      <c r="J14" s="19">
        <v>44104</v>
      </c>
      <c r="K14" s="3">
        <f t="shared" si="0"/>
        <v>24</v>
      </c>
      <c r="L14" s="3">
        <f t="shared" si="1"/>
        <v>57781</v>
      </c>
      <c r="M14" s="3">
        <v>176232000</v>
      </c>
    </row>
    <row r="15" spans="1:13" s="18" customFormat="1" outlineLevel="2">
      <c r="A15" s="19" t="s">
        <v>15</v>
      </c>
      <c r="B15" s="20" t="s">
        <v>23</v>
      </c>
      <c r="C15" s="21" t="s">
        <v>17</v>
      </c>
      <c r="D15" s="20" t="s">
        <v>18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44075</v>
      </c>
      <c r="J15" s="19">
        <v>44104</v>
      </c>
      <c r="K15" s="3">
        <f t="shared" si="0"/>
        <v>30</v>
      </c>
      <c r="L15" s="3">
        <f t="shared" si="1"/>
        <v>2635</v>
      </c>
      <c r="M15" s="3">
        <v>6430000</v>
      </c>
    </row>
    <row r="16" spans="1:13" s="18" customFormat="1" outlineLevel="2">
      <c r="A16" s="19" t="s">
        <v>15</v>
      </c>
      <c r="B16" s="20" t="s">
        <v>100</v>
      </c>
      <c r="C16" s="21" t="s">
        <v>97</v>
      </c>
      <c r="D16" s="20" t="s">
        <v>96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44103</v>
      </c>
      <c r="J16" s="19">
        <v>44104</v>
      </c>
      <c r="K16" s="3">
        <f t="shared" si="0"/>
        <v>2</v>
      </c>
      <c r="L16" s="3">
        <f t="shared" si="1"/>
        <v>148</v>
      </c>
      <c r="M16" s="3">
        <v>5400000</v>
      </c>
    </row>
    <row r="17" spans="1:13" s="18" customFormat="1" outlineLevel="2">
      <c r="A17" s="19" t="s">
        <v>15</v>
      </c>
      <c r="B17" s="20" t="s">
        <v>29</v>
      </c>
      <c r="C17" s="21" t="s">
        <v>57</v>
      </c>
      <c r="D17" s="20" t="s">
        <v>56</v>
      </c>
      <c r="E17" s="3">
        <v>28600000</v>
      </c>
      <c r="F17" s="19">
        <v>43921</v>
      </c>
      <c r="G17" s="3">
        <v>28600000</v>
      </c>
      <c r="H17" s="2">
        <v>5.0000000000000001E-3</v>
      </c>
      <c r="I17" s="19">
        <v>44075</v>
      </c>
      <c r="J17" s="19">
        <v>44104</v>
      </c>
      <c r="K17" s="3">
        <f t="shared" si="0"/>
        <v>30</v>
      </c>
      <c r="L17" s="3">
        <f t="shared" si="1"/>
        <v>11721</v>
      </c>
      <c r="M17" s="3">
        <v>28600000</v>
      </c>
    </row>
    <row r="18" spans="1:13" s="18" customFormat="1" outlineLevel="2">
      <c r="A18" s="19" t="s">
        <v>15</v>
      </c>
      <c r="B18" s="20" t="s">
        <v>30</v>
      </c>
      <c r="C18" s="21" t="s">
        <v>74</v>
      </c>
      <c r="D18" s="20" t="s">
        <v>73</v>
      </c>
      <c r="E18" s="3">
        <v>20000000</v>
      </c>
      <c r="F18" s="19">
        <v>43922</v>
      </c>
      <c r="G18" s="3">
        <v>20000000</v>
      </c>
      <c r="H18" s="2">
        <v>5.0000000000000001E-3</v>
      </c>
      <c r="I18" s="19">
        <v>44075</v>
      </c>
      <c r="J18" s="19">
        <v>44104</v>
      </c>
      <c r="K18" s="3">
        <f t="shared" si="0"/>
        <v>30</v>
      </c>
      <c r="L18" s="3">
        <f t="shared" si="1"/>
        <v>8197</v>
      </c>
      <c r="M18" s="3">
        <v>20000000</v>
      </c>
    </row>
    <row r="19" spans="1:13" s="18" customFormat="1" outlineLevel="2">
      <c r="A19" s="19" t="s">
        <v>15</v>
      </c>
      <c r="B19" s="20" t="s">
        <v>31</v>
      </c>
      <c r="C19" s="21" t="s">
        <v>57</v>
      </c>
      <c r="D19" s="20" t="s">
        <v>56</v>
      </c>
      <c r="E19" s="3">
        <v>10000000</v>
      </c>
      <c r="F19" s="19">
        <v>43934</v>
      </c>
      <c r="G19" s="3">
        <v>10000000</v>
      </c>
      <c r="H19" s="2">
        <v>5.0000000000000001E-3</v>
      </c>
      <c r="I19" s="19">
        <v>44075</v>
      </c>
      <c r="J19" s="19">
        <v>44104</v>
      </c>
      <c r="K19" s="3">
        <f t="shared" si="0"/>
        <v>30</v>
      </c>
      <c r="L19" s="3">
        <f t="shared" si="1"/>
        <v>4098</v>
      </c>
      <c r="M19" s="3">
        <v>10000000</v>
      </c>
    </row>
    <row r="20" spans="1:13" s="18" customFormat="1" outlineLevel="2">
      <c r="A20" s="19" t="s">
        <v>15</v>
      </c>
      <c r="B20" s="20" t="s">
        <v>32</v>
      </c>
      <c r="C20" s="21" t="s">
        <v>57</v>
      </c>
      <c r="D20" s="20" t="s">
        <v>56</v>
      </c>
      <c r="E20" s="3">
        <v>30000000</v>
      </c>
      <c r="F20" s="19">
        <v>43937</v>
      </c>
      <c r="G20" s="3">
        <v>30000000</v>
      </c>
      <c r="H20" s="2">
        <v>5.0000000000000001E-3</v>
      </c>
      <c r="I20" s="19">
        <v>44075</v>
      </c>
      <c r="J20" s="19">
        <v>44104</v>
      </c>
      <c r="K20" s="3">
        <f t="shared" si="0"/>
        <v>30</v>
      </c>
      <c r="L20" s="3">
        <f t="shared" si="1"/>
        <v>12295</v>
      </c>
      <c r="M20" s="3">
        <v>30000000</v>
      </c>
    </row>
    <row r="21" spans="1:13" s="18" customFormat="1" outlineLevel="2">
      <c r="A21" s="19" t="s">
        <v>15</v>
      </c>
      <c r="B21" s="20" t="s">
        <v>48</v>
      </c>
      <c r="C21" s="21" t="s">
        <v>57</v>
      </c>
      <c r="D21" s="20" t="s">
        <v>56</v>
      </c>
      <c r="E21" s="3">
        <v>58360000</v>
      </c>
      <c r="F21" s="19">
        <v>43929</v>
      </c>
      <c r="G21" s="3">
        <v>58360000</v>
      </c>
      <c r="H21" s="2">
        <v>5.0000000000000001E-3</v>
      </c>
      <c r="I21" s="19">
        <v>44075</v>
      </c>
      <c r="J21" s="19">
        <v>44104</v>
      </c>
      <c r="K21" s="3">
        <f t="shared" si="0"/>
        <v>30</v>
      </c>
      <c r="L21" s="3">
        <f t="shared" si="1"/>
        <v>23918</v>
      </c>
      <c r="M21" s="3">
        <v>58360000</v>
      </c>
    </row>
    <row r="22" spans="1:13" s="18" customFormat="1" outlineLevel="2">
      <c r="A22" s="19" t="s">
        <v>15</v>
      </c>
      <c r="B22" s="20" t="s">
        <v>59</v>
      </c>
      <c r="C22" s="21" t="s">
        <v>113</v>
      </c>
      <c r="D22" s="20" t="s">
        <v>112</v>
      </c>
      <c r="E22" s="3">
        <v>64000000</v>
      </c>
      <c r="F22" s="19">
        <v>43966</v>
      </c>
      <c r="G22" s="3">
        <v>64000000</v>
      </c>
      <c r="H22" s="2">
        <v>5.0000000000000001E-3</v>
      </c>
      <c r="I22" s="19">
        <v>44075</v>
      </c>
      <c r="J22" s="19">
        <v>44104</v>
      </c>
      <c r="K22" s="3">
        <f t="shared" si="0"/>
        <v>30</v>
      </c>
      <c r="L22" s="3">
        <f t="shared" si="1"/>
        <v>26230</v>
      </c>
      <c r="M22" s="3">
        <v>64000000</v>
      </c>
    </row>
    <row r="23" spans="1:13" s="18" customFormat="1" outlineLevel="2">
      <c r="A23" s="19" t="s">
        <v>15</v>
      </c>
      <c r="B23" s="20" t="s">
        <v>58</v>
      </c>
      <c r="C23" s="21" t="s">
        <v>57</v>
      </c>
      <c r="D23" s="20" t="s">
        <v>56</v>
      </c>
      <c r="E23" s="3">
        <v>11400000</v>
      </c>
      <c r="F23" s="19">
        <v>43962</v>
      </c>
      <c r="G23" s="3">
        <v>11400000</v>
      </c>
      <c r="H23" s="2">
        <v>5.0000000000000001E-3</v>
      </c>
      <c r="I23" s="19">
        <v>44075</v>
      </c>
      <c r="J23" s="19">
        <v>44104</v>
      </c>
      <c r="K23" s="3">
        <f t="shared" si="0"/>
        <v>30</v>
      </c>
      <c r="L23" s="3">
        <f t="shared" si="1"/>
        <v>4672</v>
      </c>
      <c r="M23" s="3">
        <v>11400000</v>
      </c>
    </row>
    <row r="24" spans="1:13" s="18" customFormat="1" ht="13.5" outlineLevel="1">
      <c r="A24" s="22" t="s">
        <v>19</v>
      </c>
      <c r="B24" s="23"/>
      <c r="C24" s="24"/>
      <c r="D24" s="23"/>
      <c r="E24" s="25">
        <f>SUBTOTAL(9,E4:E23)</f>
        <v>903089000</v>
      </c>
      <c r="F24" s="26"/>
      <c r="G24" s="25"/>
      <c r="H24" s="27"/>
      <c r="I24" s="26"/>
      <c r="J24" s="26"/>
      <c r="K24" s="25"/>
      <c r="L24" s="25">
        <f>SUBTOTAL(9,L4:L23)</f>
        <v>326656</v>
      </c>
      <c r="M24" s="25">
        <f>SUBTOTAL(9,M4:M23)</f>
        <v>903089000</v>
      </c>
    </row>
    <row r="25" spans="1:13" s="18" customFormat="1" outlineLevel="2">
      <c r="A25" s="19" t="s">
        <v>183</v>
      </c>
      <c r="B25" s="20" t="s">
        <v>16</v>
      </c>
      <c r="C25" s="21" t="s">
        <v>158</v>
      </c>
      <c r="D25" s="20" t="s">
        <v>157</v>
      </c>
      <c r="E25" s="3">
        <v>21330000</v>
      </c>
      <c r="F25" s="19">
        <v>44046</v>
      </c>
      <c r="G25" s="3">
        <v>21330000</v>
      </c>
      <c r="H25" s="2">
        <v>5.0000000000000001E-3</v>
      </c>
      <c r="I25" s="19">
        <v>44075</v>
      </c>
      <c r="J25" s="19">
        <v>44104</v>
      </c>
      <c r="K25" s="3">
        <f>J25-I25+1</f>
        <v>30</v>
      </c>
      <c r="L25" s="3">
        <f>ROUND(G25*H25*K25/366,0)</f>
        <v>8742</v>
      </c>
      <c r="M25" s="3">
        <v>21330000</v>
      </c>
    </row>
    <row r="26" spans="1:13" s="18" customFormat="1" outlineLevel="2">
      <c r="A26" s="19" t="s">
        <v>183</v>
      </c>
      <c r="B26" s="20" t="s">
        <v>23</v>
      </c>
      <c r="C26" s="21" t="s">
        <v>158</v>
      </c>
      <c r="D26" s="20" t="s">
        <v>157</v>
      </c>
      <c r="E26" s="3">
        <v>8670000</v>
      </c>
      <c r="F26" s="19">
        <v>44060</v>
      </c>
      <c r="G26" s="3">
        <v>8670000</v>
      </c>
      <c r="H26" s="2">
        <v>5.0000000000000001E-3</v>
      </c>
      <c r="I26" s="19">
        <v>44075</v>
      </c>
      <c r="J26" s="19">
        <v>44104</v>
      </c>
      <c r="K26" s="3">
        <f>J26-I26+1</f>
        <v>30</v>
      </c>
      <c r="L26" s="3">
        <f>ROUND(G26*H26*K26/366,0)</f>
        <v>3553</v>
      </c>
      <c r="M26" s="3">
        <v>8670000</v>
      </c>
    </row>
    <row r="27" spans="1:13" s="18" customFormat="1" outlineLevel="2">
      <c r="A27" s="19" t="s">
        <v>183</v>
      </c>
      <c r="B27" s="20" t="s">
        <v>29</v>
      </c>
      <c r="C27" s="21" t="s">
        <v>160</v>
      </c>
      <c r="D27" s="20" t="s">
        <v>159</v>
      </c>
      <c r="E27" s="3">
        <v>10600000</v>
      </c>
      <c r="F27" s="19">
        <v>44085</v>
      </c>
      <c r="G27" s="3">
        <v>10600000</v>
      </c>
      <c r="H27" s="2">
        <v>5.0000000000000001E-3</v>
      </c>
      <c r="I27" s="19">
        <v>44085</v>
      </c>
      <c r="J27" s="19">
        <v>44104</v>
      </c>
      <c r="K27" s="3">
        <f>J27-I27+1</f>
        <v>20</v>
      </c>
      <c r="L27" s="3">
        <f>ROUND(G27*H27*K27/366,0)</f>
        <v>2896</v>
      </c>
      <c r="M27" s="3">
        <v>10600000</v>
      </c>
    </row>
    <row r="28" spans="1:13" s="18" customFormat="1" ht="13.5" outlineLevel="1">
      <c r="A28" s="22" t="s">
        <v>181</v>
      </c>
      <c r="B28" s="23"/>
      <c r="C28" s="24"/>
      <c r="D28" s="23"/>
      <c r="E28" s="25">
        <f>SUBTOTAL(9,E25:E27)</f>
        <v>40600000</v>
      </c>
      <c r="F28" s="26"/>
      <c r="G28" s="25"/>
      <c r="H28" s="27"/>
      <c r="I28" s="26"/>
      <c r="J28" s="26"/>
      <c r="K28" s="25"/>
      <c r="L28" s="25">
        <f>SUBTOTAL(9,L25:L27)</f>
        <v>15191</v>
      </c>
      <c r="M28" s="25">
        <f>SUBTOTAL(9,M25:M27)</f>
        <v>40600000</v>
      </c>
    </row>
    <row r="29" spans="1:13" s="18" customFormat="1" outlineLevel="2">
      <c r="A29" s="19" t="s">
        <v>80</v>
      </c>
      <c r="B29" s="20" t="s">
        <v>16</v>
      </c>
      <c r="C29" s="21" t="s">
        <v>57</v>
      </c>
      <c r="D29" s="20" t="s">
        <v>56</v>
      </c>
      <c r="E29" s="3">
        <v>26500000</v>
      </c>
      <c r="F29" s="19">
        <v>43907</v>
      </c>
      <c r="G29" s="3">
        <v>24922620</v>
      </c>
      <c r="H29" s="2">
        <v>5.0000000000000001E-3</v>
      </c>
      <c r="I29" s="19">
        <v>44075</v>
      </c>
      <c r="J29" s="19">
        <v>44088</v>
      </c>
      <c r="K29" s="3">
        <f t="shared" ref="K29:K48" si="2">J29-I29+1</f>
        <v>14</v>
      </c>
      <c r="L29" s="3">
        <f t="shared" ref="L29:L48" si="3">ROUND(G29*H29*K29/366,0)</f>
        <v>4767</v>
      </c>
      <c r="M29" s="3">
        <v>24607144</v>
      </c>
    </row>
    <row r="30" spans="1:13" s="18" customFormat="1" outlineLevel="2">
      <c r="A30" s="19" t="s">
        <v>80</v>
      </c>
      <c r="B30" s="20" t="s">
        <v>16</v>
      </c>
      <c r="C30" s="21" t="s">
        <v>57</v>
      </c>
      <c r="D30" s="20"/>
      <c r="E30" s="3"/>
      <c r="F30" s="19"/>
      <c r="G30" s="3">
        <v>24607144</v>
      </c>
      <c r="H30" s="2">
        <v>5.0000000000000001E-3</v>
      </c>
      <c r="I30" s="19">
        <v>44089</v>
      </c>
      <c r="J30" s="19">
        <v>44104</v>
      </c>
      <c r="K30" s="3">
        <f t="shared" si="2"/>
        <v>16</v>
      </c>
      <c r="L30" s="3">
        <f t="shared" si="3"/>
        <v>5379</v>
      </c>
      <c r="M30" s="3"/>
    </row>
    <row r="31" spans="1:13" s="18" customFormat="1" outlineLevel="2">
      <c r="A31" s="19" t="s">
        <v>80</v>
      </c>
      <c r="B31" s="20" t="s">
        <v>61</v>
      </c>
      <c r="C31" s="21" t="s">
        <v>162</v>
      </c>
      <c r="D31" s="20" t="s">
        <v>161</v>
      </c>
      <c r="E31" s="3">
        <v>130000000</v>
      </c>
      <c r="F31" s="19">
        <v>44013</v>
      </c>
      <c r="G31" s="3">
        <v>130000000</v>
      </c>
      <c r="H31" s="2">
        <v>5.0000000000000001E-3</v>
      </c>
      <c r="I31" s="19">
        <v>44075</v>
      </c>
      <c r="J31" s="19">
        <v>44104</v>
      </c>
      <c r="K31" s="3">
        <f t="shared" si="2"/>
        <v>30</v>
      </c>
      <c r="L31" s="3">
        <f t="shared" si="3"/>
        <v>53279</v>
      </c>
      <c r="M31" s="3">
        <v>130000000</v>
      </c>
    </row>
    <row r="32" spans="1:13" s="18" customFormat="1" outlineLevel="2">
      <c r="A32" s="19" t="s">
        <v>80</v>
      </c>
      <c r="B32" s="20" t="s">
        <v>60</v>
      </c>
      <c r="C32" s="21" t="s">
        <v>137</v>
      </c>
      <c r="D32" s="20" t="s">
        <v>136</v>
      </c>
      <c r="E32" s="3">
        <v>3400000</v>
      </c>
      <c r="F32" s="19">
        <v>44063</v>
      </c>
      <c r="G32" s="3">
        <v>3400000</v>
      </c>
      <c r="H32" s="2">
        <v>5.0000000000000001E-3</v>
      </c>
      <c r="I32" s="19">
        <v>44075</v>
      </c>
      <c r="J32" s="19">
        <v>44088</v>
      </c>
      <c r="K32" s="3">
        <f t="shared" si="2"/>
        <v>14</v>
      </c>
      <c r="L32" s="3">
        <f t="shared" si="3"/>
        <v>650</v>
      </c>
      <c r="M32" s="3">
        <v>3341380</v>
      </c>
    </row>
    <row r="33" spans="1:13" s="18" customFormat="1" outlineLevel="2">
      <c r="A33" s="19" t="s">
        <v>80</v>
      </c>
      <c r="B33" s="20" t="s">
        <v>60</v>
      </c>
      <c r="C33" s="21" t="s">
        <v>137</v>
      </c>
      <c r="D33" s="20"/>
      <c r="E33" s="3"/>
      <c r="F33" s="19"/>
      <c r="G33" s="3">
        <v>3341380</v>
      </c>
      <c r="H33" s="2">
        <v>5.0000000000000001E-3</v>
      </c>
      <c r="I33" s="19">
        <v>44089</v>
      </c>
      <c r="J33" s="19">
        <v>44104</v>
      </c>
      <c r="K33" s="3">
        <f t="shared" si="2"/>
        <v>16</v>
      </c>
      <c r="L33" s="3">
        <f t="shared" si="3"/>
        <v>730</v>
      </c>
      <c r="M33" s="3"/>
    </row>
    <row r="34" spans="1:13" s="18" customFormat="1" outlineLevel="2">
      <c r="A34" s="19" t="s">
        <v>80</v>
      </c>
      <c r="B34" s="20" t="s">
        <v>66</v>
      </c>
      <c r="C34" s="21" t="s">
        <v>137</v>
      </c>
      <c r="D34" s="20" t="s">
        <v>136</v>
      </c>
      <c r="E34" s="3">
        <v>9800000</v>
      </c>
      <c r="F34" s="19">
        <v>44071</v>
      </c>
      <c r="G34" s="3">
        <v>9800000</v>
      </c>
      <c r="H34" s="2">
        <v>5.0000000000000001E-3</v>
      </c>
      <c r="I34" s="19">
        <v>44075</v>
      </c>
      <c r="J34" s="19">
        <v>44088</v>
      </c>
      <c r="K34" s="3">
        <f t="shared" si="2"/>
        <v>14</v>
      </c>
      <c r="L34" s="3">
        <f t="shared" si="3"/>
        <v>1874</v>
      </c>
      <c r="M34" s="3">
        <v>9631033</v>
      </c>
    </row>
    <row r="35" spans="1:13" s="18" customFormat="1" outlineLevel="2">
      <c r="A35" s="19" t="s">
        <v>80</v>
      </c>
      <c r="B35" s="20" t="s">
        <v>66</v>
      </c>
      <c r="C35" s="21" t="s">
        <v>137</v>
      </c>
      <c r="D35" s="20"/>
      <c r="E35" s="3"/>
      <c r="F35" s="19"/>
      <c r="G35" s="3">
        <v>9631033</v>
      </c>
      <c r="H35" s="2">
        <v>5.0000000000000001E-3</v>
      </c>
      <c r="I35" s="19">
        <v>44089</v>
      </c>
      <c r="J35" s="19">
        <v>44104</v>
      </c>
      <c r="K35" s="3">
        <f t="shared" si="2"/>
        <v>16</v>
      </c>
      <c r="L35" s="3">
        <f t="shared" si="3"/>
        <v>2105</v>
      </c>
      <c r="M35" s="3"/>
    </row>
    <row r="36" spans="1:13" s="18" customFormat="1" outlineLevel="2">
      <c r="A36" s="19" t="s">
        <v>80</v>
      </c>
      <c r="B36" s="20" t="s">
        <v>65</v>
      </c>
      <c r="C36" s="21" t="s">
        <v>135</v>
      </c>
      <c r="D36" s="20" t="s">
        <v>134</v>
      </c>
      <c r="E36" s="3">
        <v>201000000</v>
      </c>
      <c r="F36" s="19">
        <v>44064</v>
      </c>
      <c r="G36" s="3">
        <v>201000000</v>
      </c>
      <c r="H36" s="2">
        <v>5.0000000000000001E-3</v>
      </c>
      <c r="I36" s="19">
        <v>44075</v>
      </c>
      <c r="J36" s="19">
        <v>44104</v>
      </c>
      <c r="K36" s="3">
        <f t="shared" si="2"/>
        <v>30</v>
      </c>
      <c r="L36" s="3">
        <f t="shared" si="3"/>
        <v>82377</v>
      </c>
      <c r="M36" s="3">
        <v>201000000</v>
      </c>
    </row>
    <row r="37" spans="1:13" s="18" customFormat="1" outlineLevel="2">
      <c r="A37" s="19" t="s">
        <v>80</v>
      </c>
      <c r="B37" s="20" t="s">
        <v>64</v>
      </c>
      <c r="C37" s="21" t="s">
        <v>205</v>
      </c>
      <c r="D37" s="20" t="s">
        <v>204</v>
      </c>
      <c r="E37" s="3">
        <v>211550000</v>
      </c>
      <c r="F37" s="19">
        <v>44078</v>
      </c>
      <c r="G37" s="3">
        <v>211550000</v>
      </c>
      <c r="H37" s="2">
        <v>5.0000000000000001E-3</v>
      </c>
      <c r="I37" s="19">
        <v>44078</v>
      </c>
      <c r="J37" s="19">
        <v>44104</v>
      </c>
      <c r="K37" s="3">
        <f t="shared" si="2"/>
        <v>27</v>
      </c>
      <c r="L37" s="3">
        <f t="shared" si="3"/>
        <v>78031</v>
      </c>
      <c r="M37" s="3">
        <v>211550000</v>
      </c>
    </row>
    <row r="38" spans="1:13" s="18" customFormat="1" outlineLevel="2">
      <c r="A38" s="19" t="s">
        <v>80</v>
      </c>
      <c r="B38" s="20" t="s">
        <v>23</v>
      </c>
      <c r="C38" s="21" t="s">
        <v>74</v>
      </c>
      <c r="D38" s="20" t="s">
        <v>73</v>
      </c>
      <c r="E38" s="3">
        <v>90000000</v>
      </c>
      <c r="F38" s="19">
        <v>43913</v>
      </c>
      <c r="G38" s="3">
        <v>90000000</v>
      </c>
      <c r="H38" s="2">
        <v>5.0000000000000001E-3</v>
      </c>
      <c r="I38" s="19">
        <v>44075</v>
      </c>
      <c r="J38" s="19">
        <v>44104</v>
      </c>
      <c r="K38" s="3">
        <f t="shared" si="2"/>
        <v>30</v>
      </c>
      <c r="L38" s="3">
        <f t="shared" si="3"/>
        <v>36885</v>
      </c>
      <c r="M38" s="3">
        <v>90000000</v>
      </c>
    </row>
    <row r="39" spans="1:13" s="18" customFormat="1" outlineLevel="2">
      <c r="A39" s="19" t="s">
        <v>80</v>
      </c>
      <c r="B39" s="20" t="s">
        <v>29</v>
      </c>
      <c r="C39" s="21" t="s">
        <v>57</v>
      </c>
      <c r="D39" s="20" t="s">
        <v>56</v>
      </c>
      <c r="E39" s="3">
        <v>23500000</v>
      </c>
      <c r="F39" s="19">
        <v>43928</v>
      </c>
      <c r="G39" s="3">
        <v>22101185</v>
      </c>
      <c r="H39" s="2">
        <v>5.0000000000000001E-3</v>
      </c>
      <c r="I39" s="19">
        <v>44075</v>
      </c>
      <c r="J39" s="19">
        <v>44088</v>
      </c>
      <c r="K39" s="3">
        <f t="shared" si="2"/>
        <v>14</v>
      </c>
      <c r="L39" s="3">
        <f t="shared" si="3"/>
        <v>4227</v>
      </c>
      <c r="M39" s="3">
        <v>21821422</v>
      </c>
    </row>
    <row r="40" spans="1:13" s="18" customFormat="1" outlineLevel="2">
      <c r="A40" s="19" t="s">
        <v>80</v>
      </c>
      <c r="B40" s="20" t="s">
        <v>29</v>
      </c>
      <c r="C40" s="21" t="s">
        <v>57</v>
      </c>
      <c r="D40" s="20"/>
      <c r="E40" s="3"/>
      <c r="F40" s="19"/>
      <c r="G40" s="3">
        <v>21821422</v>
      </c>
      <c r="H40" s="2">
        <v>5.0000000000000001E-3</v>
      </c>
      <c r="I40" s="19">
        <v>44089</v>
      </c>
      <c r="J40" s="19">
        <v>44104</v>
      </c>
      <c r="K40" s="3">
        <f t="shared" si="2"/>
        <v>16</v>
      </c>
      <c r="L40" s="3">
        <f t="shared" si="3"/>
        <v>4770</v>
      </c>
      <c r="M40" s="3"/>
    </row>
    <row r="41" spans="1:13" s="18" customFormat="1" outlineLevel="2">
      <c r="A41" s="19" t="s">
        <v>80</v>
      </c>
      <c r="B41" s="20" t="s">
        <v>30</v>
      </c>
      <c r="C41" s="21" t="s">
        <v>137</v>
      </c>
      <c r="D41" s="20" t="s">
        <v>136</v>
      </c>
      <c r="E41" s="3">
        <v>7000000</v>
      </c>
      <c r="F41" s="19">
        <v>44004</v>
      </c>
      <c r="G41" s="3">
        <v>6766666</v>
      </c>
      <c r="H41" s="2">
        <v>5.0000000000000001E-3</v>
      </c>
      <c r="I41" s="19">
        <v>44075</v>
      </c>
      <c r="J41" s="19">
        <v>44088</v>
      </c>
      <c r="K41" s="3">
        <f t="shared" si="2"/>
        <v>14</v>
      </c>
      <c r="L41" s="3">
        <f t="shared" si="3"/>
        <v>1294</v>
      </c>
      <c r="M41" s="3">
        <v>6649999</v>
      </c>
    </row>
    <row r="42" spans="1:13" s="18" customFormat="1" outlineLevel="2">
      <c r="A42" s="19" t="s">
        <v>80</v>
      </c>
      <c r="B42" s="20" t="s">
        <v>30</v>
      </c>
      <c r="C42" s="21" t="s">
        <v>137</v>
      </c>
      <c r="D42" s="20"/>
      <c r="E42" s="3"/>
      <c r="F42" s="19"/>
      <c r="G42" s="3">
        <v>6649999</v>
      </c>
      <c r="H42" s="2">
        <v>5.0000000000000001E-3</v>
      </c>
      <c r="I42" s="19">
        <v>44089</v>
      </c>
      <c r="J42" s="19">
        <v>44104</v>
      </c>
      <c r="K42" s="3">
        <f t="shared" si="2"/>
        <v>16</v>
      </c>
      <c r="L42" s="3">
        <f t="shared" si="3"/>
        <v>1454</v>
      </c>
      <c r="M42" s="3"/>
    </row>
    <row r="43" spans="1:13" s="18" customFormat="1" outlineLevel="2">
      <c r="A43" s="19" t="s">
        <v>80</v>
      </c>
      <c r="B43" s="20" t="s">
        <v>31</v>
      </c>
      <c r="C43" s="21" t="s">
        <v>135</v>
      </c>
      <c r="D43" s="20" t="s">
        <v>134</v>
      </c>
      <c r="E43" s="3">
        <v>298410000</v>
      </c>
      <c r="F43" s="19">
        <v>44006</v>
      </c>
      <c r="G43" s="3">
        <v>298410000</v>
      </c>
      <c r="H43" s="2">
        <v>5.0000000000000001E-3</v>
      </c>
      <c r="I43" s="19">
        <v>44075</v>
      </c>
      <c r="J43" s="19">
        <v>44104</v>
      </c>
      <c r="K43" s="3">
        <f t="shared" si="2"/>
        <v>30</v>
      </c>
      <c r="L43" s="3">
        <f t="shared" si="3"/>
        <v>122299</v>
      </c>
      <c r="M43" s="3">
        <v>298410000</v>
      </c>
    </row>
    <row r="44" spans="1:13" s="18" customFormat="1" outlineLevel="2">
      <c r="A44" s="19" t="s">
        <v>80</v>
      </c>
      <c r="B44" s="20" t="s">
        <v>32</v>
      </c>
      <c r="C44" s="21" t="s">
        <v>135</v>
      </c>
      <c r="D44" s="20" t="s">
        <v>134</v>
      </c>
      <c r="E44" s="3">
        <v>95370000</v>
      </c>
      <c r="F44" s="19">
        <v>44006</v>
      </c>
      <c r="G44" s="3">
        <v>95370000</v>
      </c>
      <c r="H44" s="2">
        <v>5.0000000000000001E-3</v>
      </c>
      <c r="I44" s="19">
        <v>44075</v>
      </c>
      <c r="J44" s="19">
        <v>44104</v>
      </c>
      <c r="K44" s="3">
        <f t="shared" si="2"/>
        <v>30</v>
      </c>
      <c r="L44" s="3">
        <f t="shared" si="3"/>
        <v>39086</v>
      </c>
      <c r="M44" s="3">
        <v>95370000</v>
      </c>
    </row>
    <row r="45" spans="1:13" s="18" customFormat="1" outlineLevel="2">
      <c r="A45" s="19" t="s">
        <v>80</v>
      </c>
      <c r="B45" s="20" t="s">
        <v>48</v>
      </c>
      <c r="C45" s="21" t="s">
        <v>135</v>
      </c>
      <c r="D45" s="20" t="s">
        <v>134</v>
      </c>
      <c r="E45" s="3">
        <v>73910000</v>
      </c>
      <c r="F45" s="19">
        <v>44032</v>
      </c>
      <c r="G45" s="3">
        <v>73910000</v>
      </c>
      <c r="H45" s="2">
        <v>5.0000000000000001E-3</v>
      </c>
      <c r="I45" s="19">
        <v>44075</v>
      </c>
      <c r="J45" s="19">
        <v>44104</v>
      </c>
      <c r="K45" s="3">
        <f t="shared" si="2"/>
        <v>30</v>
      </c>
      <c r="L45" s="3">
        <f t="shared" si="3"/>
        <v>30291</v>
      </c>
      <c r="M45" s="3">
        <v>73910000</v>
      </c>
    </row>
    <row r="46" spans="1:13" s="18" customFormat="1" outlineLevel="2">
      <c r="A46" s="19" t="s">
        <v>80</v>
      </c>
      <c r="B46" s="20" t="s">
        <v>59</v>
      </c>
      <c r="C46" s="21" t="s">
        <v>135</v>
      </c>
      <c r="D46" s="20" t="s">
        <v>134</v>
      </c>
      <c r="E46" s="3">
        <v>291200000</v>
      </c>
      <c r="F46" s="19">
        <v>44032</v>
      </c>
      <c r="G46" s="3">
        <v>291200000</v>
      </c>
      <c r="H46" s="2">
        <v>3.0000000000000001E-3</v>
      </c>
      <c r="I46" s="19">
        <v>44075</v>
      </c>
      <c r="J46" s="19">
        <v>44104</v>
      </c>
      <c r="K46" s="3">
        <f t="shared" si="2"/>
        <v>30</v>
      </c>
      <c r="L46" s="3">
        <f t="shared" si="3"/>
        <v>71607</v>
      </c>
      <c r="M46" s="3">
        <v>291200000</v>
      </c>
    </row>
    <row r="47" spans="1:13" s="18" customFormat="1" outlineLevel="2">
      <c r="A47" s="19" t="s">
        <v>80</v>
      </c>
      <c r="B47" s="20" t="s">
        <v>58</v>
      </c>
      <c r="C47" s="21" t="s">
        <v>137</v>
      </c>
      <c r="D47" s="20" t="s">
        <v>136</v>
      </c>
      <c r="E47" s="3">
        <v>10000000</v>
      </c>
      <c r="F47" s="19">
        <v>44025</v>
      </c>
      <c r="G47" s="3">
        <v>9830508</v>
      </c>
      <c r="H47" s="2">
        <v>5.0000000000000001E-3</v>
      </c>
      <c r="I47" s="19">
        <v>44075</v>
      </c>
      <c r="J47" s="19">
        <v>44088</v>
      </c>
      <c r="K47" s="3">
        <f t="shared" si="2"/>
        <v>14</v>
      </c>
      <c r="L47" s="3">
        <f t="shared" si="3"/>
        <v>1880</v>
      </c>
      <c r="M47" s="3">
        <v>9661016</v>
      </c>
    </row>
    <row r="48" spans="1:13" s="18" customFormat="1" outlineLevel="2">
      <c r="A48" s="19" t="s">
        <v>80</v>
      </c>
      <c r="B48" s="20" t="s">
        <v>58</v>
      </c>
      <c r="C48" s="21" t="s">
        <v>137</v>
      </c>
      <c r="D48" s="20"/>
      <c r="E48" s="3"/>
      <c r="F48" s="19"/>
      <c r="G48" s="3">
        <v>9661016</v>
      </c>
      <c r="H48" s="2">
        <v>5.0000000000000001E-3</v>
      </c>
      <c r="I48" s="19">
        <v>44089</v>
      </c>
      <c r="J48" s="19">
        <v>44104</v>
      </c>
      <c r="K48" s="3">
        <f t="shared" si="2"/>
        <v>16</v>
      </c>
      <c r="L48" s="3">
        <f t="shared" si="3"/>
        <v>2112</v>
      </c>
      <c r="M48" s="3"/>
    </row>
    <row r="49" spans="1:13" s="18" customFormat="1" ht="13.5" outlineLevel="1">
      <c r="A49" s="22" t="s">
        <v>79</v>
      </c>
      <c r="B49" s="23"/>
      <c r="C49" s="24"/>
      <c r="D49" s="23"/>
      <c r="E49" s="25">
        <f>SUBTOTAL(9,E29:E48)</f>
        <v>1471640000</v>
      </c>
      <c r="F49" s="26"/>
      <c r="G49" s="25"/>
      <c r="H49" s="27"/>
      <c r="I49" s="26"/>
      <c r="J49" s="26"/>
      <c r="K49" s="25"/>
      <c r="L49" s="25">
        <f>SUBTOTAL(9,L29:L48)</f>
        <v>545097</v>
      </c>
      <c r="M49" s="25">
        <f>SUBTOTAL(9,M29:M48)</f>
        <v>1467151994</v>
      </c>
    </row>
    <row r="50" spans="1:13" s="18" customFormat="1" outlineLevel="2">
      <c r="A50" s="19" t="s">
        <v>78</v>
      </c>
      <c r="B50" s="20" t="s">
        <v>16</v>
      </c>
      <c r="C50" s="21" t="s">
        <v>77</v>
      </c>
      <c r="D50" s="20" t="s">
        <v>76</v>
      </c>
      <c r="E50" s="3">
        <v>81465386</v>
      </c>
      <c r="F50" s="19">
        <v>43900</v>
      </c>
      <c r="G50" s="3">
        <v>81465386</v>
      </c>
      <c r="H50" s="2">
        <v>5.0000000000000001E-3</v>
      </c>
      <c r="I50" s="19">
        <v>44075</v>
      </c>
      <c r="J50" s="19">
        <v>44104</v>
      </c>
      <c r="K50" s="3">
        <f t="shared" ref="K50:K76" si="4">J50-I50+1</f>
        <v>30</v>
      </c>
      <c r="L50" s="3">
        <f t="shared" ref="L50:L76" si="5">ROUND(G50*H50*K50/366,0)</f>
        <v>33387</v>
      </c>
      <c r="M50" s="3">
        <v>81465386</v>
      </c>
    </row>
    <row r="51" spans="1:13" s="18" customFormat="1" outlineLevel="2">
      <c r="A51" s="19" t="s">
        <v>78</v>
      </c>
      <c r="B51" s="20" t="s">
        <v>61</v>
      </c>
      <c r="C51" s="21" t="s">
        <v>95</v>
      </c>
      <c r="D51" s="20" t="s">
        <v>94</v>
      </c>
      <c r="E51" s="3">
        <v>8860000</v>
      </c>
      <c r="F51" s="19">
        <v>43997</v>
      </c>
      <c r="G51" s="3">
        <v>8860000</v>
      </c>
      <c r="H51" s="2">
        <v>5.0000000000000001E-3</v>
      </c>
      <c r="I51" s="19">
        <v>44075</v>
      </c>
      <c r="J51" s="19">
        <v>44104</v>
      </c>
      <c r="K51" s="3">
        <f t="shared" si="4"/>
        <v>30</v>
      </c>
      <c r="L51" s="3">
        <f t="shared" si="5"/>
        <v>3631</v>
      </c>
      <c r="M51" s="3">
        <v>8860000</v>
      </c>
    </row>
    <row r="52" spans="1:13" s="18" customFormat="1" outlineLevel="2">
      <c r="A52" s="19" t="s">
        <v>78</v>
      </c>
      <c r="B52" s="20" t="s">
        <v>60</v>
      </c>
      <c r="C52" s="21" t="s">
        <v>93</v>
      </c>
      <c r="D52" s="20" t="s">
        <v>92</v>
      </c>
      <c r="E52" s="3">
        <v>20390000</v>
      </c>
      <c r="F52" s="19">
        <v>43997</v>
      </c>
      <c r="G52" s="3">
        <v>19892684</v>
      </c>
      <c r="H52" s="2">
        <v>5.0000000000000001E-3</v>
      </c>
      <c r="I52" s="19">
        <v>44075</v>
      </c>
      <c r="J52" s="19">
        <v>44088</v>
      </c>
      <c r="K52" s="3">
        <f t="shared" si="4"/>
        <v>14</v>
      </c>
      <c r="L52" s="3">
        <f t="shared" si="5"/>
        <v>3805</v>
      </c>
      <c r="M52" s="3">
        <v>19644026</v>
      </c>
    </row>
    <row r="53" spans="1:13" s="18" customFormat="1" outlineLevel="2">
      <c r="A53" s="19" t="s">
        <v>78</v>
      </c>
      <c r="B53" s="20" t="s">
        <v>60</v>
      </c>
      <c r="C53" s="21" t="s">
        <v>93</v>
      </c>
      <c r="D53" s="20"/>
      <c r="E53" s="3"/>
      <c r="F53" s="19"/>
      <c r="G53" s="3">
        <v>19644026</v>
      </c>
      <c r="H53" s="2">
        <v>5.0000000000000001E-3</v>
      </c>
      <c r="I53" s="19">
        <v>44089</v>
      </c>
      <c r="J53" s="19">
        <v>44104</v>
      </c>
      <c r="K53" s="3">
        <f t="shared" si="4"/>
        <v>16</v>
      </c>
      <c r="L53" s="3">
        <f t="shared" si="5"/>
        <v>4294</v>
      </c>
      <c r="M53" s="3"/>
    </row>
    <row r="54" spans="1:13" s="18" customFormat="1" outlineLevel="2">
      <c r="A54" s="19" t="s">
        <v>78</v>
      </c>
      <c r="B54" s="20" t="s">
        <v>66</v>
      </c>
      <c r="C54" s="21" t="s">
        <v>93</v>
      </c>
      <c r="D54" s="20" t="s">
        <v>92</v>
      </c>
      <c r="E54" s="3">
        <v>69600000</v>
      </c>
      <c r="F54" s="19">
        <v>43997</v>
      </c>
      <c r="G54" s="3">
        <v>68440000</v>
      </c>
      <c r="H54" s="2">
        <v>5.0000000000000001E-3</v>
      </c>
      <c r="I54" s="19">
        <v>44075</v>
      </c>
      <c r="J54" s="19">
        <v>44088</v>
      </c>
      <c r="K54" s="3">
        <f t="shared" si="4"/>
        <v>14</v>
      </c>
      <c r="L54" s="3">
        <f t="shared" si="5"/>
        <v>13090</v>
      </c>
      <c r="M54" s="3">
        <v>67860000</v>
      </c>
    </row>
    <row r="55" spans="1:13" s="18" customFormat="1" outlineLevel="2">
      <c r="A55" s="19" t="s">
        <v>78</v>
      </c>
      <c r="B55" s="20" t="s">
        <v>66</v>
      </c>
      <c r="C55" s="21" t="s">
        <v>93</v>
      </c>
      <c r="D55" s="20"/>
      <c r="E55" s="3"/>
      <c r="F55" s="19"/>
      <c r="G55" s="3">
        <v>67860000</v>
      </c>
      <c r="H55" s="2">
        <v>5.0000000000000001E-3</v>
      </c>
      <c r="I55" s="19">
        <v>44089</v>
      </c>
      <c r="J55" s="19">
        <v>44104</v>
      </c>
      <c r="K55" s="3">
        <f t="shared" si="4"/>
        <v>16</v>
      </c>
      <c r="L55" s="3">
        <f t="shared" si="5"/>
        <v>14833</v>
      </c>
      <c r="M55" s="3"/>
    </row>
    <row r="56" spans="1:13" s="18" customFormat="1" outlineLevel="2">
      <c r="A56" s="19" t="s">
        <v>78</v>
      </c>
      <c r="B56" s="20" t="s">
        <v>65</v>
      </c>
      <c r="C56" s="21" t="s">
        <v>77</v>
      </c>
      <c r="D56" s="20" t="s">
        <v>76</v>
      </c>
      <c r="E56" s="3">
        <v>16630000</v>
      </c>
      <c r="F56" s="19">
        <v>44011</v>
      </c>
      <c r="G56" s="3">
        <v>16630000</v>
      </c>
      <c r="H56" s="2">
        <v>5.0000000000000001E-3</v>
      </c>
      <c r="I56" s="19">
        <v>44075</v>
      </c>
      <c r="J56" s="19">
        <v>44104</v>
      </c>
      <c r="K56" s="3">
        <f t="shared" si="4"/>
        <v>30</v>
      </c>
      <c r="L56" s="3">
        <f t="shared" si="5"/>
        <v>6816</v>
      </c>
      <c r="M56" s="3">
        <v>16630000</v>
      </c>
    </row>
    <row r="57" spans="1:13" s="18" customFormat="1" outlineLevel="2">
      <c r="A57" s="19" t="s">
        <v>78</v>
      </c>
      <c r="B57" s="20" t="s">
        <v>64</v>
      </c>
      <c r="C57" s="21" t="s">
        <v>95</v>
      </c>
      <c r="D57" s="20" t="s">
        <v>94</v>
      </c>
      <c r="E57" s="3">
        <v>4650000</v>
      </c>
      <c r="F57" s="19">
        <v>44027</v>
      </c>
      <c r="G57" s="3">
        <v>4650000</v>
      </c>
      <c r="H57" s="2">
        <v>5.0000000000000001E-3</v>
      </c>
      <c r="I57" s="19">
        <v>44075</v>
      </c>
      <c r="J57" s="19">
        <v>44104</v>
      </c>
      <c r="K57" s="3">
        <f t="shared" si="4"/>
        <v>30</v>
      </c>
      <c r="L57" s="3">
        <f t="shared" si="5"/>
        <v>1906</v>
      </c>
      <c r="M57" s="3">
        <v>4650000</v>
      </c>
    </row>
    <row r="58" spans="1:13" s="18" customFormat="1" outlineLevel="2">
      <c r="A58" s="19" t="s">
        <v>78</v>
      </c>
      <c r="B58" s="20" t="s">
        <v>85</v>
      </c>
      <c r="C58" s="21" t="s">
        <v>93</v>
      </c>
      <c r="D58" s="20" t="s">
        <v>92</v>
      </c>
      <c r="E58" s="3">
        <v>10860000</v>
      </c>
      <c r="F58" s="19">
        <v>44027</v>
      </c>
      <c r="G58" s="3">
        <v>10725926</v>
      </c>
      <c r="H58" s="2">
        <v>5.0000000000000001E-3</v>
      </c>
      <c r="I58" s="19">
        <v>44075</v>
      </c>
      <c r="J58" s="19">
        <v>44088</v>
      </c>
      <c r="K58" s="3">
        <f t="shared" si="4"/>
        <v>14</v>
      </c>
      <c r="L58" s="3">
        <f t="shared" si="5"/>
        <v>2051</v>
      </c>
      <c r="M58" s="3">
        <v>10591852</v>
      </c>
    </row>
    <row r="59" spans="1:13" s="18" customFormat="1" outlineLevel="2">
      <c r="A59" s="19" t="s">
        <v>78</v>
      </c>
      <c r="B59" s="20" t="s">
        <v>85</v>
      </c>
      <c r="C59" s="21" t="s">
        <v>93</v>
      </c>
      <c r="D59" s="20"/>
      <c r="E59" s="3"/>
      <c r="F59" s="19"/>
      <c r="G59" s="3">
        <v>10591852</v>
      </c>
      <c r="H59" s="2">
        <v>5.0000000000000001E-3</v>
      </c>
      <c r="I59" s="19">
        <v>44089</v>
      </c>
      <c r="J59" s="19">
        <v>44104</v>
      </c>
      <c r="K59" s="3">
        <f t="shared" si="4"/>
        <v>16</v>
      </c>
      <c r="L59" s="3">
        <f t="shared" si="5"/>
        <v>2315</v>
      </c>
      <c r="M59" s="3"/>
    </row>
    <row r="60" spans="1:13" s="18" customFormat="1" outlineLevel="2">
      <c r="A60" s="19" t="s">
        <v>78</v>
      </c>
      <c r="B60" s="20" t="s">
        <v>84</v>
      </c>
      <c r="C60" s="21" t="s">
        <v>93</v>
      </c>
      <c r="D60" s="20" t="s">
        <v>92</v>
      </c>
      <c r="E60" s="3">
        <v>11600000</v>
      </c>
      <c r="F60" s="19">
        <v>44027</v>
      </c>
      <c r="G60" s="3">
        <v>11502522</v>
      </c>
      <c r="H60" s="2">
        <v>5.0000000000000001E-3</v>
      </c>
      <c r="I60" s="19">
        <v>44075</v>
      </c>
      <c r="J60" s="19">
        <v>44088</v>
      </c>
      <c r="K60" s="3">
        <f t="shared" si="4"/>
        <v>14</v>
      </c>
      <c r="L60" s="3">
        <f t="shared" si="5"/>
        <v>2200</v>
      </c>
      <c r="M60" s="3">
        <v>11405044</v>
      </c>
    </row>
    <row r="61" spans="1:13" s="18" customFormat="1" outlineLevel="2">
      <c r="A61" s="19" t="s">
        <v>78</v>
      </c>
      <c r="B61" s="20" t="s">
        <v>84</v>
      </c>
      <c r="C61" s="21" t="s">
        <v>93</v>
      </c>
      <c r="D61" s="20"/>
      <c r="E61" s="3"/>
      <c r="F61" s="19"/>
      <c r="G61" s="3">
        <v>11405044</v>
      </c>
      <c r="H61" s="2">
        <v>5.0000000000000001E-3</v>
      </c>
      <c r="I61" s="19">
        <v>44089</v>
      </c>
      <c r="J61" s="19">
        <v>44104</v>
      </c>
      <c r="K61" s="3">
        <f t="shared" si="4"/>
        <v>16</v>
      </c>
      <c r="L61" s="3">
        <f t="shared" si="5"/>
        <v>2493</v>
      </c>
      <c r="M61" s="3"/>
    </row>
    <row r="62" spans="1:13" s="18" customFormat="1" outlineLevel="2">
      <c r="A62" s="19" t="s">
        <v>78</v>
      </c>
      <c r="B62" s="20" t="s">
        <v>83</v>
      </c>
      <c r="C62" s="21" t="s">
        <v>139</v>
      </c>
      <c r="D62" s="20" t="s">
        <v>138</v>
      </c>
      <c r="E62" s="3">
        <v>18700000</v>
      </c>
      <c r="F62" s="19">
        <v>44032</v>
      </c>
      <c r="G62" s="3">
        <v>18700000</v>
      </c>
      <c r="H62" s="2">
        <v>5.0000000000000001E-3</v>
      </c>
      <c r="I62" s="19">
        <v>44075</v>
      </c>
      <c r="J62" s="19">
        <v>44104</v>
      </c>
      <c r="K62" s="3">
        <f t="shared" si="4"/>
        <v>30</v>
      </c>
      <c r="L62" s="3">
        <f t="shared" si="5"/>
        <v>7664</v>
      </c>
      <c r="M62" s="3">
        <v>18700000</v>
      </c>
    </row>
    <row r="63" spans="1:13" s="18" customFormat="1" outlineLevel="2">
      <c r="A63" s="19" t="s">
        <v>78</v>
      </c>
      <c r="B63" s="20" t="s">
        <v>102</v>
      </c>
      <c r="C63" s="21" t="s">
        <v>95</v>
      </c>
      <c r="D63" s="20" t="s">
        <v>94</v>
      </c>
      <c r="E63" s="3">
        <v>2950000</v>
      </c>
      <c r="F63" s="19">
        <v>44060</v>
      </c>
      <c r="G63" s="3">
        <v>2950000</v>
      </c>
      <c r="H63" s="2">
        <v>5.0000000000000001E-3</v>
      </c>
      <c r="I63" s="19">
        <v>44075</v>
      </c>
      <c r="J63" s="19">
        <v>44104</v>
      </c>
      <c r="K63" s="3">
        <f t="shared" si="4"/>
        <v>30</v>
      </c>
      <c r="L63" s="3">
        <f t="shared" si="5"/>
        <v>1209</v>
      </c>
      <c r="M63" s="3">
        <v>2950000</v>
      </c>
    </row>
    <row r="64" spans="1:13" s="18" customFormat="1" outlineLevel="2">
      <c r="A64" s="19" t="s">
        <v>78</v>
      </c>
      <c r="B64" s="20" t="s">
        <v>101</v>
      </c>
      <c r="C64" s="21" t="s">
        <v>77</v>
      </c>
      <c r="D64" s="20" t="s">
        <v>76</v>
      </c>
      <c r="E64" s="3">
        <v>15120000</v>
      </c>
      <c r="F64" s="19">
        <v>44091</v>
      </c>
      <c r="G64" s="3">
        <v>15120000</v>
      </c>
      <c r="H64" s="2">
        <v>5.0000000000000001E-3</v>
      </c>
      <c r="I64" s="19">
        <v>44091</v>
      </c>
      <c r="J64" s="19">
        <v>44104</v>
      </c>
      <c r="K64" s="3">
        <f t="shared" si="4"/>
        <v>14</v>
      </c>
      <c r="L64" s="3">
        <f t="shared" si="5"/>
        <v>2892</v>
      </c>
      <c r="M64" s="3">
        <v>15120000</v>
      </c>
    </row>
    <row r="65" spans="1:13" s="18" customFormat="1" outlineLevel="2">
      <c r="A65" s="19" t="s">
        <v>78</v>
      </c>
      <c r="B65" s="20" t="s">
        <v>23</v>
      </c>
      <c r="C65" s="21" t="s">
        <v>95</v>
      </c>
      <c r="D65" s="20" t="s">
        <v>94</v>
      </c>
      <c r="E65" s="3">
        <v>6200000</v>
      </c>
      <c r="F65" s="19">
        <v>43929</v>
      </c>
      <c r="G65" s="3">
        <v>6200000</v>
      </c>
      <c r="H65" s="2">
        <v>5.0000000000000001E-3</v>
      </c>
      <c r="I65" s="19">
        <v>44075</v>
      </c>
      <c r="J65" s="19">
        <v>44104</v>
      </c>
      <c r="K65" s="3">
        <f t="shared" si="4"/>
        <v>30</v>
      </c>
      <c r="L65" s="3">
        <f t="shared" si="5"/>
        <v>2541</v>
      </c>
      <c r="M65" s="3">
        <v>6200000</v>
      </c>
    </row>
    <row r="66" spans="1:13" s="18" customFormat="1" outlineLevel="2">
      <c r="A66" s="19" t="s">
        <v>78</v>
      </c>
      <c r="B66" s="20" t="s">
        <v>29</v>
      </c>
      <c r="C66" s="21" t="s">
        <v>95</v>
      </c>
      <c r="D66" s="20" t="s">
        <v>94</v>
      </c>
      <c r="E66" s="3">
        <v>23630000</v>
      </c>
      <c r="F66" s="19">
        <v>43936</v>
      </c>
      <c r="G66" s="3">
        <v>23630000</v>
      </c>
      <c r="H66" s="2">
        <v>5.0000000000000001E-3</v>
      </c>
      <c r="I66" s="19">
        <v>44075</v>
      </c>
      <c r="J66" s="19">
        <v>44104</v>
      </c>
      <c r="K66" s="3">
        <f t="shared" si="4"/>
        <v>30</v>
      </c>
      <c r="L66" s="3">
        <f t="shared" si="5"/>
        <v>9684</v>
      </c>
      <c r="M66" s="3">
        <v>23630000</v>
      </c>
    </row>
    <row r="67" spans="1:13" s="18" customFormat="1" outlineLevel="2">
      <c r="A67" s="19" t="s">
        <v>78</v>
      </c>
      <c r="B67" s="20" t="s">
        <v>30</v>
      </c>
      <c r="C67" s="21" t="s">
        <v>72</v>
      </c>
      <c r="D67" s="20" t="s">
        <v>71</v>
      </c>
      <c r="E67" s="3">
        <v>24000000</v>
      </c>
      <c r="F67" s="19">
        <v>43937</v>
      </c>
      <c r="G67" s="3">
        <v>23200000</v>
      </c>
      <c r="H67" s="2">
        <v>5.0000000000000001E-3</v>
      </c>
      <c r="I67" s="19">
        <v>44075</v>
      </c>
      <c r="J67" s="19">
        <v>44088</v>
      </c>
      <c r="K67" s="3">
        <f t="shared" si="4"/>
        <v>14</v>
      </c>
      <c r="L67" s="3">
        <f t="shared" si="5"/>
        <v>4437</v>
      </c>
      <c r="M67" s="3">
        <v>23000000</v>
      </c>
    </row>
    <row r="68" spans="1:13" s="18" customFormat="1" outlineLevel="2">
      <c r="A68" s="19" t="s">
        <v>78</v>
      </c>
      <c r="B68" s="20" t="s">
        <v>30</v>
      </c>
      <c r="C68" s="21" t="s">
        <v>72</v>
      </c>
      <c r="D68" s="20"/>
      <c r="E68" s="3"/>
      <c r="F68" s="19"/>
      <c r="G68" s="3">
        <v>23000000</v>
      </c>
      <c r="H68" s="2">
        <v>5.0000000000000001E-3</v>
      </c>
      <c r="I68" s="19">
        <v>44089</v>
      </c>
      <c r="J68" s="19">
        <v>44104</v>
      </c>
      <c r="K68" s="3">
        <f t="shared" si="4"/>
        <v>16</v>
      </c>
      <c r="L68" s="3">
        <f t="shared" si="5"/>
        <v>5027</v>
      </c>
      <c r="M68" s="3"/>
    </row>
    <row r="69" spans="1:13" s="18" customFormat="1" outlineLevel="2">
      <c r="A69" s="19" t="s">
        <v>78</v>
      </c>
      <c r="B69" s="20" t="s">
        <v>31</v>
      </c>
      <c r="C69" s="21" t="s">
        <v>93</v>
      </c>
      <c r="D69" s="20" t="s">
        <v>92</v>
      </c>
      <c r="E69" s="3">
        <v>28240000</v>
      </c>
      <c r="F69" s="19">
        <v>43951</v>
      </c>
      <c r="G69" s="3">
        <v>26895240</v>
      </c>
      <c r="H69" s="2">
        <v>5.0000000000000001E-3</v>
      </c>
      <c r="I69" s="19">
        <v>44075</v>
      </c>
      <c r="J69" s="19">
        <v>44088</v>
      </c>
      <c r="K69" s="3">
        <f t="shared" si="4"/>
        <v>14</v>
      </c>
      <c r="L69" s="3">
        <f t="shared" si="5"/>
        <v>5144</v>
      </c>
      <c r="M69" s="3">
        <v>26559050</v>
      </c>
    </row>
    <row r="70" spans="1:13" s="18" customFormat="1" outlineLevel="2">
      <c r="A70" s="19" t="s">
        <v>78</v>
      </c>
      <c r="B70" s="20" t="s">
        <v>31</v>
      </c>
      <c r="C70" s="21" t="s">
        <v>93</v>
      </c>
      <c r="D70" s="20"/>
      <c r="E70" s="3"/>
      <c r="F70" s="19"/>
      <c r="G70" s="3">
        <v>26559050</v>
      </c>
      <c r="H70" s="2">
        <v>5.0000000000000001E-3</v>
      </c>
      <c r="I70" s="19">
        <v>44089</v>
      </c>
      <c r="J70" s="19">
        <v>44104</v>
      </c>
      <c r="K70" s="3">
        <f t="shared" si="4"/>
        <v>16</v>
      </c>
      <c r="L70" s="3">
        <f t="shared" si="5"/>
        <v>5805</v>
      </c>
      <c r="M70" s="3"/>
    </row>
    <row r="71" spans="1:13" s="18" customFormat="1" outlineLevel="2">
      <c r="A71" s="19" t="s">
        <v>78</v>
      </c>
      <c r="B71" s="20" t="s">
        <v>32</v>
      </c>
      <c r="C71" s="21" t="s">
        <v>95</v>
      </c>
      <c r="D71" s="20" t="s">
        <v>94</v>
      </c>
      <c r="E71" s="3">
        <v>8000000</v>
      </c>
      <c r="F71" s="19">
        <v>43957</v>
      </c>
      <c r="G71" s="3">
        <v>7466668</v>
      </c>
      <c r="H71" s="2">
        <v>5.0000000000000001E-3</v>
      </c>
      <c r="I71" s="19">
        <v>44075</v>
      </c>
      <c r="J71" s="19">
        <v>44088</v>
      </c>
      <c r="K71" s="3">
        <f t="shared" si="4"/>
        <v>14</v>
      </c>
      <c r="L71" s="3">
        <f t="shared" si="5"/>
        <v>1428</v>
      </c>
      <c r="M71" s="3">
        <v>7333335</v>
      </c>
    </row>
    <row r="72" spans="1:13" s="18" customFormat="1" outlineLevel="2">
      <c r="A72" s="19" t="s">
        <v>78</v>
      </c>
      <c r="B72" s="20" t="s">
        <v>32</v>
      </c>
      <c r="C72" s="21" t="s">
        <v>95</v>
      </c>
      <c r="D72" s="20"/>
      <c r="E72" s="3"/>
      <c r="F72" s="19"/>
      <c r="G72" s="3">
        <v>7333335</v>
      </c>
      <c r="H72" s="2">
        <v>5.0000000000000001E-3</v>
      </c>
      <c r="I72" s="19">
        <v>44089</v>
      </c>
      <c r="J72" s="19">
        <v>44104</v>
      </c>
      <c r="K72" s="3">
        <f t="shared" si="4"/>
        <v>16</v>
      </c>
      <c r="L72" s="3">
        <f t="shared" si="5"/>
        <v>1603</v>
      </c>
      <c r="M72" s="3"/>
    </row>
    <row r="73" spans="1:13" s="18" customFormat="1" outlineLevel="2">
      <c r="A73" s="19" t="s">
        <v>78</v>
      </c>
      <c r="B73" s="20" t="s">
        <v>48</v>
      </c>
      <c r="C73" s="21" t="s">
        <v>95</v>
      </c>
      <c r="D73" s="20" t="s">
        <v>94</v>
      </c>
      <c r="E73" s="3">
        <v>5910000</v>
      </c>
      <c r="F73" s="19">
        <v>43966</v>
      </c>
      <c r="G73" s="3">
        <v>5910000</v>
      </c>
      <c r="H73" s="2">
        <v>5.0000000000000001E-3</v>
      </c>
      <c r="I73" s="19">
        <v>44075</v>
      </c>
      <c r="J73" s="19">
        <v>44104</v>
      </c>
      <c r="K73" s="3">
        <f t="shared" si="4"/>
        <v>30</v>
      </c>
      <c r="L73" s="3">
        <f t="shared" si="5"/>
        <v>2422</v>
      </c>
      <c r="M73" s="3">
        <v>5910000</v>
      </c>
    </row>
    <row r="74" spans="1:13" s="18" customFormat="1" outlineLevel="2">
      <c r="A74" s="19" t="s">
        <v>78</v>
      </c>
      <c r="B74" s="20" t="s">
        <v>59</v>
      </c>
      <c r="C74" s="21" t="s">
        <v>93</v>
      </c>
      <c r="D74" s="20" t="s">
        <v>92</v>
      </c>
      <c r="E74" s="3">
        <v>20510000</v>
      </c>
      <c r="F74" s="19">
        <v>43966</v>
      </c>
      <c r="G74" s="3">
        <v>19768676</v>
      </c>
      <c r="H74" s="2">
        <v>5.0000000000000001E-3</v>
      </c>
      <c r="I74" s="19">
        <v>44075</v>
      </c>
      <c r="J74" s="19">
        <v>44088</v>
      </c>
      <c r="K74" s="3">
        <f t="shared" si="4"/>
        <v>14</v>
      </c>
      <c r="L74" s="3">
        <f t="shared" si="5"/>
        <v>3781</v>
      </c>
      <c r="M74" s="3">
        <v>19521568</v>
      </c>
    </row>
    <row r="75" spans="1:13" s="18" customFormat="1" outlineLevel="2">
      <c r="A75" s="19" t="s">
        <v>78</v>
      </c>
      <c r="B75" s="20" t="s">
        <v>59</v>
      </c>
      <c r="C75" s="21" t="s">
        <v>93</v>
      </c>
      <c r="D75" s="20"/>
      <c r="E75" s="3"/>
      <c r="F75" s="19"/>
      <c r="G75" s="3">
        <v>19521568</v>
      </c>
      <c r="H75" s="2">
        <v>5.0000000000000001E-3</v>
      </c>
      <c r="I75" s="19">
        <v>44089</v>
      </c>
      <c r="J75" s="19">
        <v>44104</v>
      </c>
      <c r="K75" s="3">
        <f t="shared" si="4"/>
        <v>16</v>
      </c>
      <c r="L75" s="3">
        <f t="shared" si="5"/>
        <v>4267</v>
      </c>
      <c r="M75" s="3"/>
    </row>
    <row r="76" spans="1:13" s="18" customFormat="1" outlineLevel="2">
      <c r="A76" s="19" t="s">
        <v>78</v>
      </c>
      <c r="B76" s="20" t="s">
        <v>58</v>
      </c>
      <c r="C76" s="21" t="s">
        <v>77</v>
      </c>
      <c r="D76" s="20" t="s">
        <v>76</v>
      </c>
      <c r="E76" s="3">
        <v>33960000</v>
      </c>
      <c r="F76" s="19">
        <v>43978</v>
      </c>
      <c r="G76" s="3">
        <v>33960000</v>
      </c>
      <c r="H76" s="2">
        <v>5.0000000000000001E-3</v>
      </c>
      <c r="I76" s="19">
        <v>44075</v>
      </c>
      <c r="J76" s="19">
        <v>44104</v>
      </c>
      <c r="K76" s="3">
        <f t="shared" si="4"/>
        <v>30</v>
      </c>
      <c r="L76" s="3">
        <f t="shared" si="5"/>
        <v>13918</v>
      </c>
      <c r="M76" s="3">
        <v>33960000</v>
      </c>
    </row>
    <row r="77" spans="1:13" s="18" customFormat="1" ht="13.5" outlineLevel="1">
      <c r="A77" s="22" t="s">
        <v>75</v>
      </c>
      <c r="B77" s="23"/>
      <c r="C77" s="24"/>
      <c r="D77" s="23"/>
      <c r="E77" s="25">
        <f>SUBTOTAL(9,E50:E76)</f>
        <v>411275386</v>
      </c>
      <c r="F77" s="26"/>
      <c r="G77" s="25"/>
      <c r="H77" s="27"/>
      <c r="I77" s="26"/>
      <c r="J77" s="26"/>
      <c r="K77" s="25"/>
      <c r="L77" s="25">
        <f>SUBTOTAL(9,L50:L76)</f>
        <v>162643</v>
      </c>
      <c r="M77" s="25">
        <f>SUBTOTAL(9,M50:M76)</f>
        <v>403990261</v>
      </c>
    </row>
    <row r="78" spans="1:13" s="18" customFormat="1" outlineLevel="2">
      <c r="A78" s="19" t="s">
        <v>20</v>
      </c>
      <c r="B78" s="20" t="s">
        <v>16</v>
      </c>
      <c r="C78" s="21" t="s">
        <v>21</v>
      </c>
      <c r="D78" s="20" t="s">
        <v>22</v>
      </c>
      <c r="E78" s="3">
        <v>69000000</v>
      </c>
      <c r="F78" s="19">
        <v>43822</v>
      </c>
      <c r="G78" s="3">
        <v>69000000</v>
      </c>
      <c r="H78" s="2">
        <v>5.0000000000000001E-3</v>
      </c>
      <c r="I78" s="19">
        <v>44075</v>
      </c>
      <c r="J78" s="19">
        <v>44104</v>
      </c>
      <c r="K78" s="3">
        <f t="shared" ref="K78:K105" si="6">J78-I78+1</f>
        <v>30</v>
      </c>
      <c r="L78" s="3">
        <f t="shared" ref="L78:L105" si="7">ROUND(G78*H78*K78/366,0)</f>
        <v>28279</v>
      </c>
      <c r="M78" s="3">
        <v>69000000</v>
      </c>
    </row>
    <row r="79" spans="1:13" s="18" customFormat="1" outlineLevel="2">
      <c r="A79" s="19" t="s">
        <v>20</v>
      </c>
      <c r="B79" s="20" t="s">
        <v>61</v>
      </c>
      <c r="C79" s="21" t="s">
        <v>133</v>
      </c>
      <c r="D79" s="20" t="s">
        <v>132</v>
      </c>
      <c r="E79" s="3">
        <v>247700000</v>
      </c>
      <c r="F79" s="19">
        <v>43985</v>
      </c>
      <c r="G79" s="3">
        <v>247700000</v>
      </c>
      <c r="H79" s="2">
        <v>5.0000000000000001E-3</v>
      </c>
      <c r="I79" s="19">
        <v>44075</v>
      </c>
      <c r="J79" s="19">
        <v>44104</v>
      </c>
      <c r="K79" s="3">
        <f t="shared" si="6"/>
        <v>30</v>
      </c>
      <c r="L79" s="3">
        <f t="shared" si="7"/>
        <v>101516</v>
      </c>
      <c r="M79" s="3">
        <v>247700000</v>
      </c>
    </row>
    <row r="80" spans="1:13" s="18" customFormat="1" outlineLevel="2">
      <c r="A80" s="19" t="s">
        <v>20</v>
      </c>
      <c r="B80" s="20" t="s">
        <v>60</v>
      </c>
      <c r="C80" s="21" t="s">
        <v>192</v>
      </c>
      <c r="D80" s="20" t="s">
        <v>110</v>
      </c>
      <c r="E80" s="3">
        <v>18612000</v>
      </c>
      <c r="F80" s="19">
        <v>43997</v>
      </c>
      <c r="G80" s="3">
        <v>3722400</v>
      </c>
      <c r="H80" s="2">
        <v>5.0000000000000001E-3</v>
      </c>
      <c r="I80" s="19">
        <v>44075</v>
      </c>
      <c r="J80" s="19">
        <v>44104</v>
      </c>
      <c r="K80" s="3">
        <f t="shared" si="6"/>
        <v>30</v>
      </c>
      <c r="L80" s="3">
        <f t="shared" si="7"/>
        <v>1526</v>
      </c>
      <c r="M80" s="3">
        <v>3722400</v>
      </c>
    </row>
    <row r="81" spans="1:13" s="18" customFormat="1" outlineLevel="2">
      <c r="A81" s="19" t="s">
        <v>20</v>
      </c>
      <c r="B81" s="20" t="s">
        <v>66</v>
      </c>
      <c r="C81" s="21" t="s">
        <v>69</v>
      </c>
      <c r="D81" s="20" t="s">
        <v>68</v>
      </c>
      <c r="E81" s="3">
        <v>624000000</v>
      </c>
      <c r="F81" s="19">
        <v>44014</v>
      </c>
      <c r="G81" s="3">
        <v>624000000</v>
      </c>
      <c r="H81" s="2">
        <v>5.0000000000000001E-3</v>
      </c>
      <c r="I81" s="19">
        <v>44075</v>
      </c>
      <c r="J81" s="19">
        <v>44104</v>
      </c>
      <c r="K81" s="3">
        <f t="shared" si="6"/>
        <v>30</v>
      </c>
      <c r="L81" s="3">
        <f t="shared" si="7"/>
        <v>255738</v>
      </c>
      <c r="M81" s="3">
        <v>624000000</v>
      </c>
    </row>
    <row r="82" spans="1:13" s="18" customFormat="1" outlineLevel="2">
      <c r="A82" s="19" t="s">
        <v>20</v>
      </c>
      <c r="B82" s="20" t="s">
        <v>65</v>
      </c>
      <c r="C82" s="21" t="s">
        <v>69</v>
      </c>
      <c r="D82" s="20" t="s">
        <v>68</v>
      </c>
      <c r="E82" s="3">
        <v>82000000</v>
      </c>
      <c r="F82" s="19">
        <v>44042</v>
      </c>
      <c r="G82" s="3">
        <v>82000000</v>
      </c>
      <c r="H82" s="2">
        <v>5.0000000000000001E-3</v>
      </c>
      <c r="I82" s="19">
        <v>44075</v>
      </c>
      <c r="J82" s="19">
        <v>44104</v>
      </c>
      <c r="K82" s="3">
        <f t="shared" si="6"/>
        <v>30</v>
      </c>
      <c r="L82" s="3">
        <f t="shared" si="7"/>
        <v>33607</v>
      </c>
      <c r="M82" s="3">
        <v>82000000</v>
      </c>
    </row>
    <row r="83" spans="1:13" s="18" customFormat="1" outlineLevel="2">
      <c r="A83" s="19" t="s">
        <v>20</v>
      </c>
      <c r="B83" s="20" t="s">
        <v>64</v>
      </c>
      <c r="C83" s="21" t="s">
        <v>69</v>
      </c>
      <c r="D83" s="20" t="s">
        <v>68</v>
      </c>
      <c r="E83" s="3">
        <v>406400000</v>
      </c>
      <c r="F83" s="19">
        <v>44042</v>
      </c>
      <c r="G83" s="3">
        <v>406400000</v>
      </c>
      <c r="H83" s="2">
        <v>3.0000000000000001E-3</v>
      </c>
      <c r="I83" s="19">
        <v>44075</v>
      </c>
      <c r="J83" s="19">
        <v>44104</v>
      </c>
      <c r="K83" s="3">
        <f t="shared" si="6"/>
        <v>30</v>
      </c>
      <c r="L83" s="3">
        <f t="shared" si="7"/>
        <v>99934</v>
      </c>
      <c r="M83" s="3">
        <v>406400000</v>
      </c>
    </row>
    <row r="84" spans="1:13" s="18" customFormat="1" outlineLevel="2">
      <c r="A84" s="19" t="s">
        <v>20</v>
      </c>
      <c r="B84" s="20" t="s">
        <v>85</v>
      </c>
      <c r="C84" s="21" t="s">
        <v>69</v>
      </c>
      <c r="D84" s="20" t="s">
        <v>68</v>
      </c>
      <c r="E84" s="3">
        <v>51600000</v>
      </c>
      <c r="F84" s="19">
        <v>44042</v>
      </c>
      <c r="G84" s="3">
        <v>51600000</v>
      </c>
      <c r="H84" s="2">
        <v>3.0000000000000001E-3</v>
      </c>
      <c r="I84" s="19">
        <v>44075</v>
      </c>
      <c r="J84" s="19">
        <v>44104</v>
      </c>
      <c r="K84" s="3">
        <f t="shared" si="6"/>
        <v>30</v>
      </c>
      <c r="L84" s="3">
        <f t="shared" si="7"/>
        <v>12689</v>
      </c>
      <c r="M84" s="3">
        <v>51600000</v>
      </c>
    </row>
    <row r="85" spans="1:13" s="18" customFormat="1" outlineLevel="2">
      <c r="A85" s="19" t="s">
        <v>20</v>
      </c>
      <c r="B85" s="20" t="s">
        <v>84</v>
      </c>
      <c r="C85" s="21" t="s">
        <v>115</v>
      </c>
      <c r="D85" s="20" t="s">
        <v>114</v>
      </c>
      <c r="E85" s="3">
        <v>1850000</v>
      </c>
      <c r="F85" s="19">
        <v>44018</v>
      </c>
      <c r="G85" s="3">
        <v>1850000</v>
      </c>
      <c r="H85" s="2">
        <v>5.0000000000000001E-3</v>
      </c>
      <c r="I85" s="19">
        <v>44075</v>
      </c>
      <c r="J85" s="19">
        <v>44104</v>
      </c>
      <c r="K85" s="3">
        <f t="shared" si="6"/>
        <v>30</v>
      </c>
      <c r="L85" s="3">
        <f t="shared" si="7"/>
        <v>758</v>
      </c>
      <c r="M85" s="3">
        <v>1850000</v>
      </c>
    </row>
    <row r="86" spans="1:13" s="18" customFormat="1" outlineLevel="2">
      <c r="A86" s="19" t="s">
        <v>20</v>
      </c>
      <c r="B86" s="20" t="s">
        <v>83</v>
      </c>
      <c r="C86" s="21" t="s">
        <v>115</v>
      </c>
      <c r="D86" s="20" t="s">
        <v>114</v>
      </c>
      <c r="E86" s="3">
        <v>5400000</v>
      </c>
      <c r="F86" s="19">
        <v>44019</v>
      </c>
      <c r="G86" s="3">
        <v>5400000</v>
      </c>
      <c r="H86" s="2">
        <v>5.0000000000000001E-3</v>
      </c>
      <c r="I86" s="19">
        <v>44075</v>
      </c>
      <c r="J86" s="19">
        <v>44104</v>
      </c>
      <c r="K86" s="3">
        <f t="shared" si="6"/>
        <v>30</v>
      </c>
      <c r="L86" s="3">
        <f t="shared" si="7"/>
        <v>2213</v>
      </c>
      <c r="M86" s="3">
        <v>5400000</v>
      </c>
    </row>
    <row r="87" spans="1:13" s="18" customFormat="1" outlineLevel="2">
      <c r="A87" s="19" t="s">
        <v>20</v>
      </c>
      <c r="B87" s="20" t="s">
        <v>102</v>
      </c>
      <c r="C87" s="21" t="s">
        <v>115</v>
      </c>
      <c r="D87" s="20" t="s">
        <v>114</v>
      </c>
      <c r="E87" s="3">
        <v>2300000</v>
      </c>
      <c r="F87" s="19">
        <v>44027</v>
      </c>
      <c r="G87" s="3">
        <v>2300000</v>
      </c>
      <c r="H87" s="2">
        <v>5.0000000000000001E-3</v>
      </c>
      <c r="I87" s="19">
        <v>44075</v>
      </c>
      <c r="J87" s="19">
        <v>44104</v>
      </c>
      <c r="K87" s="3">
        <f t="shared" si="6"/>
        <v>30</v>
      </c>
      <c r="L87" s="3">
        <f t="shared" si="7"/>
        <v>943</v>
      </c>
      <c r="M87" s="3">
        <v>2300000</v>
      </c>
    </row>
    <row r="88" spans="1:13" s="18" customFormat="1" outlineLevel="2">
      <c r="A88" s="19" t="s">
        <v>20</v>
      </c>
      <c r="B88" s="20" t="s">
        <v>101</v>
      </c>
      <c r="C88" s="21" t="s">
        <v>115</v>
      </c>
      <c r="D88" s="20" t="s">
        <v>114</v>
      </c>
      <c r="E88" s="3">
        <v>16280000</v>
      </c>
      <c r="F88" s="19">
        <v>44041</v>
      </c>
      <c r="G88" s="3">
        <v>16280000</v>
      </c>
      <c r="H88" s="2">
        <v>5.0000000000000001E-3</v>
      </c>
      <c r="I88" s="19">
        <v>44075</v>
      </c>
      <c r="J88" s="19">
        <v>44104</v>
      </c>
      <c r="K88" s="3">
        <f t="shared" si="6"/>
        <v>30</v>
      </c>
      <c r="L88" s="3">
        <f t="shared" si="7"/>
        <v>6672</v>
      </c>
      <c r="M88" s="3">
        <v>16280000</v>
      </c>
    </row>
    <row r="89" spans="1:13" s="18" customFormat="1" outlineLevel="2">
      <c r="A89" s="19" t="s">
        <v>20</v>
      </c>
      <c r="B89" s="20" t="s">
        <v>23</v>
      </c>
      <c r="C89" s="21" t="s">
        <v>24</v>
      </c>
      <c r="D89" s="20" t="s">
        <v>18</v>
      </c>
      <c r="E89" s="3">
        <v>162300000</v>
      </c>
      <c r="F89" s="19">
        <v>43829</v>
      </c>
      <c r="G89" s="3">
        <v>140660000</v>
      </c>
      <c r="H89" s="2">
        <v>5.0000000000000001E-3</v>
      </c>
      <c r="I89" s="19">
        <v>44075</v>
      </c>
      <c r="J89" s="19">
        <v>44088</v>
      </c>
      <c r="K89" s="3">
        <f t="shared" si="6"/>
        <v>14</v>
      </c>
      <c r="L89" s="3">
        <f t="shared" si="7"/>
        <v>26902</v>
      </c>
      <c r="M89" s="3">
        <v>137955000</v>
      </c>
    </row>
    <row r="90" spans="1:13" s="18" customFormat="1" outlineLevel="2">
      <c r="A90" s="19" t="s">
        <v>20</v>
      </c>
      <c r="B90" s="20" t="s">
        <v>23</v>
      </c>
      <c r="C90" s="21" t="s">
        <v>24</v>
      </c>
      <c r="D90" s="20"/>
      <c r="E90" s="3"/>
      <c r="F90" s="19"/>
      <c r="G90" s="3">
        <v>137955000</v>
      </c>
      <c r="H90" s="2">
        <v>5.0000000000000001E-3</v>
      </c>
      <c r="I90" s="19">
        <v>44089</v>
      </c>
      <c r="J90" s="19">
        <v>44104</v>
      </c>
      <c r="K90" s="3">
        <f t="shared" si="6"/>
        <v>16</v>
      </c>
      <c r="L90" s="3">
        <f t="shared" si="7"/>
        <v>30154</v>
      </c>
      <c r="M90" s="3"/>
    </row>
    <row r="91" spans="1:13" s="18" customFormat="1" outlineLevel="2">
      <c r="A91" s="19" t="s">
        <v>20</v>
      </c>
      <c r="B91" s="20" t="s">
        <v>100</v>
      </c>
      <c r="C91" s="21" t="s">
        <v>160</v>
      </c>
      <c r="D91" s="20" t="s">
        <v>159</v>
      </c>
      <c r="E91" s="3">
        <v>30000000</v>
      </c>
      <c r="F91" s="19">
        <v>44020</v>
      </c>
      <c r="G91" s="3">
        <v>30000000</v>
      </c>
      <c r="H91" s="2">
        <v>5.0000000000000001E-3</v>
      </c>
      <c r="I91" s="19">
        <v>44075</v>
      </c>
      <c r="J91" s="19">
        <v>44104</v>
      </c>
      <c r="K91" s="3">
        <f t="shared" si="6"/>
        <v>30</v>
      </c>
      <c r="L91" s="3">
        <f t="shared" si="7"/>
        <v>12295</v>
      </c>
      <c r="M91" s="3">
        <v>30000000</v>
      </c>
    </row>
    <row r="92" spans="1:13" s="18" customFormat="1" outlineLevel="2">
      <c r="A92" s="19" t="s">
        <v>20</v>
      </c>
      <c r="B92" s="20" t="s">
        <v>99</v>
      </c>
      <c r="C92" s="21" t="s">
        <v>158</v>
      </c>
      <c r="D92" s="20" t="s">
        <v>157</v>
      </c>
      <c r="E92" s="3">
        <v>35100000</v>
      </c>
      <c r="F92" s="19">
        <v>44013</v>
      </c>
      <c r="G92" s="3">
        <v>35100000</v>
      </c>
      <c r="H92" s="2">
        <v>5.0000000000000001E-3</v>
      </c>
      <c r="I92" s="19">
        <v>44075</v>
      </c>
      <c r="J92" s="19">
        <v>44104</v>
      </c>
      <c r="K92" s="3">
        <f t="shared" si="6"/>
        <v>30</v>
      </c>
      <c r="L92" s="3">
        <f t="shared" si="7"/>
        <v>14385</v>
      </c>
      <c r="M92" s="3">
        <v>35100000</v>
      </c>
    </row>
    <row r="93" spans="1:13" s="18" customFormat="1" outlineLevel="2">
      <c r="A93" s="19" t="s">
        <v>20</v>
      </c>
      <c r="B93" s="20" t="s">
        <v>98</v>
      </c>
      <c r="C93" s="21" t="s">
        <v>158</v>
      </c>
      <c r="D93" s="20" t="s">
        <v>157</v>
      </c>
      <c r="E93" s="3">
        <v>14900000</v>
      </c>
      <c r="F93" s="19">
        <v>44021</v>
      </c>
      <c r="G93" s="3">
        <v>14900000</v>
      </c>
      <c r="H93" s="2">
        <v>5.0000000000000001E-3</v>
      </c>
      <c r="I93" s="19">
        <v>44075</v>
      </c>
      <c r="J93" s="19">
        <v>44104</v>
      </c>
      <c r="K93" s="3">
        <f t="shared" si="6"/>
        <v>30</v>
      </c>
      <c r="L93" s="3">
        <f t="shared" si="7"/>
        <v>6107</v>
      </c>
      <c r="M93" s="3">
        <v>14900000</v>
      </c>
    </row>
    <row r="94" spans="1:13" s="18" customFormat="1" outlineLevel="2">
      <c r="A94" s="19" t="s">
        <v>20</v>
      </c>
      <c r="B94" s="20" t="s">
        <v>122</v>
      </c>
      <c r="C94" s="21" t="s">
        <v>160</v>
      </c>
      <c r="D94" s="20" t="s">
        <v>159</v>
      </c>
      <c r="E94" s="3">
        <v>30000000</v>
      </c>
      <c r="F94" s="19">
        <v>44050</v>
      </c>
      <c r="G94" s="3">
        <v>30000000</v>
      </c>
      <c r="H94" s="2">
        <v>5.0000000000000001E-3</v>
      </c>
      <c r="I94" s="19">
        <v>44075</v>
      </c>
      <c r="J94" s="19">
        <v>44104</v>
      </c>
      <c r="K94" s="3">
        <f t="shared" si="6"/>
        <v>30</v>
      </c>
      <c r="L94" s="3">
        <f t="shared" si="7"/>
        <v>12295</v>
      </c>
      <c r="M94" s="3">
        <v>30000000</v>
      </c>
    </row>
    <row r="95" spans="1:13" s="18" customFormat="1" outlineLevel="2">
      <c r="A95" s="19" t="s">
        <v>20</v>
      </c>
      <c r="B95" s="20" t="s">
        <v>121</v>
      </c>
      <c r="C95" s="21" t="s">
        <v>135</v>
      </c>
      <c r="D95" s="20" t="s">
        <v>134</v>
      </c>
      <c r="E95" s="3">
        <v>72450000</v>
      </c>
      <c r="F95" s="19">
        <v>44064</v>
      </c>
      <c r="G95" s="3">
        <v>72450000</v>
      </c>
      <c r="H95" s="2">
        <v>5.0000000000000001E-3</v>
      </c>
      <c r="I95" s="19">
        <v>44075</v>
      </c>
      <c r="J95" s="19">
        <v>44104</v>
      </c>
      <c r="K95" s="3">
        <f t="shared" si="6"/>
        <v>30</v>
      </c>
      <c r="L95" s="3">
        <f t="shared" si="7"/>
        <v>29693</v>
      </c>
      <c r="M95" s="3">
        <v>72450000</v>
      </c>
    </row>
    <row r="96" spans="1:13" s="18" customFormat="1" outlineLevel="2">
      <c r="A96" s="19" t="s">
        <v>20</v>
      </c>
      <c r="B96" s="20" t="s">
        <v>120</v>
      </c>
      <c r="C96" s="21" t="s">
        <v>141</v>
      </c>
      <c r="D96" s="20" t="s">
        <v>140</v>
      </c>
      <c r="E96" s="3">
        <v>77500000</v>
      </c>
      <c r="F96" s="19">
        <v>44060</v>
      </c>
      <c r="G96" s="3">
        <v>77500000</v>
      </c>
      <c r="H96" s="2">
        <v>5.0000000000000001E-3</v>
      </c>
      <c r="I96" s="19">
        <v>44075</v>
      </c>
      <c r="J96" s="19">
        <v>44104</v>
      </c>
      <c r="K96" s="3">
        <f t="shared" si="6"/>
        <v>30</v>
      </c>
      <c r="L96" s="3">
        <f t="shared" si="7"/>
        <v>31762</v>
      </c>
      <c r="M96" s="3">
        <v>77500000</v>
      </c>
    </row>
    <row r="97" spans="1:13" s="18" customFormat="1" outlineLevel="2">
      <c r="A97" s="19" t="s">
        <v>20</v>
      </c>
      <c r="B97" s="20" t="s">
        <v>147</v>
      </c>
      <c r="C97" s="21" t="s">
        <v>135</v>
      </c>
      <c r="D97" s="20" t="s">
        <v>134</v>
      </c>
      <c r="E97" s="3">
        <v>160000000</v>
      </c>
      <c r="F97" s="19">
        <v>44098</v>
      </c>
      <c r="G97" s="3">
        <v>160000000</v>
      </c>
      <c r="H97" s="2">
        <v>5.0000000000000001E-3</v>
      </c>
      <c r="I97" s="19">
        <v>44098</v>
      </c>
      <c r="J97" s="19">
        <v>44104</v>
      </c>
      <c r="K97" s="3">
        <f t="shared" si="6"/>
        <v>7</v>
      </c>
      <c r="L97" s="3">
        <f t="shared" si="7"/>
        <v>15301</v>
      </c>
      <c r="M97" s="3">
        <v>160000000</v>
      </c>
    </row>
    <row r="98" spans="1:13" s="18" customFormat="1" outlineLevel="2">
      <c r="A98" s="19" t="s">
        <v>20</v>
      </c>
      <c r="B98" s="20" t="s">
        <v>146</v>
      </c>
      <c r="C98" s="21" t="s">
        <v>203</v>
      </c>
      <c r="D98" s="20" t="s">
        <v>202</v>
      </c>
      <c r="E98" s="3">
        <v>73100000</v>
      </c>
      <c r="F98" s="19">
        <v>44095</v>
      </c>
      <c r="G98" s="3">
        <v>73100000</v>
      </c>
      <c r="H98" s="2">
        <v>5.0000000000000001E-3</v>
      </c>
      <c r="I98" s="19">
        <v>44095</v>
      </c>
      <c r="J98" s="19">
        <v>44104</v>
      </c>
      <c r="K98" s="3">
        <f t="shared" si="6"/>
        <v>10</v>
      </c>
      <c r="L98" s="3">
        <f t="shared" si="7"/>
        <v>9986</v>
      </c>
      <c r="M98" s="3">
        <v>73100000</v>
      </c>
    </row>
    <row r="99" spans="1:13" s="18" customFormat="1" outlineLevel="2">
      <c r="A99" s="19" t="s">
        <v>20</v>
      </c>
      <c r="B99" s="20" t="s">
        <v>29</v>
      </c>
      <c r="C99" s="21" t="s">
        <v>69</v>
      </c>
      <c r="D99" s="20" t="s">
        <v>68</v>
      </c>
      <c r="E99" s="3">
        <v>60000000</v>
      </c>
      <c r="F99" s="19">
        <v>43922</v>
      </c>
      <c r="G99" s="3">
        <v>60000000</v>
      </c>
      <c r="H99" s="2">
        <v>3.0000000000000001E-3</v>
      </c>
      <c r="I99" s="19">
        <v>44075</v>
      </c>
      <c r="J99" s="19">
        <v>44104</v>
      </c>
      <c r="K99" s="3">
        <f t="shared" si="6"/>
        <v>30</v>
      </c>
      <c r="L99" s="3">
        <f t="shared" si="7"/>
        <v>14754</v>
      </c>
      <c r="M99" s="3">
        <v>60000000</v>
      </c>
    </row>
    <row r="100" spans="1:13" s="18" customFormat="1" outlineLevel="2">
      <c r="A100" s="19" t="s">
        <v>20</v>
      </c>
      <c r="B100" s="20" t="s">
        <v>30</v>
      </c>
      <c r="C100" s="21" t="s">
        <v>69</v>
      </c>
      <c r="D100" s="20" t="s">
        <v>68</v>
      </c>
      <c r="E100" s="3">
        <v>144000000</v>
      </c>
      <c r="F100" s="19">
        <v>43922</v>
      </c>
      <c r="G100" s="3">
        <v>144000000</v>
      </c>
      <c r="H100" s="2">
        <v>5.0000000000000001E-3</v>
      </c>
      <c r="I100" s="19">
        <v>44075</v>
      </c>
      <c r="J100" s="19">
        <v>44104</v>
      </c>
      <c r="K100" s="3">
        <f t="shared" si="6"/>
        <v>30</v>
      </c>
      <c r="L100" s="3">
        <f t="shared" si="7"/>
        <v>59016</v>
      </c>
      <c r="M100" s="3">
        <v>144000000</v>
      </c>
    </row>
    <row r="101" spans="1:13" s="18" customFormat="1" outlineLevel="2">
      <c r="A101" s="19" t="s">
        <v>20</v>
      </c>
      <c r="B101" s="20" t="s">
        <v>31</v>
      </c>
      <c r="C101" s="21" t="s">
        <v>115</v>
      </c>
      <c r="D101" s="20" t="s">
        <v>114</v>
      </c>
      <c r="E101" s="3">
        <v>34480000</v>
      </c>
      <c r="F101" s="19">
        <v>43980</v>
      </c>
      <c r="G101" s="3">
        <v>34480000</v>
      </c>
      <c r="H101" s="2">
        <v>5.0000000000000001E-3</v>
      </c>
      <c r="I101" s="19">
        <v>44075</v>
      </c>
      <c r="J101" s="19">
        <v>44104</v>
      </c>
      <c r="K101" s="3">
        <f t="shared" si="6"/>
        <v>30</v>
      </c>
      <c r="L101" s="3">
        <f t="shared" si="7"/>
        <v>14131</v>
      </c>
      <c r="M101" s="3">
        <v>34480000</v>
      </c>
    </row>
    <row r="102" spans="1:13" s="18" customFormat="1" outlineLevel="2">
      <c r="A102" s="19" t="s">
        <v>20</v>
      </c>
      <c r="B102" s="20" t="s">
        <v>32</v>
      </c>
      <c r="C102" s="21" t="s">
        <v>113</v>
      </c>
      <c r="D102" s="20" t="s">
        <v>112</v>
      </c>
      <c r="E102" s="3">
        <v>56000000</v>
      </c>
      <c r="F102" s="19">
        <v>43966</v>
      </c>
      <c r="G102" s="3">
        <v>56000000</v>
      </c>
      <c r="H102" s="2">
        <v>5.0000000000000001E-3</v>
      </c>
      <c r="I102" s="19">
        <v>44075</v>
      </c>
      <c r="J102" s="19">
        <v>44104</v>
      </c>
      <c r="K102" s="3">
        <f t="shared" si="6"/>
        <v>30</v>
      </c>
      <c r="L102" s="3">
        <f t="shared" si="7"/>
        <v>22951</v>
      </c>
      <c r="M102" s="3">
        <v>56000000</v>
      </c>
    </row>
    <row r="103" spans="1:13" s="18" customFormat="1" outlineLevel="2">
      <c r="A103" s="19" t="s">
        <v>20</v>
      </c>
      <c r="B103" s="20" t="s">
        <v>48</v>
      </c>
      <c r="C103" s="21" t="s">
        <v>69</v>
      </c>
      <c r="D103" s="20" t="s">
        <v>68</v>
      </c>
      <c r="E103" s="3">
        <v>150000000</v>
      </c>
      <c r="F103" s="19">
        <v>43958</v>
      </c>
      <c r="G103" s="3">
        <v>150000000</v>
      </c>
      <c r="H103" s="2">
        <v>5.0000000000000001E-3</v>
      </c>
      <c r="I103" s="19">
        <v>44075</v>
      </c>
      <c r="J103" s="19">
        <v>44104</v>
      </c>
      <c r="K103" s="3">
        <f t="shared" si="6"/>
        <v>30</v>
      </c>
      <c r="L103" s="3">
        <f t="shared" si="7"/>
        <v>61475</v>
      </c>
      <c r="M103" s="3">
        <v>150000000</v>
      </c>
    </row>
    <row r="104" spans="1:13" s="18" customFormat="1" outlineLevel="2">
      <c r="A104" s="19" t="s">
        <v>20</v>
      </c>
      <c r="B104" s="20" t="s">
        <v>59</v>
      </c>
      <c r="C104" s="21" t="s">
        <v>115</v>
      </c>
      <c r="D104" s="20" t="s">
        <v>114</v>
      </c>
      <c r="E104" s="3">
        <v>5000000</v>
      </c>
      <c r="F104" s="19">
        <v>43998</v>
      </c>
      <c r="G104" s="3">
        <v>5000000</v>
      </c>
      <c r="H104" s="2">
        <v>5.0000000000000001E-3</v>
      </c>
      <c r="I104" s="19">
        <v>44075</v>
      </c>
      <c r="J104" s="19">
        <v>44104</v>
      </c>
      <c r="K104" s="3">
        <f t="shared" si="6"/>
        <v>30</v>
      </c>
      <c r="L104" s="3">
        <f t="shared" si="7"/>
        <v>2049</v>
      </c>
      <c r="M104" s="3">
        <v>5000000</v>
      </c>
    </row>
    <row r="105" spans="1:13" s="18" customFormat="1" outlineLevel="2">
      <c r="A105" s="19" t="s">
        <v>20</v>
      </c>
      <c r="B105" s="20" t="s">
        <v>58</v>
      </c>
      <c r="C105" s="21" t="s">
        <v>115</v>
      </c>
      <c r="D105" s="20" t="s">
        <v>114</v>
      </c>
      <c r="E105" s="3">
        <v>17292000</v>
      </c>
      <c r="F105" s="19">
        <v>44002</v>
      </c>
      <c r="G105" s="3">
        <v>17292000</v>
      </c>
      <c r="H105" s="2">
        <v>5.0000000000000001E-3</v>
      </c>
      <c r="I105" s="19">
        <v>44075</v>
      </c>
      <c r="J105" s="19">
        <v>44104</v>
      </c>
      <c r="K105" s="3">
        <f t="shared" si="6"/>
        <v>30</v>
      </c>
      <c r="L105" s="3">
        <f t="shared" si="7"/>
        <v>7087</v>
      </c>
      <c r="M105" s="3">
        <v>17292000</v>
      </c>
    </row>
    <row r="106" spans="1:13" s="18" customFormat="1" ht="13.5" outlineLevel="1">
      <c r="A106" s="22" t="s">
        <v>25</v>
      </c>
      <c r="B106" s="23"/>
      <c r="C106" s="24"/>
      <c r="D106" s="23"/>
      <c r="E106" s="25">
        <f>SUBTOTAL(9,E78:E105)</f>
        <v>2647264000</v>
      </c>
      <c r="F106" s="26"/>
      <c r="G106" s="25"/>
      <c r="H106" s="27"/>
      <c r="I106" s="26"/>
      <c r="J106" s="26"/>
      <c r="K106" s="25"/>
      <c r="L106" s="25">
        <f>SUBTOTAL(9,L78:L105)</f>
        <v>914218</v>
      </c>
      <c r="M106" s="25">
        <f>SUBTOTAL(9,M78:M105)</f>
        <v>2608029400</v>
      </c>
    </row>
    <row r="107" spans="1:13" s="18" customFormat="1" outlineLevel="2">
      <c r="A107" s="19" t="s">
        <v>26</v>
      </c>
      <c r="B107" s="20" t="s">
        <v>16</v>
      </c>
      <c r="C107" s="21" t="s">
        <v>27</v>
      </c>
      <c r="D107" s="20" t="s">
        <v>28</v>
      </c>
      <c r="E107" s="3">
        <v>38000000</v>
      </c>
      <c r="F107" s="19">
        <v>43762</v>
      </c>
      <c r="G107" s="3">
        <v>38000000</v>
      </c>
      <c r="H107" s="2">
        <v>5.0000000000000001E-3</v>
      </c>
      <c r="I107" s="19">
        <v>44075</v>
      </c>
      <c r="J107" s="19">
        <v>44104</v>
      </c>
      <c r="K107" s="3">
        <f t="shared" ref="K107:K138" si="8">J107-I107+1</f>
        <v>30</v>
      </c>
      <c r="L107" s="3">
        <f t="shared" ref="L107:L138" si="9">ROUND(G107*H107*K107/366,0)</f>
        <v>15574</v>
      </c>
      <c r="M107" s="3">
        <v>38000000</v>
      </c>
    </row>
    <row r="108" spans="1:13" s="18" customFormat="1" outlineLevel="2">
      <c r="A108" s="19" t="s">
        <v>26</v>
      </c>
      <c r="B108" s="20" t="s">
        <v>61</v>
      </c>
      <c r="C108" s="21" t="s">
        <v>74</v>
      </c>
      <c r="D108" s="20" t="s">
        <v>73</v>
      </c>
      <c r="E108" s="3">
        <v>110000000</v>
      </c>
      <c r="F108" s="19">
        <v>43913</v>
      </c>
      <c r="G108" s="3">
        <v>110000000</v>
      </c>
      <c r="H108" s="2">
        <v>5.0000000000000001E-3</v>
      </c>
      <c r="I108" s="19">
        <v>44075</v>
      </c>
      <c r="J108" s="19">
        <v>44104</v>
      </c>
      <c r="K108" s="3">
        <f t="shared" si="8"/>
        <v>30</v>
      </c>
      <c r="L108" s="3">
        <f t="shared" si="9"/>
        <v>45082</v>
      </c>
      <c r="M108" s="3">
        <v>110000000</v>
      </c>
    </row>
    <row r="109" spans="1:13" s="18" customFormat="1" outlineLevel="2">
      <c r="A109" s="19" t="s">
        <v>26</v>
      </c>
      <c r="B109" s="20" t="s">
        <v>60</v>
      </c>
      <c r="C109" s="21" t="s">
        <v>33</v>
      </c>
      <c r="D109" s="20" t="s">
        <v>34</v>
      </c>
      <c r="E109" s="3">
        <v>95655336</v>
      </c>
      <c r="F109" s="19">
        <v>43951</v>
      </c>
      <c r="G109" s="3">
        <v>95655336</v>
      </c>
      <c r="H109" s="2">
        <v>5.0000000000000001E-3</v>
      </c>
      <c r="I109" s="19">
        <v>44075</v>
      </c>
      <c r="J109" s="19">
        <v>44104</v>
      </c>
      <c r="K109" s="3">
        <f t="shared" si="8"/>
        <v>30</v>
      </c>
      <c r="L109" s="3">
        <f t="shared" si="9"/>
        <v>39203</v>
      </c>
      <c r="M109" s="3">
        <v>95655336</v>
      </c>
    </row>
    <row r="110" spans="1:13" s="18" customFormat="1" outlineLevel="2">
      <c r="A110" s="19" t="s">
        <v>26</v>
      </c>
      <c r="B110" s="20" t="s">
        <v>66</v>
      </c>
      <c r="C110" s="21" t="s">
        <v>27</v>
      </c>
      <c r="D110" s="20" t="s">
        <v>28</v>
      </c>
      <c r="E110" s="3">
        <v>38000000</v>
      </c>
      <c r="F110" s="19">
        <v>43962</v>
      </c>
      <c r="G110" s="3">
        <v>38000000</v>
      </c>
      <c r="H110" s="2">
        <v>5.0000000000000001E-3</v>
      </c>
      <c r="I110" s="19">
        <v>44075</v>
      </c>
      <c r="J110" s="19">
        <v>44104</v>
      </c>
      <c r="K110" s="3">
        <f t="shared" si="8"/>
        <v>30</v>
      </c>
      <c r="L110" s="3">
        <f t="shared" si="9"/>
        <v>15574</v>
      </c>
      <c r="M110" s="3">
        <v>38000000</v>
      </c>
    </row>
    <row r="111" spans="1:13" s="18" customFormat="1" outlineLevel="2">
      <c r="A111" s="19" t="s">
        <v>26</v>
      </c>
      <c r="B111" s="20" t="s">
        <v>65</v>
      </c>
      <c r="C111" s="21" t="s">
        <v>27</v>
      </c>
      <c r="D111" s="20" t="s">
        <v>28</v>
      </c>
      <c r="E111" s="3">
        <v>10500000</v>
      </c>
      <c r="F111" s="19">
        <v>43962</v>
      </c>
      <c r="G111" s="3">
        <v>10500000</v>
      </c>
      <c r="H111" s="2">
        <v>5.0000000000000001E-3</v>
      </c>
      <c r="I111" s="19">
        <v>44075</v>
      </c>
      <c r="J111" s="19">
        <v>44104</v>
      </c>
      <c r="K111" s="3">
        <f t="shared" si="8"/>
        <v>30</v>
      </c>
      <c r="L111" s="3">
        <f t="shared" si="9"/>
        <v>4303</v>
      </c>
      <c r="M111" s="3">
        <v>10500000</v>
      </c>
    </row>
    <row r="112" spans="1:13" s="18" customFormat="1" outlineLevel="2">
      <c r="A112" s="19" t="s">
        <v>26</v>
      </c>
      <c r="B112" s="20" t="s">
        <v>64</v>
      </c>
      <c r="C112" s="21" t="s">
        <v>192</v>
      </c>
      <c r="D112" s="20" t="s">
        <v>110</v>
      </c>
      <c r="E112" s="3">
        <v>160000000</v>
      </c>
      <c r="F112" s="19">
        <v>43970</v>
      </c>
      <c r="G112" s="3">
        <v>160000000</v>
      </c>
      <c r="H112" s="2">
        <v>5.0000000000000001E-3</v>
      </c>
      <c r="I112" s="19">
        <v>44075</v>
      </c>
      <c r="J112" s="19">
        <v>44104</v>
      </c>
      <c r="K112" s="3">
        <f t="shared" si="8"/>
        <v>30</v>
      </c>
      <c r="L112" s="3">
        <f t="shared" si="9"/>
        <v>65574</v>
      </c>
      <c r="M112" s="3">
        <v>160000000</v>
      </c>
    </row>
    <row r="113" spans="1:13" s="18" customFormat="1" outlineLevel="2">
      <c r="A113" s="19" t="s">
        <v>26</v>
      </c>
      <c r="B113" s="20" t="s">
        <v>85</v>
      </c>
      <c r="C113" s="21" t="s">
        <v>109</v>
      </c>
      <c r="D113" s="20" t="s">
        <v>34</v>
      </c>
      <c r="E113" s="3">
        <v>13104000</v>
      </c>
      <c r="F113" s="19">
        <v>43979</v>
      </c>
      <c r="G113" s="3">
        <v>13104000</v>
      </c>
      <c r="H113" s="2">
        <v>5.0000000000000001E-3</v>
      </c>
      <c r="I113" s="19">
        <v>44075</v>
      </c>
      <c r="J113" s="19">
        <v>44104</v>
      </c>
      <c r="K113" s="3">
        <f t="shared" si="8"/>
        <v>30</v>
      </c>
      <c r="L113" s="3">
        <f t="shared" si="9"/>
        <v>5370</v>
      </c>
      <c r="M113" s="3">
        <v>13104000</v>
      </c>
    </row>
    <row r="114" spans="1:13" s="18" customFormat="1" outlineLevel="2">
      <c r="A114" s="19" t="s">
        <v>26</v>
      </c>
      <c r="B114" s="20" t="s">
        <v>84</v>
      </c>
      <c r="C114" s="21" t="s">
        <v>130</v>
      </c>
      <c r="D114" s="20" t="s">
        <v>129</v>
      </c>
      <c r="E114" s="3">
        <v>6550000</v>
      </c>
      <c r="F114" s="19">
        <v>43993</v>
      </c>
      <c r="G114" s="3">
        <v>6550000</v>
      </c>
      <c r="H114" s="2">
        <v>5.0000000000000001E-3</v>
      </c>
      <c r="I114" s="19">
        <v>44075</v>
      </c>
      <c r="J114" s="19">
        <v>44104</v>
      </c>
      <c r="K114" s="3">
        <f t="shared" si="8"/>
        <v>30</v>
      </c>
      <c r="L114" s="3">
        <f t="shared" si="9"/>
        <v>2684</v>
      </c>
      <c r="M114" s="3">
        <v>6550000</v>
      </c>
    </row>
    <row r="115" spans="1:13" s="18" customFormat="1" outlineLevel="2">
      <c r="A115" s="19" t="s">
        <v>26</v>
      </c>
      <c r="B115" s="20" t="s">
        <v>83</v>
      </c>
      <c r="C115" s="21" t="s">
        <v>130</v>
      </c>
      <c r="D115" s="20" t="s">
        <v>129</v>
      </c>
      <c r="E115" s="3">
        <v>19710000</v>
      </c>
      <c r="F115" s="19">
        <v>43993</v>
      </c>
      <c r="G115" s="3">
        <v>19710000</v>
      </c>
      <c r="H115" s="2">
        <v>5.0000000000000001E-3</v>
      </c>
      <c r="I115" s="19">
        <v>44075</v>
      </c>
      <c r="J115" s="19">
        <v>44104</v>
      </c>
      <c r="K115" s="3">
        <f t="shared" si="8"/>
        <v>30</v>
      </c>
      <c r="L115" s="3">
        <f t="shared" si="9"/>
        <v>8078</v>
      </c>
      <c r="M115" s="3">
        <v>19710000</v>
      </c>
    </row>
    <row r="116" spans="1:13" s="18" customFormat="1" outlineLevel="2">
      <c r="A116" s="19" t="s">
        <v>26</v>
      </c>
      <c r="B116" s="20" t="s">
        <v>102</v>
      </c>
      <c r="C116" s="21" t="s">
        <v>130</v>
      </c>
      <c r="D116" s="20" t="s">
        <v>129</v>
      </c>
      <c r="E116" s="3">
        <v>16860000</v>
      </c>
      <c r="F116" s="19">
        <v>43993</v>
      </c>
      <c r="G116" s="3">
        <v>16860000</v>
      </c>
      <c r="H116" s="2">
        <v>5.0000000000000001E-3</v>
      </c>
      <c r="I116" s="19">
        <v>44075</v>
      </c>
      <c r="J116" s="19">
        <v>44104</v>
      </c>
      <c r="K116" s="3">
        <f t="shared" si="8"/>
        <v>30</v>
      </c>
      <c r="L116" s="3">
        <f t="shared" si="9"/>
        <v>6910</v>
      </c>
      <c r="M116" s="3">
        <v>16860000</v>
      </c>
    </row>
    <row r="117" spans="1:13" s="18" customFormat="1" outlineLevel="2">
      <c r="A117" s="19" t="s">
        <v>26</v>
      </c>
      <c r="B117" s="20" t="s">
        <v>101</v>
      </c>
      <c r="C117" s="21" t="s">
        <v>128</v>
      </c>
      <c r="D117" s="20" t="s">
        <v>127</v>
      </c>
      <c r="E117" s="3">
        <v>240000000</v>
      </c>
      <c r="F117" s="19">
        <v>44000</v>
      </c>
      <c r="G117" s="3">
        <v>240000000</v>
      </c>
      <c r="H117" s="2">
        <v>5.0000000000000001E-3</v>
      </c>
      <c r="I117" s="19">
        <v>44075</v>
      </c>
      <c r="J117" s="19">
        <v>44104</v>
      </c>
      <c r="K117" s="3">
        <f t="shared" si="8"/>
        <v>30</v>
      </c>
      <c r="L117" s="3">
        <f t="shared" si="9"/>
        <v>98361</v>
      </c>
      <c r="M117" s="3">
        <v>240000000</v>
      </c>
    </row>
    <row r="118" spans="1:13" s="18" customFormat="1" outlineLevel="2">
      <c r="A118" s="19" t="s">
        <v>26</v>
      </c>
      <c r="B118" s="20" t="s">
        <v>23</v>
      </c>
      <c r="C118" s="21" t="s">
        <v>27</v>
      </c>
      <c r="D118" s="20" t="s">
        <v>28</v>
      </c>
      <c r="E118" s="3">
        <v>57000000</v>
      </c>
      <c r="F118" s="19">
        <v>43822</v>
      </c>
      <c r="G118" s="3">
        <v>57000000</v>
      </c>
      <c r="H118" s="2">
        <v>5.0000000000000001E-3</v>
      </c>
      <c r="I118" s="19">
        <v>44075</v>
      </c>
      <c r="J118" s="19">
        <v>44104</v>
      </c>
      <c r="K118" s="3">
        <f t="shared" si="8"/>
        <v>30</v>
      </c>
      <c r="L118" s="3">
        <f t="shared" si="9"/>
        <v>23361</v>
      </c>
      <c r="M118" s="3">
        <v>57000000</v>
      </c>
    </row>
    <row r="119" spans="1:13" s="18" customFormat="1" outlineLevel="2">
      <c r="A119" s="19" t="s">
        <v>26</v>
      </c>
      <c r="B119" s="20" t="s">
        <v>100</v>
      </c>
      <c r="C119" s="21" t="s">
        <v>192</v>
      </c>
      <c r="D119" s="20" t="s">
        <v>110</v>
      </c>
      <c r="E119" s="3">
        <v>55000000</v>
      </c>
      <c r="F119" s="19">
        <v>44001</v>
      </c>
      <c r="G119" s="3">
        <v>55000000</v>
      </c>
      <c r="H119" s="2">
        <v>5.0000000000000001E-3</v>
      </c>
      <c r="I119" s="19">
        <v>44075</v>
      </c>
      <c r="J119" s="19">
        <v>44104</v>
      </c>
      <c r="K119" s="3">
        <f t="shared" si="8"/>
        <v>30</v>
      </c>
      <c r="L119" s="3">
        <f t="shared" si="9"/>
        <v>22541</v>
      </c>
      <c r="M119" s="3">
        <v>55000000</v>
      </c>
    </row>
    <row r="120" spans="1:13" s="18" customFormat="1" outlineLevel="2">
      <c r="A120" s="19" t="s">
        <v>26</v>
      </c>
      <c r="B120" s="20" t="s">
        <v>99</v>
      </c>
      <c r="C120" s="21" t="s">
        <v>126</v>
      </c>
      <c r="D120" s="20" t="s">
        <v>125</v>
      </c>
      <c r="E120" s="3">
        <v>8907064</v>
      </c>
      <c r="F120" s="19">
        <v>44006</v>
      </c>
      <c r="G120" s="3">
        <v>8907064</v>
      </c>
      <c r="H120" s="2">
        <v>5.0000000000000001E-3</v>
      </c>
      <c r="I120" s="19">
        <v>44075</v>
      </c>
      <c r="J120" s="19">
        <v>44104</v>
      </c>
      <c r="K120" s="3">
        <f t="shared" si="8"/>
        <v>30</v>
      </c>
      <c r="L120" s="3">
        <f t="shared" si="9"/>
        <v>3650</v>
      </c>
      <c r="M120" s="3">
        <v>8907064</v>
      </c>
    </row>
    <row r="121" spans="1:13" s="18" customFormat="1" outlineLevel="2">
      <c r="A121" s="19" t="s">
        <v>26</v>
      </c>
      <c r="B121" s="20" t="s">
        <v>98</v>
      </c>
      <c r="C121" s="21" t="s">
        <v>33</v>
      </c>
      <c r="D121" s="20" t="s">
        <v>34</v>
      </c>
      <c r="E121" s="3">
        <v>7560000</v>
      </c>
      <c r="F121" s="19">
        <v>44018</v>
      </c>
      <c r="G121" s="3">
        <v>7560000</v>
      </c>
      <c r="H121" s="2">
        <v>5.0000000000000001E-3</v>
      </c>
      <c r="I121" s="19">
        <v>44075</v>
      </c>
      <c r="J121" s="19">
        <v>44104</v>
      </c>
      <c r="K121" s="3">
        <f t="shared" si="8"/>
        <v>30</v>
      </c>
      <c r="L121" s="3">
        <f t="shared" si="9"/>
        <v>3098</v>
      </c>
      <c r="M121" s="3">
        <v>7560000</v>
      </c>
    </row>
    <row r="122" spans="1:13" s="18" customFormat="1" outlineLevel="2">
      <c r="A122" s="19" t="s">
        <v>26</v>
      </c>
      <c r="B122" s="20" t="s">
        <v>122</v>
      </c>
      <c r="C122" s="21" t="s">
        <v>27</v>
      </c>
      <c r="D122" s="20" t="s">
        <v>28</v>
      </c>
      <c r="E122" s="3">
        <v>38000000</v>
      </c>
      <c r="F122" s="19">
        <v>44022</v>
      </c>
      <c r="G122" s="3">
        <v>38000000</v>
      </c>
      <c r="H122" s="2">
        <v>5.0000000000000001E-3</v>
      </c>
      <c r="I122" s="19">
        <v>44075</v>
      </c>
      <c r="J122" s="19">
        <v>44104</v>
      </c>
      <c r="K122" s="3">
        <f t="shared" si="8"/>
        <v>30</v>
      </c>
      <c r="L122" s="3">
        <f t="shared" si="9"/>
        <v>15574</v>
      </c>
      <c r="M122" s="3">
        <v>38000000</v>
      </c>
    </row>
    <row r="123" spans="1:13" s="18" customFormat="1" outlineLevel="2">
      <c r="A123" s="19" t="s">
        <v>26</v>
      </c>
      <c r="B123" s="20" t="s">
        <v>121</v>
      </c>
      <c r="C123" s="21" t="s">
        <v>27</v>
      </c>
      <c r="D123" s="20" t="s">
        <v>28</v>
      </c>
      <c r="E123" s="3">
        <v>10500000</v>
      </c>
      <c r="F123" s="19">
        <v>44022</v>
      </c>
      <c r="G123" s="3">
        <v>10500000</v>
      </c>
      <c r="H123" s="2">
        <v>5.0000000000000001E-3</v>
      </c>
      <c r="I123" s="19">
        <v>44075</v>
      </c>
      <c r="J123" s="19">
        <v>44104</v>
      </c>
      <c r="K123" s="3">
        <f t="shared" si="8"/>
        <v>30</v>
      </c>
      <c r="L123" s="3">
        <f t="shared" si="9"/>
        <v>4303</v>
      </c>
      <c r="M123" s="3">
        <v>10500000</v>
      </c>
    </row>
    <row r="124" spans="1:13" s="18" customFormat="1" outlineLevel="2">
      <c r="A124" s="19" t="s">
        <v>26</v>
      </c>
      <c r="B124" s="20" t="s">
        <v>120</v>
      </c>
      <c r="C124" s="21" t="s">
        <v>156</v>
      </c>
      <c r="D124" s="20" t="s">
        <v>155</v>
      </c>
      <c r="E124" s="3">
        <v>72000000</v>
      </c>
      <c r="F124" s="19">
        <v>44025</v>
      </c>
      <c r="G124" s="3">
        <v>71394958</v>
      </c>
      <c r="H124" s="2">
        <v>5.0000000000000001E-3</v>
      </c>
      <c r="I124" s="19">
        <v>44075</v>
      </c>
      <c r="J124" s="19">
        <v>44088</v>
      </c>
      <c r="K124" s="3">
        <f t="shared" si="8"/>
        <v>14</v>
      </c>
      <c r="L124" s="3">
        <f t="shared" si="9"/>
        <v>13655</v>
      </c>
      <c r="M124" s="3">
        <v>70789916</v>
      </c>
    </row>
    <row r="125" spans="1:13" s="18" customFormat="1" outlineLevel="2">
      <c r="A125" s="19" t="s">
        <v>26</v>
      </c>
      <c r="B125" s="20" t="s">
        <v>120</v>
      </c>
      <c r="C125" s="21" t="s">
        <v>156</v>
      </c>
      <c r="D125" s="20"/>
      <c r="E125" s="3"/>
      <c r="F125" s="19"/>
      <c r="G125" s="3">
        <v>70789916</v>
      </c>
      <c r="H125" s="2">
        <v>5.0000000000000001E-3</v>
      </c>
      <c r="I125" s="19">
        <v>44089</v>
      </c>
      <c r="J125" s="19">
        <v>44104</v>
      </c>
      <c r="K125" s="3">
        <f t="shared" si="8"/>
        <v>16</v>
      </c>
      <c r="L125" s="3">
        <f t="shared" si="9"/>
        <v>15473</v>
      </c>
      <c r="M125" s="3"/>
    </row>
    <row r="126" spans="1:13" s="18" customFormat="1" outlineLevel="2">
      <c r="A126" s="19" t="s">
        <v>26</v>
      </c>
      <c r="B126" s="20" t="s">
        <v>147</v>
      </c>
      <c r="C126" s="21" t="s">
        <v>141</v>
      </c>
      <c r="D126" s="20" t="s">
        <v>140</v>
      </c>
      <c r="E126" s="3">
        <v>87500000</v>
      </c>
      <c r="F126" s="19">
        <v>44027</v>
      </c>
      <c r="G126" s="3">
        <v>87500000</v>
      </c>
      <c r="H126" s="2">
        <v>5.0000000000000001E-3</v>
      </c>
      <c r="I126" s="19">
        <v>44075</v>
      </c>
      <c r="J126" s="19">
        <v>44104</v>
      </c>
      <c r="K126" s="3">
        <f t="shared" si="8"/>
        <v>30</v>
      </c>
      <c r="L126" s="3">
        <f t="shared" si="9"/>
        <v>35861</v>
      </c>
      <c r="M126" s="3">
        <v>87500000</v>
      </c>
    </row>
    <row r="127" spans="1:13" s="18" customFormat="1" outlineLevel="2">
      <c r="A127" s="19" t="s">
        <v>26</v>
      </c>
      <c r="B127" s="20" t="s">
        <v>146</v>
      </c>
      <c r="C127" s="21" t="s">
        <v>154</v>
      </c>
      <c r="D127" s="20" t="s">
        <v>153</v>
      </c>
      <c r="E127" s="3">
        <v>84000000</v>
      </c>
      <c r="F127" s="19">
        <v>44027</v>
      </c>
      <c r="G127" s="3">
        <v>84000000</v>
      </c>
      <c r="H127" s="2">
        <v>5.0000000000000001E-3</v>
      </c>
      <c r="I127" s="19">
        <v>44075</v>
      </c>
      <c r="J127" s="19">
        <v>44104</v>
      </c>
      <c r="K127" s="3">
        <f t="shared" si="8"/>
        <v>30</v>
      </c>
      <c r="L127" s="3">
        <f t="shared" si="9"/>
        <v>34426</v>
      </c>
      <c r="M127" s="3">
        <v>84000000</v>
      </c>
    </row>
    <row r="128" spans="1:13" s="18" customFormat="1" outlineLevel="2">
      <c r="A128" s="19" t="s">
        <v>26</v>
      </c>
      <c r="B128" s="20" t="s">
        <v>145</v>
      </c>
      <c r="C128" s="21" t="s">
        <v>97</v>
      </c>
      <c r="D128" s="20" t="s">
        <v>96</v>
      </c>
      <c r="E128" s="3">
        <v>12230000</v>
      </c>
      <c r="F128" s="19">
        <v>44034</v>
      </c>
      <c r="G128" s="3">
        <v>12230000</v>
      </c>
      <c r="H128" s="2">
        <v>5.0000000000000001E-3</v>
      </c>
      <c r="I128" s="19">
        <v>44075</v>
      </c>
      <c r="J128" s="19">
        <v>44104</v>
      </c>
      <c r="K128" s="3">
        <f t="shared" si="8"/>
        <v>30</v>
      </c>
      <c r="L128" s="3">
        <f t="shared" si="9"/>
        <v>5012</v>
      </c>
      <c r="M128" s="3">
        <v>12230000</v>
      </c>
    </row>
    <row r="129" spans="1:13" s="18" customFormat="1" outlineLevel="2">
      <c r="A129" s="19" t="s">
        <v>26</v>
      </c>
      <c r="B129" s="20" t="s">
        <v>144</v>
      </c>
      <c r="C129" s="21" t="s">
        <v>192</v>
      </c>
      <c r="D129" s="20" t="s">
        <v>110</v>
      </c>
      <c r="E129" s="3">
        <v>40000000</v>
      </c>
      <c r="F129" s="19">
        <v>44040</v>
      </c>
      <c r="G129" s="3">
        <v>40000000</v>
      </c>
      <c r="H129" s="2">
        <v>5.0000000000000001E-3</v>
      </c>
      <c r="I129" s="19">
        <v>44075</v>
      </c>
      <c r="J129" s="19">
        <v>44104</v>
      </c>
      <c r="K129" s="3">
        <f t="shared" si="8"/>
        <v>30</v>
      </c>
      <c r="L129" s="3">
        <f t="shared" si="9"/>
        <v>16393</v>
      </c>
      <c r="M129" s="3">
        <v>40000000</v>
      </c>
    </row>
    <row r="130" spans="1:13" s="18" customFormat="1" outlineLevel="2">
      <c r="A130" s="19" t="s">
        <v>26</v>
      </c>
      <c r="B130" s="20" t="s">
        <v>29</v>
      </c>
      <c r="C130" s="21" t="s">
        <v>21</v>
      </c>
      <c r="D130" s="20" t="s">
        <v>22</v>
      </c>
      <c r="E130" s="3">
        <v>171000000</v>
      </c>
      <c r="F130" s="19">
        <v>43822</v>
      </c>
      <c r="G130" s="3">
        <v>171000000</v>
      </c>
      <c r="H130" s="2">
        <v>5.0000000000000001E-3</v>
      </c>
      <c r="I130" s="19">
        <v>44075</v>
      </c>
      <c r="J130" s="19">
        <v>44104</v>
      </c>
      <c r="K130" s="3">
        <f t="shared" si="8"/>
        <v>30</v>
      </c>
      <c r="L130" s="3">
        <f t="shared" si="9"/>
        <v>70082</v>
      </c>
      <c r="M130" s="3">
        <v>171000000</v>
      </c>
    </row>
    <row r="131" spans="1:13" s="18" customFormat="1" outlineLevel="2">
      <c r="A131" s="19" t="s">
        <v>26</v>
      </c>
      <c r="B131" s="20" t="s">
        <v>143</v>
      </c>
      <c r="C131" s="21" t="s">
        <v>151</v>
      </c>
      <c r="D131" s="20" t="s">
        <v>150</v>
      </c>
      <c r="E131" s="3">
        <v>18000000</v>
      </c>
      <c r="F131" s="19">
        <v>44043</v>
      </c>
      <c r="G131" s="3">
        <v>18000000</v>
      </c>
      <c r="H131" s="2">
        <v>5.0000000000000001E-3</v>
      </c>
      <c r="I131" s="19">
        <v>44075</v>
      </c>
      <c r="J131" s="19">
        <v>44104</v>
      </c>
      <c r="K131" s="3">
        <f t="shared" si="8"/>
        <v>30</v>
      </c>
      <c r="L131" s="3">
        <f t="shared" si="9"/>
        <v>7377</v>
      </c>
      <c r="M131" s="3">
        <v>18000000</v>
      </c>
    </row>
    <row r="132" spans="1:13" s="18" customFormat="1" outlineLevel="2">
      <c r="A132" s="19" t="s">
        <v>26</v>
      </c>
      <c r="B132" s="20" t="s">
        <v>142</v>
      </c>
      <c r="C132" s="21" t="s">
        <v>151</v>
      </c>
      <c r="D132" s="20" t="s">
        <v>150</v>
      </c>
      <c r="E132" s="3">
        <v>21000000</v>
      </c>
      <c r="F132" s="19">
        <v>44043</v>
      </c>
      <c r="G132" s="3">
        <v>21000000</v>
      </c>
      <c r="H132" s="2">
        <v>5.0000000000000001E-3</v>
      </c>
      <c r="I132" s="19">
        <v>44075</v>
      </c>
      <c r="J132" s="19">
        <v>44104</v>
      </c>
      <c r="K132" s="3">
        <f t="shared" si="8"/>
        <v>30</v>
      </c>
      <c r="L132" s="3">
        <f t="shared" si="9"/>
        <v>8607</v>
      </c>
      <c r="M132" s="3">
        <v>21000000</v>
      </c>
    </row>
    <row r="133" spans="1:13" s="18" customFormat="1" outlineLevel="2">
      <c r="A133" s="19" t="s">
        <v>26</v>
      </c>
      <c r="B133" s="20" t="s">
        <v>152</v>
      </c>
      <c r="C133" s="21" t="s">
        <v>151</v>
      </c>
      <c r="D133" s="20" t="s">
        <v>150</v>
      </c>
      <c r="E133" s="3">
        <v>13600000</v>
      </c>
      <c r="F133" s="19">
        <v>44043</v>
      </c>
      <c r="G133" s="3">
        <v>13600000</v>
      </c>
      <c r="H133" s="2">
        <v>5.0000000000000001E-3</v>
      </c>
      <c r="I133" s="19">
        <v>44075</v>
      </c>
      <c r="J133" s="19">
        <v>44104</v>
      </c>
      <c r="K133" s="3">
        <f t="shared" si="8"/>
        <v>30</v>
      </c>
      <c r="L133" s="3">
        <f t="shared" si="9"/>
        <v>5574</v>
      </c>
      <c r="M133" s="3">
        <v>13600000</v>
      </c>
    </row>
    <row r="134" spans="1:13" s="18" customFormat="1" outlineLevel="2">
      <c r="A134" s="19" t="s">
        <v>26</v>
      </c>
      <c r="B134" s="20" t="s">
        <v>168</v>
      </c>
      <c r="C134" s="21" t="s">
        <v>27</v>
      </c>
      <c r="D134" s="20" t="s">
        <v>28</v>
      </c>
      <c r="E134" s="3">
        <v>28000000</v>
      </c>
      <c r="F134" s="19">
        <v>44046</v>
      </c>
      <c r="G134" s="3">
        <v>28000000</v>
      </c>
      <c r="H134" s="2">
        <v>5.0000000000000001E-3</v>
      </c>
      <c r="I134" s="19">
        <v>44075</v>
      </c>
      <c r="J134" s="19">
        <v>44104</v>
      </c>
      <c r="K134" s="3">
        <f t="shared" si="8"/>
        <v>30</v>
      </c>
      <c r="L134" s="3">
        <f t="shared" si="9"/>
        <v>11475</v>
      </c>
      <c r="M134" s="3">
        <v>28000000</v>
      </c>
    </row>
    <row r="135" spans="1:13" s="18" customFormat="1" outlineLevel="2">
      <c r="A135" s="19" t="s">
        <v>26</v>
      </c>
      <c r="B135" s="20" t="s">
        <v>167</v>
      </c>
      <c r="C135" s="21" t="s">
        <v>27</v>
      </c>
      <c r="D135" s="20" t="s">
        <v>28</v>
      </c>
      <c r="E135" s="3">
        <v>2700000</v>
      </c>
      <c r="F135" s="19">
        <v>44056</v>
      </c>
      <c r="G135" s="3">
        <v>2700000</v>
      </c>
      <c r="H135" s="2">
        <v>5.0000000000000001E-3</v>
      </c>
      <c r="I135" s="19">
        <v>44075</v>
      </c>
      <c r="J135" s="19">
        <v>44104</v>
      </c>
      <c r="K135" s="3">
        <f t="shared" si="8"/>
        <v>30</v>
      </c>
      <c r="L135" s="3">
        <f t="shared" si="9"/>
        <v>1107</v>
      </c>
      <c r="M135" s="3">
        <v>2700000</v>
      </c>
    </row>
    <row r="136" spans="1:13" s="18" customFormat="1" outlineLevel="2">
      <c r="A136" s="19" t="s">
        <v>26</v>
      </c>
      <c r="B136" s="20" t="s">
        <v>166</v>
      </c>
      <c r="C136" s="21" t="s">
        <v>27</v>
      </c>
      <c r="D136" s="20" t="s">
        <v>28</v>
      </c>
      <c r="E136" s="3">
        <v>29500000</v>
      </c>
      <c r="F136" s="19">
        <v>44074</v>
      </c>
      <c r="G136" s="3">
        <v>29500000</v>
      </c>
      <c r="H136" s="2">
        <v>5.0000000000000001E-3</v>
      </c>
      <c r="I136" s="19">
        <v>44075</v>
      </c>
      <c r="J136" s="19">
        <v>44104</v>
      </c>
      <c r="K136" s="3">
        <f t="shared" si="8"/>
        <v>30</v>
      </c>
      <c r="L136" s="3">
        <f t="shared" si="9"/>
        <v>12090</v>
      </c>
      <c r="M136" s="3">
        <v>29500000</v>
      </c>
    </row>
    <row r="137" spans="1:13" s="18" customFormat="1" outlineLevel="2">
      <c r="A137" s="19" t="s">
        <v>26</v>
      </c>
      <c r="B137" s="20" t="s">
        <v>165</v>
      </c>
      <c r="C137" s="21" t="s">
        <v>162</v>
      </c>
      <c r="D137" s="20" t="s">
        <v>161</v>
      </c>
      <c r="E137" s="3">
        <v>120000000</v>
      </c>
      <c r="F137" s="19">
        <v>44046</v>
      </c>
      <c r="G137" s="3">
        <v>120000000</v>
      </c>
      <c r="H137" s="2">
        <v>5.0000000000000001E-3</v>
      </c>
      <c r="I137" s="19">
        <v>44075</v>
      </c>
      <c r="J137" s="19">
        <v>44104</v>
      </c>
      <c r="K137" s="3">
        <f t="shared" si="8"/>
        <v>30</v>
      </c>
      <c r="L137" s="3">
        <f t="shared" si="9"/>
        <v>49180</v>
      </c>
      <c r="M137" s="3">
        <v>120000000</v>
      </c>
    </row>
    <row r="138" spans="1:13" s="18" customFormat="1" outlineLevel="2">
      <c r="A138" s="19" t="s">
        <v>26</v>
      </c>
      <c r="B138" s="20" t="s">
        <v>180</v>
      </c>
      <c r="C138" s="21" t="s">
        <v>33</v>
      </c>
      <c r="D138" s="20" t="s">
        <v>34</v>
      </c>
      <c r="E138" s="3">
        <v>8736000</v>
      </c>
      <c r="F138" s="19">
        <v>44047</v>
      </c>
      <c r="G138" s="3">
        <v>8736000</v>
      </c>
      <c r="H138" s="2">
        <v>5.0000000000000001E-3</v>
      </c>
      <c r="I138" s="19">
        <v>44075</v>
      </c>
      <c r="J138" s="19">
        <v>44104</v>
      </c>
      <c r="K138" s="3">
        <f t="shared" si="8"/>
        <v>30</v>
      </c>
      <c r="L138" s="3">
        <f t="shared" si="9"/>
        <v>3580</v>
      </c>
      <c r="M138" s="3">
        <v>8736000</v>
      </c>
    </row>
    <row r="139" spans="1:13" s="18" customFormat="1" outlineLevel="2">
      <c r="A139" s="19" t="s">
        <v>26</v>
      </c>
      <c r="B139" s="20" t="s">
        <v>179</v>
      </c>
      <c r="C139" s="21" t="s">
        <v>33</v>
      </c>
      <c r="D139" s="20" t="s">
        <v>34</v>
      </c>
      <c r="E139" s="3">
        <v>8988000</v>
      </c>
      <c r="F139" s="19">
        <v>44067</v>
      </c>
      <c r="G139" s="3">
        <v>8988000</v>
      </c>
      <c r="H139" s="2">
        <v>5.0000000000000001E-3</v>
      </c>
      <c r="I139" s="19">
        <v>44075</v>
      </c>
      <c r="J139" s="19">
        <v>44104</v>
      </c>
      <c r="K139" s="3">
        <f t="shared" ref="K139:K162" si="10">J139-I139+1</f>
        <v>30</v>
      </c>
      <c r="L139" s="3">
        <f t="shared" ref="L139:L162" si="11">ROUND(G139*H139*K139/366,0)</f>
        <v>3684</v>
      </c>
      <c r="M139" s="3">
        <v>8988000</v>
      </c>
    </row>
    <row r="140" spans="1:13" s="18" customFormat="1" outlineLevel="2">
      <c r="A140" s="19" t="s">
        <v>26</v>
      </c>
      <c r="B140" s="20" t="s">
        <v>178</v>
      </c>
      <c r="C140" s="21" t="s">
        <v>33</v>
      </c>
      <c r="D140" s="20" t="s">
        <v>34</v>
      </c>
      <c r="E140" s="3">
        <v>34608000</v>
      </c>
      <c r="F140" s="19">
        <v>44070</v>
      </c>
      <c r="G140" s="3">
        <v>34608000</v>
      </c>
      <c r="H140" s="2">
        <v>5.0000000000000001E-3</v>
      </c>
      <c r="I140" s="19">
        <v>44075</v>
      </c>
      <c r="J140" s="19">
        <v>44104</v>
      </c>
      <c r="K140" s="3">
        <f t="shared" si="10"/>
        <v>30</v>
      </c>
      <c r="L140" s="3">
        <f t="shared" si="11"/>
        <v>14184</v>
      </c>
      <c r="M140" s="3">
        <v>34608000</v>
      </c>
    </row>
    <row r="141" spans="1:13" s="18" customFormat="1" outlineLevel="2">
      <c r="A141" s="19" t="s">
        <v>26</v>
      </c>
      <c r="B141" s="20" t="s">
        <v>30</v>
      </c>
      <c r="C141" s="21" t="s">
        <v>27</v>
      </c>
      <c r="D141" s="20" t="s">
        <v>28</v>
      </c>
      <c r="E141" s="3">
        <v>38000000</v>
      </c>
      <c r="F141" s="19">
        <v>43850</v>
      </c>
      <c r="G141" s="3">
        <v>38000000</v>
      </c>
      <c r="H141" s="2">
        <v>5.0000000000000001E-3</v>
      </c>
      <c r="I141" s="19">
        <v>44075</v>
      </c>
      <c r="J141" s="19">
        <v>44104</v>
      </c>
      <c r="K141" s="3">
        <f t="shared" si="10"/>
        <v>30</v>
      </c>
      <c r="L141" s="3">
        <f t="shared" si="11"/>
        <v>15574</v>
      </c>
      <c r="M141" s="3">
        <v>38000000</v>
      </c>
    </row>
    <row r="142" spans="1:13" s="18" customFormat="1" outlineLevel="2">
      <c r="A142" s="19" t="s">
        <v>26</v>
      </c>
      <c r="B142" s="20" t="s">
        <v>177</v>
      </c>
      <c r="C142" s="21" t="s">
        <v>175</v>
      </c>
      <c r="D142" s="20" t="s">
        <v>174</v>
      </c>
      <c r="E142" s="3">
        <v>13000000</v>
      </c>
      <c r="F142" s="19">
        <v>44047</v>
      </c>
      <c r="G142" s="3">
        <v>13000000</v>
      </c>
      <c r="H142" s="2">
        <v>5.0000000000000001E-3</v>
      </c>
      <c r="I142" s="19">
        <v>44075</v>
      </c>
      <c r="J142" s="19">
        <v>44104</v>
      </c>
      <c r="K142" s="3">
        <f t="shared" si="10"/>
        <v>30</v>
      </c>
      <c r="L142" s="3">
        <f t="shared" si="11"/>
        <v>5328</v>
      </c>
      <c r="M142" s="3">
        <v>13000000</v>
      </c>
    </row>
    <row r="143" spans="1:13" s="18" customFormat="1" outlineLevel="2">
      <c r="A143" s="19" t="s">
        <v>26</v>
      </c>
      <c r="B143" s="20" t="s">
        <v>176</v>
      </c>
      <c r="C143" s="21" t="s">
        <v>175</v>
      </c>
      <c r="D143" s="20" t="s">
        <v>174</v>
      </c>
      <c r="E143" s="3">
        <v>5000000</v>
      </c>
      <c r="F143" s="19">
        <v>44053</v>
      </c>
      <c r="G143" s="3">
        <v>5000000</v>
      </c>
      <c r="H143" s="2">
        <v>5.0000000000000001E-3</v>
      </c>
      <c r="I143" s="19">
        <v>44075</v>
      </c>
      <c r="J143" s="19">
        <v>44104</v>
      </c>
      <c r="K143" s="3">
        <f t="shared" si="10"/>
        <v>30</v>
      </c>
      <c r="L143" s="3">
        <f t="shared" si="11"/>
        <v>2049</v>
      </c>
      <c r="M143" s="3">
        <v>5000000</v>
      </c>
    </row>
    <row r="144" spans="1:13" s="18" customFormat="1" outlineLevel="2">
      <c r="A144" s="19" t="s">
        <v>26</v>
      </c>
      <c r="B144" s="20" t="s">
        <v>173</v>
      </c>
      <c r="C144" s="21" t="s">
        <v>156</v>
      </c>
      <c r="D144" s="20" t="s">
        <v>155</v>
      </c>
      <c r="E144" s="3">
        <v>5300000</v>
      </c>
      <c r="F144" s="19">
        <v>44050</v>
      </c>
      <c r="G144" s="3">
        <v>5300000</v>
      </c>
      <c r="H144" s="2">
        <v>5.0000000000000001E-3</v>
      </c>
      <c r="I144" s="19">
        <v>44075</v>
      </c>
      <c r="J144" s="19">
        <v>44088</v>
      </c>
      <c r="K144" s="3">
        <f t="shared" si="10"/>
        <v>14</v>
      </c>
      <c r="L144" s="3">
        <f t="shared" si="11"/>
        <v>1014</v>
      </c>
      <c r="M144" s="3">
        <v>5255085</v>
      </c>
    </row>
    <row r="145" spans="1:13" s="18" customFormat="1" outlineLevel="2">
      <c r="A145" s="19" t="s">
        <v>26</v>
      </c>
      <c r="B145" s="20" t="s">
        <v>173</v>
      </c>
      <c r="C145" s="21" t="s">
        <v>156</v>
      </c>
      <c r="D145" s="20"/>
      <c r="E145" s="3"/>
      <c r="F145" s="19"/>
      <c r="G145" s="3">
        <v>5255085</v>
      </c>
      <c r="H145" s="2">
        <v>5.0000000000000001E-3</v>
      </c>
      <c r="I145" s="19">
        <v>44089</v>
      </c>
      <c r="J145" s="19">
        <v>44104</v>
      </c>
      <c r="K145" s="3">
        <f t="shared" si="10"/>
        <v>16</v>
      </c>
      <c r="L145" s="3">
        <f t="shared" si="11"/>
        <v>1149</v>
      </c>
      <c r="M145" s="3"/>
    </row>
    <row r="146" spans="1:13" s="18" customFormat="1" outlineLevel="2">
      <c r="A146" s="19" t="s">
        <v>26</v>
      </c>
      <c r="B146" s="20" t="s">
        <v>172</v>
      </c>
      <c r="C146" s="21" t="s">
        <v>72</v>
      </c>
      <c r="D146" s="20" t="s">
        <v>71</v>
      </c>
      <c r="E146" s="3">
        <v>40000000</v>
      </c>
      <c r="F146" s="19">
        <v>44060</v>
      </c>
      <c r="G146" s="3">
        <v>40000000</v>
      </c>
      <c r="H146" s="2">
        <v>5.0000000000000001E-3</v>
      </c>
      <c r="I146" s="19">
        <v>44075</v>
      </c>
      <c r="J146" s="19">
        <v>44104</v>
      </c>
      <c r="K146" s="3">
        <f t="shared" si="10"/>
        <v>30</v>
      </c>
      <c r="L146" s="3">
        <f t="shared" si="11"/>
        <v>16393</v>
      </c>
      <c r="M146" s="3">
        <v>40000000</v>
      </c>
    </row>
    <row r="147" spans="1:13" s="18" customFormat="1" outlineLevel="2">
      <c r="A147" s="19" t="s">
        <v>26</v>
      </c>
      <c r="B147" s="20" t="s">
        <v>171</v>
      </c>
      <c r="C147" s="21" t="s">
        <v>107</v>
      </c>
      <c r="D147" s="20" t="s">
        <v>106</v>
      </c>
      <c r="E147" s="3">
        <v>10000000</v>
      </c>
      <c r="F147" s="19">
        <v>44067</v>
      </c>
      <c r="G147" s="3">
        <v>10000000</v>
      </c>
      <c r="H147" s="2">
        <v>5.0000000000000001E-3</v>
      </c>
      <c r="I147" s="19">
        <v>44075</v>
      </c>
      <c r="J147" s="19">
        <v>44104</v>
      </c>
      <c r="K147" s="3">
        <f t="shared" si="10"/>
        <v>30</v>
      </c>
      <c r="L147" s="3">
        <f t="shared" si="11"/>
        <v>4098</v>
      </c>
      <c r="M147" s="3">
        <v>10000000</v>
      </c>
    </row>
    <row r="148" spans="1:13" s="18" customFormat="1" outlineLevel="2">
      <c r="A148" s="19" t="s">
        <v>26</v>
      </c>
      <c r="B148" s="20" t="s">
        <v>201</v>
      </c>
      <c r="C148" s="21" t="s">
        <v>162</v>
      </c>
      <c r="D148" s="20" t="s">
        <v>161</v>
      </c>
      <c r="E148" s="3">
        <v>125000000</v>
      </c>
      <c r="F148" s="19">
        <v>44075</v>
      </c>
      <c r="G148" s="3">
        <v>125000000</v>
      </c>
      <c r="H148" s="2">
        <v>5.0000000000000001E-3</v>
      </c>
      <c r="I148" s="19">
        <v>44075</v>
      </c>
      <c r="J148" s="19">
        <v>44104</v>
      </c>
      <c r="K148" s="3">
        <f t="shared" si="10"/>
        <v>30</v>
      </c>
      <c r="L148" s="3">
        <f t="shared" si="11"/>
        <v>51230</v>
      </c>
      <c r="M148" s="3">
        <v>125000000</v>
      </c>
    </row>
    <row r="149" spans="1:13" s="18" customFormat="1" outlineLevel="2">
      <c r="A149" s="19" t="s">
        <v>26</v>
      </c>
      <c r="B149" s="20" t="s">
        <v>200</v>
      </c>
      <c r="C149" s="21" t="s">
        <v>162</v>
      </c>
      <c r="D149" s="20" t="s">
        <v>161</v>
      </c>
      <c r="E149" s="3">
        <v>105000000</v>
      </c>
      <c r="F149" s="19">
        <v>44104</v>
      </c>
      <c r="G149" s="3">
        <v>105000000</v>
      </c>
      <c r="H149" s="2">
        <v>5.0000000000000001E-3</v>
      </c>
      <c r="I149" s="19">
        <v>44104</v>
      </c>
      <c r="J149" s="19">
        <v>44104</v>
      </c>
      <c r="K149" s="3">
        <f t="shared" si="10"/>
        <v>1</v>
      </c>
      <c r="L149" s="3">
        <f t="shared" si="11"/>
        <v>1434</v>
      </c>
      <c r="M149" s="3">
        <v>105000000</v>
      </c>
    </row>
    <row r="150" spans="1:13" s="18" customFormat="1" outlineLevel="2">
      <c r="A150" s="19" t="s">
        <v>26</v>
      </c>
      <c r="B150" s="20" t="s">
        <v>199</v>
      </c>
      <c r="C150" s="21" t="s">
        <v>175</v>
      </c>
      <c r="D150" s="20" t="s">
        <v>174</v>
      </c>
      <c r="E150" s="3">
        <v>13000000</v>
      </c>
      <c r="F150" s="19">
        <v>44077</v>
      </c>
      <c r="G150" s="3">
        <v>13000000</v>
      </c>
      <c r="H150" s="2">
        <v>5.0000000000000001E-3</v>
      </c>
      <c r="I150" s="19">
        <v>44077</v>
      </c>
      <c r="J150" s="19">
        <v>44104</v>
      </c>
      <c r="K150" s="3">
        <f t="shared" si="10"/>
        <v>28</v>
      </c>
      <c r="L150" s="3">
        <f t="shared" si="11"/>
        <v>4973</v>
      </c>
      <c r="M150" s="3">
        <v>13000000</v>
      </c>
    </row>
    <row r="151" spans="1:13" s="18" customFormat="1" outlineLevel="2">
      <c r="A151" s="19" t="s">
        <v>26</v>
      </c>
      <c r="B151" s="20" t="s">
        <v>198</v>
      </c>
      <c r="C151" s="21" t="s">
        <v>175</v>
      </c>
      <c r="D151" s="20" t="s">
        <v>174</v>
      </c>
      <c r="E151" s="3">
        <v>5800000</v>
      </c>
      <c r="F151" s="19">
        <v>44083</v>
      </c>
      <c r="G151" s="3">
        <v>5800000</v>
      </c>
      <c r="H151" s="2">
        <v>5.0000000000000001E-3</v>
      </c>
      <c r="I151" s="19">
        <v>44083</v>
      </c>
      <c r="J151" s="19">
        <v>44104</v>
      </c>
      <c r="K151" s="3">
        <f t="shared" si="10"/>
        <v>22</v>
      </c>
      <c r="L151" s="3">
        <f t="shared" si="11"/>
        <v>1743</v>
      </c>
      <c r="M151" s="3">
        <v>5800000</v>
      </c>
    </row>
    <row r="152" spans="1:13" s="18" customFormat="1" outlineLevel="2">
      <c r="A152" s="19" t="s">
        <v>26</v>
      </c>
      <c r="B152" s="20" t="s">
        <v>197</v>
      </c>
      <c r="C152" s="21" t="s">
        <v>33</v>
      </c>
      <c r="D152" s="20" t="s">
        <v>34</v>
      </c>
      <c r="E152" s="3">
        <v>4989600</v>
      </c>
      <c r="F152" s="19">
        <v>44088</v>
      </c>
      <c r="G152" s="3">
        <v>4989600</v>
      </c>
      <c r="H152" s="2">
        <v>5.0000000000000001E-3</v>
      </c>
      <c r="I152" s="19">
        <v>44088</v>
      </c>
      <c r="J152" s="19">
        <v>44104</v>
      </c>
      <c r="K152" s="3">
        <f t="shared" si="10"/>
        <v>17</v>
      </c>
      <c r="L152" s="3">
        <f t="shared" si="11"/>
        <v>1159</v>
      </c>
      <c r="M152" s="3">
        <v>4989600</v>
      </c>
    </row>
    <row r="153" spans="1:13" s="18" customFormat="1" outlineLevel="2">
      <c r="A153" s="19" t="s">
        <v>26</v>
      </c>
      <c r="B153" s="20" t="s">
        <v>31</v>
      </c>
      <c r="C153" s="21" t="s">
        <v>27</v>
      </c>
      <c r="D153" s="20" t="s">
        <v>28</v>
      </c>
      <c r="E153" s="3">
        <v>10000000</v>
      </c>
      <c r="F153" s="19">
        <v>43850</v>
      </c>
      <c r="G153" s="3">
        <v>10000000</v>
      </c>
      <c r="H153" s="2">
        <v>5.0000000000000001E-3</v>
      </c>
      <c r="I153" s="19">
        <v>44075</v>
      </c>
      <c r="J153" s="19">
        <v>44104</v>
      </c>
      <c r="K153" s="3">
        <f t="shared" si="10"/>
        <v>30</v>
      </c>
      <c r="L153" s="3">
        <f t="shared" si="11"/>
        <v>4098</v>
      </c>
      <c r="M153" s="3">
        <v>10000000</v>
      </c>
    </row>
    <row r="154" spans="1:13" s="18" customFormat="1" outlineLevel="2">
      <c r="A154" s="19" t="s">
        <v>26</v>
      </c>
      <c r="B154" s="20" t="s">
        <v>196</v>
      </c>
      <c r="C154" s="21" t="s">
        <v>113</v>
      </c>
      <c r="D154" s="20" t="s">
        <v>112</v>
      </c>
      <c r="E154" s="3">
        <v>96000000</v>
      </c>
      <c r="F154" s="19">
        <v>44089</v>
      </c>
      <c r="G154" s="3">
        <v>96000000</v>
      </c>
      <c r="H154" s="2">
        <v>5.0000000000000001E-3</v>
      </c>
      <c r="I154" s="19">
        <v>44089</v>
      </c>
      <c r="J154" s="19">
        <v>44104</v>
      </c>
      <c r="K154" s="3">
        <f t="shared" si="10"/>
        <v>16</v>
      </c>
      <c r="L154" s="3">
        <f t="shared" si="11"/>
        <v>20984</v>
      </c>
      <c r="M154" s="3">
        <v>96000000</v>
      </c>
    </row>
    <row r="155" spans="1:13" s="18" customFormat="1" outlineLevel="2">
      <c r="A155" s="19" t="s">
        <v>26</v>
      </c>
      <c r="B155" s="20" t="s">
        <v>195</v>
      </c>
      <c r="C155" s="21" t="s">
        <v>113</v>
      </c>
      <c r="D155" s="20" t="s">
        <v>112</v>
      </c>
      <c r="E155" s="3">
        <v>16000000</v>
      </c>
      <c r="F155" s="19">
        <v>44089</v>
      </c>
      <c r="G155" s="3">
        <v>16000000</v>
      </c>
      <c r="H155" s="2">
        <v>5.0000000000000001E-3</v>
      </c>
      <c r="I155" s="19">
        <v>44089</v>
      </c>
      <c r="J155" s="19">
        <v>44104</v>
      </c>
      <c r="K155" s="3">
        <f t="shared" si="10"/>
        <v>16</v>
      </c>
      <c r="L155" s="3">
        <f t="shared" si="11"/>
        <v>3497</v>
      </c>
      <c r="M155" s="3">
        <v>16000000</v>
      </c>
    </row>
    <row r="156" spans="1:13" s="18" customFormat="1" outlineLevel="2">
      <c r="A156" s="19" t="s">
        <v>26</v>
      </c>
      <c r="B156" s="20" t="s">
        <v>194</v>
      </c>
      <c r="C156" s="21" t="s">
        <v>27</v>
      </c>
      <c r="D156" s="20" t="s">
        <v>28</v>
      </c>
      <c r="E156" s="3">
        <v>21600000</v>
      </c>
      <c r="F156" s="19">
        <v>44095</v>
      </c>
      <c r="G156" s="3">
        <v>21600000</v>
      </c>
      <c r="H156" s="2">
        <v>5.0000000000000001E-3</v>
      </c>
      <c r="I156" s="19">
        <v>44095</v>
      </c>
      <c r="J156" s="19">
        <v>44104</v>
      </c>
      <c r="K156" s="3">
        <f t="shared" si="10"/>
        <v>10</v>
      </c>
      <c r="L156" s="3">
        <f t="shared" si="11"/>
        <v>2951</v>
      </c>
      <c r="M156" s="3">
        <v>21600000</v>
      </c>
    </row>
    <row r="157" spans="1:13" s="18" customFormat="1" outlineLevel="2">
      <c r="A157" s="19" t="s">
        <v>26</v>
      </c>
      <c r="B157" s="20" t="s">
        <v>193</v>
      </c>
      <c r="C157" s="21" t="s">
        <v>192</v>
      </c>
      <c r="D157" s="20" t="s">
        <v>110</v>
      </c>
      <c r="E157" s="3">
        <v>40000000</v>
      </c>
      <c r="F157" s="19">
        <v>44100</v>
      </c>
      <c r="G157" s="3">
        <v>40000000</v>
      </c>
      <c r="H157" s="2">
        <v>5.0000000000000001E-3</v>
      </c>
      <c r="I157" s="19">
        <v>44100</v>
      </c>
      <c r="J157" s="19">
        <v>44104</v>
      </c>
      <c r="K157" s="3">
        <f t="shared" si="10"/>
        <v>5</v>
      </c>
      <c r="L157" s="3">
        <f t="shared" si="11"/>
        <v>2732</v>
      </c>
      <c r="M157" s="3">
        <v>40000000</v>
      </c>
    </row>
    <row r="158" spans="1:13" s="18" customFormat="1" outlineLevel="2">
      <c r="A158" s="19" t="s">
        <v>26</v>
      </c>
      <c r="B158" s="20" t="s">
        <v>191</v>
      </c>
      <c r="C158" s="21" t="s">
        <v>115</v>
      </c>
      <c r="D158" s="20" t="s">
        <v>114</v>
      </c>
      <c r="E158" s="3">
        <v>2000000</v>
      </c>
      <c r="F158" s="19">
        <v>44103</v>
      </c>
      <c r="G158" s="3">
        <v>2000000</v>
      </c>
      <c r="H158" s="2">
        <v>5.0000000000000001E-3</v>
      </c>
      <c r="I158" s="19">
        <v>44103</v>
      </c>
      <c r="J158" s="19">
        <v>44104</v>
      </c>
      <c r="K158" s="3">
        <f t="shared" si="10"/>
        <v>2</v>
      </c>
      <c r="L158" s="3">
        <f t="shared" si="11"/>
        <v>55</v>
      </c>
      <c r="M158" s="3">
        <v>2000000</v>
      </c>
    </row>
    <row r="159" spans="1:13" s="18" customFormat="1" outlineLevel="2">
      <c r="A159" s="19" t="s">
        <v>26</v>
      </c>
      <c r="B159" s="20" t="s">
        <v>32</v>
      </c>
      <c r="C159" s="21" t="s">
        <v>33</v>
      </c>
      <c r="D159" s="20" t="s">
        <v>34</v>
      </c>
      <c r="E159" s="3">
        <v>96176976</v>
      </c>
      <c r="F159" s="19">
        <v>43861</v>
      </c>
      <c r="G159" s="3">
        <v>96176976</v>
      </c>
      <c r="H159" s="2">
        <v>5.0000000000000001E-3</v>
      </c>
      <c r="I159" s="19">
        <v>44075</v>
      </c>
      <c r="J159" s="19">
        <v>44104</v>
      </c>
      <c r="K159" s="3">
        <f t="shared" si="10"/>
        <v>30</v>
      </c>
      <c r="L159" s="3">
        <f t="shared" si="11"/>
        <v>39417</v>
      </c>
      <c r="M159" s="3">
        <v>96176976</v>
      </c>
    </row>
    <row r="160" spans="1:13" s="18" customFormat="1" outlineLevel="2">
      <c r="A160" s="19" t="s">
        <v>26</v>
      </c>
      <c r="B160" s="20" t="s">
        <v>48</v>
      </c>
      <c r="C160" s="21" t="s">
        <v>27</v>
      </c>
      <c r="D160" s="20" t="s">
        <v>28</v>
      </c>
      <c r="E160" s="3">
        <v>1800000</v>
      </c>
      <c r="F160" s="19">
        <v>43876</v>
      </c>
      <c r="G160" s="3">
        <v>1800000</v>
      </c>
      <c r="H160" s="2">
        <v>5.0000000000000001E-3</v>
      </c>
      <c r="I160" s="19">
        <v>44075</v>
      </c>
      <c r="J160" s="19">
        <v>44104</v>
      </c>
      <c r="K160" s="3">
        <f t="shared" si="10"/>
        <v>30</v>
      </c>
      <c r="L160" s="3">
        <f t="shared" si="11"/>
        <v>738</v>
      </c>
      <c r="M160" s="3">
        <v>1800000</v>
      </c>
    </row>
    <row r="161" spans="1:13" s="18" customFormat="1" outlineLevel="2">
      <c r="A161" s="19" t="s">
        <v>26</v>
      </c>
      <c r="B161" s="20" t="s">
        <v>59</v>
      </c>
      <c r="C161" s="21" t="s">
        <v>72</v>
      </c>
      <c r="D161" s="20" t="s">
        <v>71</v>
      </c>
      <c r="E161" s="3">
        <v>30000000</v>
      </c>
      <c r="F161" s="19">
        <v>43906</v>
      </c>
      <c r="G161" s="3">
        <v>30000000</v>
      </c>
      <c r="H161" s="2">
        <v>5.0000000000000001E-3</v>
      </c>
      <c r="I161" s="19">
        <v>44075</v>
      </c>
      <c r="J161" s="19">
        <v>44104</v>
      </c>
      <c r="K161" s="3">
        <f t="shared" si="10"/>
        <v>30</v>
      </c>
      <c r="L161" s="3">
        <f t="shared" si="11"/>
        <v>12295</v>
      </c>
      <c r="M161" s="3">
        <v>30000000</v>
      </c>
    </row>
    <row r="162" spans="1:13" s="18" customFormat="1" outlineLevel="2">
      <c r="A162" s="19" t="s">
        <v>26</v>
      </c>
      <c r="B162" s="20" t="s">
        <v>58</v>
      </c>
      <c r="C162" s="21" t="s">
        <v>72</v>
      </c>
      <c r="D162" s="20" t="s">
        <v>71</v>
      </c>
      <c r="E162" s="3">
        <v>50000000</v>
      </c>
      <c r="F162" s="19">
        <v>43908</v>
      </c>
      <c r="G162" s="3">
        <v>50000000</v>
      </c>
      <c r="H162" s="2">
        <v>5.0000000000000001E-3</v>
      </c>
      <c r="I162" s="19">
        <v>44075</v>
      </c>
      <c r="J162" s="19">
        <v>44104</v>
      </c>
      <c r="K162" s="3">
        <f t="shared" si="10"/>
        <v>30</v>
      </c>
      <c r="L162" s="3">
        <f t="shared" si="11"/>
        <v>20492</v>
      </c>
      <c r="M162" s="3">
        <v>50000000</v>
      </c>
    </row>
    <row r="163" spans="1:13" s="18" customFormat="1" ht="13.5" outlineLevel="1">
      <c r="A163" s="22" t="s">
        <v>35</v>
      </c>
      <c r="B163" s="23"/>
      <c r="C163" s="24"/>
      <c r="D163" s="23"/>
      <c r="E163" s="25">
        <f>SUBTOTAL(9,E107:E162)</f>
        <v>2405874976</v>
      </c>
      <c r="F163" s="26"/>
      <c r="G163" s="25"/>
      <c r="H163" s="27"/>
      <c r="I163" s="26"/>
      <c r="J163" s="26"/>
      <c r="K163" s="25"/>
      <c r="L163" s="25">
        <f>SUBTOTAL(9,L107:L162)</f>
        <v>900403</v>
      </c>
      <c r="M163" s="25">
        <f>SUBTOTAL(9,M107:M162)</f>
        <v>2404619977</v>
      </c>
    </row>
    <row r="164" spans="1:13" s="18" customFormat="1" outlineLevel="2">
      <c r="A164" s="19" t="s">
        <v>170</v>
      </c>
      <c r="B164" s="20" t="s">
        <v>16</v>
      </c>
      <c r="C164" s="21" t="s">
        <v>72</v>
      </c>
      <c r="D164" s="20" t="s">
        <v>71</v>
      </c>
      <c r="E164" s="3">
        <v>1210000</v>
      </c>
      <c r="F164" s="19">
        <v>44061</v>
      </c>
      <c r="G164" s="3">
        <v>1210000</v>
      </c>
      <c r="H164" s="2">
        <v>5.0000000000000001E-3</v>
      </c>
      <c r="I164" s="19">
        <v>44075</v>
      </c>
      <c r="J164" s="19">
        <v>44104</v>
      </c>
      <c r="K164" s="3">
        <f>J164-I164+1</f>
        <v>30</v>
      </c>
      <c r="L164" s="3">
        <f>ROUND(G164*H164*K164/366,0)</f>
        <v>496</v>
      </c>
      <c r="M164" s="3">
        <v>1210000</v>
      </c>
    </row>
    <row r="165" spans="1:13" s="18" customFormat="1" ht="13.5" outlineLevel="1">
      <c r="A165" s="22" t="s">
        <v>169</v>
      </c>
      <c r="B165" s="23"/>
      <c r="C165" s="24"/>
      <c r="D165" s="23"/>
      <c r="E165" s="25">
        <f>SUBTOTAL(9,E164:E164)</f>
        <v>1210000</v>
      </c>
      <c r="F165" s="26"/>
      <c r="G165" s="25"/>
      <c r="H165" s="27"/>
      <c r="I165" s="26"/>
      <c r="J165" s="26"/>
      <c r="K165" s="25"/>
      <c r="L165" s="25">
        <f>SUBTOTAL(9,L164:L164)</f>
        <v>496</v>
      </c>
      <c r="M165" s="25">
        <f>SUBTOTAL(9,M164:M164)</f>
        <v>1210000</v>
      </c>
    </row>
    <row r="166" spans="1:13" s="18" customFormat="1" outlineLevel="2">
      <c r="A166" s="19" t="s">
        <v>36</v>
      </c>
      <c r="B166" s="20" t="s">
        <v>16</v>
      </c>
      <c r="C166" s="21" t="s">
        <v>17</v>
      </c>
      <c r="D166" s="20" t="s">
        <v>18</v>
      </c>
      <c r="E166" s="3">
        <v>150000000</v>
      </c>
      <c r="F166" s="19">
        <v>43829</v>
      </c>
      <c r="G166" s="3">
        <v>130000000</v>
      </c>
      <c r="H166" s="2">
        <v>5.0000000000000001E-3</v>
      </c>
      <c r="I166" s="19">
        <v>44075</v>
      </c>
      <c r="J166" s="19">
        <v>44088</v>
      </c>
      <c r="K166" s="3">
        <f t="shared" ref="K166:K185" si="12">J166-I166+1</f>
        <v>14</v>
      </c>
      <c r="L166" s="3">
        <f t="shared" ref="L166:L185" si="13">ROUND(G166*H166*K166/366,0)</f>
        <v>24863</v>
      </c>
      <c r="M166" s="3">
        <v>127500000</v>
      </c>
    </row>
    <row r="167" spans="1:13" s="18" customFormat="1" outlineLevel="2">
      <c r="A167" s="19" t="s">
        <v>36</v>
      </c>
      <c r="B167" s="20" t="s">
        <v>16</v>
      </c>
      <c r="C167" s="21" t="s">
        <v>17</v>
      </c>
      <c r="D167" s="20"/>
      <c r="E167" s="3"/>
      <c r="F167" s="19"/>
      <c r="G167" s="3">
        <v>127500000</v>
      </c>
      <c r="H167" s="2">
        <v>5.0000000000000001E-3</v>
      </c>
      <c r="I167" s="19">
        <v>44089</v>
      </c>
      <c r="J167" s="19">
        <v>44104</v>
      </c>
      <c r="K167" s="3">
        <f t="shared" si="12"/>
        <v>16</v>
      </c>
      <c r="L167" s="3">
        <f t="shared" si="13"/>
        <v>27869</v>
      </c>
      <c r="M167" s="3"/>
    </row>
    <row r="168" spans="1:13" s="18" customFormat="1" outlineLevel="2">
      <c r="A168" s="19" t="s">
        <v>36</v>
      </c>
      <c r="B168" s="20" t="s">
        <v>61</v>
      </c>
      <c r="C168" s="21" t="s">
        <v>17</v>
      </c>
      <c r="D168" s="20" t="s">
        <v>18</v>
      </c>
      <c r="E168" s="3">
        <v>9460000</v>
      </c>
      <c r="F168" s="19">
        <v>43990</v>
      </c>
      <c r="G168" s="3">
        <v>8944000</v>
      </c>
      <c r="H168" s="2">
        <v>5.0000000000000001E-3</v>
      </c>
      <c r="I168" s="19">
        <v>44075</v>
      </c>
      <c r="J168" s="19">
        <v>44088</v>
      </c>
      <c r="K168" s="3">
        <f t="shared" si="12"/>
        <v>14</v>
      </c>
      <c r="L168" s="3">
        <f t="shared" si="13"/>
        <v>1711</v>
      </c>
      <c r="M168" s="3">
        <v>8772000</v>
      </c>
    </row>
    <row r="169" spans="1:13" s="18" customFormat="1" outlineLevel="2">
      <c r="A169" s="19" t="s">
        <v>36</v>
      </c>
      <c r="B169" s="20" t="s">
        <v>61</v>
      </c>
      <c r="C169" s="21" t="s">
        <v>17</v>
      </c>
      <c r="D169" s="20"/>
      <c r="E169" s="3"/>
      <c r="F169" s="19"/>
      <c r="G169" s="3">
        <v>8772000</v>
      </c>
      <c r="H169" s="2">
        <v>5.0000000000000001E-3</v>
      </c>
      <c r="I169" s="19">
        <v>44089</v>
      </c>
      <c r="J169" s="19">
        <v>44104</v>
      </c>
      <c r="K169" s="3">
        <f t="shared" si="12"/>
        <v>16</v>
      </c>
      <c r="L169" s="3">
        <f t="shared" si="13"/>
        <v>1917</v>
      </c>
      <c r="M169" s="3"/>
    </row>
    <row r="170" spans="1:13" s="18" customFormat="1" outlineLevel="2">
      <c r="A170" s="19" t="s">
        <v>36</v>
      </c>
      <c r="B170" s="20" t="s">
        <v>60</v>
      </c>
      <c r="C170" s="21" t="s">
        <v>107</v>
      </c>
      <c r="D170" s="20" t="s">
        <v>106</v>
      </c>
      <c r="E170" s="3">
        <v>5000000</v>
      </c>
      <c r="F170" s="19">
        <v>44046</v>
      </c>
      <c r="G170" s="3">
        <v>5000000</v>
      </c>
      <c r="H170" s="2">
        <v>5.0000000000000001E-3</v>
      </c>
      <c r="I170" s="19">
        <v>44075</v>
      </c>
      <c r="J170" s="19">
        <v>44104</v>
      </c>
      <c r="K170" s="3">
        <f t="shared" si="12"/>
        <v>30</v>
      </c>
      <c r="L170" s="3">
        <f t="shared" si="13"/>
        <v>2049</v>
      </c>
      <c r="M170" s="3">
        <v>5000000</v>
      </c>
    </row>
    <row r="171" spans="1:13" s="18" customFormat="1" outlineLevel="2">
      <c r="A171" s="19" t="s">
        <v>36</v>
      </c>
      <c r="B171" s="20" t="s">
        <v>23</v>
      </c>
      <c r="C171" s="21" t="s">
        <v>17</v>
      </c>
      <c r="D171" s="20" t="s">
        <v>18</v>
      </c>
      <c r="E171" s="3">
        <v>32900000</v>
      </c>
      <c r="F171" s="19">
        <v>43829</v>
      </c>
      <c r="G171" s="3">
        <v>28513336</v>
      </c>
      <c r="H171" s="2">
        <v>5.0000000000000001E-3</v>
      </c>
      <c r="I171" s="19">
        <v>44075</v>
      </c>
      <c r="J171" s="19">
        <v>44088</v>
      </c>
      <c r="K171" s="3">
        <f t="shared" si="12"/>
        <v>14</v>
      </c>
      <c r="L171" s="3">
        <f t="shared" si="13"/>
        <v>5453</v>
      </c>
      <c r="M171" s="3">
        <v>27965003</v>
      </c>
    </row>
    <row r="172" spans="1:13" s="18" customFormat="1" outlineLevel="2">
      <c r="A172" s="19" t="s">
        <v>36</v>
      </c>
      <c r="B172" s="20" t="s">
        <v>23</v>
      </c>
      <c r="C172" s="21" t="s">
        <v>17</v>
      </c>
      <c r="D172" s="20"/>
      <c r="E172" s="3"/>
      <c r="F172" s="19"/>
      <c r="G172" s="3">
        <v>27965003</v>
      </c>
      <c r="H172" s="2">
        <v>5.0000000000000001E-3</v>
      </c>
      <c r="I172" s="19">
        <v>44089</v>
      </c>
      <c r="J172" s="19">
        <v>44104</v>
      </c>
      <c r="K172" s="3">
        <f t="shared" si="12"/>
        <v>16</v>
      </c>
      <c r="L172" s="3">
        <f t="shared" si="13"/>
        <v>6113</v>
      </c>
      <c r="M172" s="3"/>
    </row>
    <row r="173" spans="1:13" s="18" customFormat="1" outlineLevel="2">
      <c r="A173" s="19" t="s">
        <v>36</v>
      </c>
      <c r="B173" s="20" t="s">
        <v>29</v>
      </c>
      <c r="C173" s="21" t="s">
        <v>17</v>
      </c>
      <c r="D173" s="20" t="s">
        <v>18</v>
      </c>
      <c r="E173" s="3">
        <v>2790000</v>
      </c>
      <c r="F173" s="19">
        <v>43921</v>
      </c>
      <c r="G173" s="3">
        <v>2545265</v>
      </c>
      <c r="H173" s="2">
        <v>5.0000000000000001E-3</v>
      </c>
      <c r="I173" s="19">
        <v>44075</v>
      </c>
      <c r="J173" s="19">
        <v>44088</v>
      </c>
      <c r="K173" s="3">
        <f t="shared" si="12"/>
        <v>14</v>
      </c>
      <c r="L173" s="3">
        <f t="shared" si="13"/>
        <v>487</v>
      </c>
      <c r="M173" s="3">
        <v>2496318</v>
      </c>
    </row>
    <row r="174" spans="1:13" s="18" customFormat="1" outlineLevel="2">
      <c r="A174" s="19" t="s">
        <v>36</v>
      </c>
      <c r="B174" s="20" t="s">
        <v>29</v>
      </c>
      <c r="C174" s="21" t="s">
        <v>17</v>
      </c>
      <c r="D174" s="20"/>
      <c r="E174" s="3"/>
      <c r="F174" s="19"/>
      <c r="G174" s="3">
        <v>2496318</v>
      </c>
      <c r="H174" s="2">
        <v>5.0000000000000001E-3</v>
      </c>
      <c r="I174" s="19">
        <v>44089</v>
      </c>
      <c r="J174" s="19">
        <v>44104</v>
      </c>
      <c r="K174" s="3">
        <f t="shared" si="12"/>
        <v>16</v>
      </c>
      <c r="L174" s="3">
        <f t="shared" si="13"/>
        <v>546</v>
      </c>
      <c r="M174" s="3"/>
    </row>
    <row r="175" spans="1:13" s="18" customFormat="1" outlineLevel="2">
      <c r="A175" s="19" t="s">
        <v>36</v>
      </c>
      <c r="B175" s="20" t="s">
        <v>30</v>
      </c>
      <c r="C175" s="21" t="s">
        <v>57</v>
      </c>
      <c r="D175" s="20" t="s">
        <v>56</v>
      </c>
      <c r="E175" s="3">
        <v>12000000</v>
      </c>
      <c r="F175" s="19">
        <v>43948</v>
      </c>
      <c r="G175" s="3">
        <v>11200000</v>
      </c>
      <c r="H175" s="2">
        <v>5.0000000000000001E-3</v>
      </c>
      <c r="I175" s="19">
        <v>44075</v>
      </c>
      <c r="J175" s="19">
        <v>44088</v>
      </c>
      <c r="K175" s="3">
        <f t="shared" si="12"/>
        <v>14</v>
      </c>
      <c r="L175" s="3">
        <f t="shared" si="13"/>
        <v>2142</v>
      </c>
      <c r="M175" s="3">
        <v>11000000</v>
      </c>
    </row>
    <row r="176" spans="1:13" s="18" customFormat="1" outlineLevel="2">
      <c r="A176" s="19" t="s">
        <v>36</v>
      </c>
      <c r="B176" s="20" t="s">
        <v>30</v>
      </c>
      <c r="C176" s="21" t="s">
        <v>57</v>
      </c>
      <c r="D176" s="20"/>
      <c r="E176" s="3"/>
      <c r="F176" s="19"/>
      <c r="G176" s="3">
        <v>11000000</v>
      </c>
      <c r="H176" s="2">
        <v>5.0000000000000001E-3</v>
      </c>
      <c r="I176" s="19">
        <v>44089</v>
      </c>
      <c r="J176" s="19">
        <v>44104</v>
      </c>
      <c r="K176" s="3">
        <f t="shared" si="12"/>
        <v>16</v>
      </c>
      <c r="L176" s="3">
        <f t="shared" si="13"/>
        <v>2404</v>
      </c>
      <c r="M176" s="3"/>
    </row>
    <row r="177" spans="1:13" s="18" customFormat="1" outlineLevel="2">
      <c r="A177" s="19" t="s">
        <v>36</v>
      </c>
      <c r="B177" s="20" t="s">
        <v>31</v>
      </c>
      <c r="C177" s="21" t="s">
        <v>97</v>
      </c>
      <c r="D177" s="20" t="s">
        <v>96</v>
      </c>
      <c r="E177" s="3">
        <v>71750000</v>
      </c>
      <c r="F177" s="19">
        <v>43955</v>
      </c>
      <c r="G177" s="3">
        <v>71750000</v>
      </c>
      <c r="H177" s="2">
        <v>5.0000000000000001E-3</v>
      </c>
      <c r="I177" s="19">
        <v>44075</v>
      </c>
      <c r="J177" s="19">
        <v>44104</v>
      </c>
      <c r="K177" s="3">
        <f t="shared" si="12"/>
        <v>30</v>
      </c>
      <c r="L177" s="3">
        <f t="shared" si="13"/>
        <v>29406</v>
      </c>
      <c r="M177" s="3">
        <v>71750000</v>
      </c>
    </row>
    <row r="178" spans="1:13" s="18" customFormat="1" outlineLevel="2">
      <c r="A178" s="19" t="s">
        <v>36</v>
      </c>
      <c r="B178" s="20" t="s">
        <v>32</v>
      </c>
      <c r="C178" s="21" t="s">
        <v>57</v>
      </c>
      <c r="D178" s="20" t="s">
        <v>56</v>
      </c>
      <c r="E178" s="3">
        <v>10000000</v>
      </c>
      <c r="F178" s="19">
        <v>43963</v>
      </c>
      <c r="G178" s="3">
        <v>9333335</v>
      </c>
      <c r="H178" s="2">
        <v>5.0000000000000001E-3</v>
      </c>
      <c r="I178" s="19">
        <v>44075</v>
      </c>
      <c r="J178" s="19">
        <v>44088</v>
      </c>
      <c r="K178" s="3">
        <f t="shared" si="12"/>
        <v>14</v>
      </c>
      <c r="L178" s="3">
        <f t="shared" si="13"/>
        <v>1785</v>
      </c>
      <c r="M178" s="3">
        <v>9166669</v>
      </c>
    </row>
    <row r="179" spans="1:13" s="18" customFormat="1" outlineLevel="2">
      <c r="A179" s="19" t="s">
        <v>36</v>
      </c>
      <c r="B179" s="20" t="s">
        <v>32</v>
      </c>
      <c r="C179" s="21" t="s">
        <v>57</v>
      </c>
      <c r="D179" s="20"/>
      <c r="E179" s="3"/>
      <c r="F179" s="19"/>
      <c r="G179" s="3">
        <v>9166669</v>
      </c>
      <c r="H179" s="2">
        <v>5.0000000000000001E-3</v>
      </c>
      <c r="I179" s="19">
        <v>44089</v>
      </c>
      <c r="J179" s="19">
        <v>44104</v>
      </c>
      <c r="K179" s="3">
        <f t="shared" si="12"/>
        <v>16</v>
      </c>
      <c r="L179" s="3">
        <f t="shared" si="13"/>
        <v>2004</v>
      </c>
      <c r="M179" s="3"/>
    </row>
    <row r="180" spans="1:13" s="18" customFormat="1" outlineLevel="2">
      <c r="A180" s="19" t="s">
        <v>36</v>
      </c>
      <c r="B180" s="20" t="s">
        <v>48</v>
      </c>
      <c r="C180" s="21" t="s">
        <v>57</v>
      </c>
      <c r="D180" s="20" t="s">
        <v>56</v>
      </c>
      <c r="E180" s="3">
        <v>4000000</v>
      </c>
      <c r="F180" s="19">
        <v>43970</v>
      </c>
      <c r="G180" s="3">
        <v>3796612</v>
      </c>
      <c r="H180" s="2">
        <v>5.0000000000000001E-3</v>
      </c>
      <c r="I180" s="19">
        <v>44075</v>
      </c>
      <c r="J180" s="19">
        <v>44088</v>
      </c>
      <c r="K180" s="3">
        <f t="shared" si="12"/>
        <v>14</v>
      </c>
      <c r="L180" s="3">
        <f t="shared" si="13"/>
        <v>726</v>
      </c>
      <c r="M180" s="3">
        <v>3728816</v>
      </c>
    </row>
    <row r="181" spans="1:13" s="18" customFormat="1" outlineLevel="2">
      <c r="A181" s="19" t="s">
        <v>36</v>
      </c>
      <c r="B181" s="20" t="s">
        <v>48</v>
      </c>
      <c r="C181" s="21" t="s">
        <v>57</v>
      </c>
      <c r="D181" s="20"/>
      <c r="E181" s="3"/>
      <c r="F181" s="19"/>
      <c r="G181" s="3">
        <v>3728816</v>
      </c>
      <c r="H181" s="2">
        <v>5.0000000000000001E-3</v>
      </c>
      <c r="I181" s="19">
        <v>44089</v>
      </c>
      <c r="J181" s="19">
        <v>44104</v>
      </c>
      <c r="K181" s="3">
        <f t="shared" si="12"/>
        <v>16</v>
      </c>
      <c r="L181" s="3">
        <f t="shared" si="13"/>
        <v>815</v>
      </c>
      <c r="M181" s="3"/>
    </row>
    <row r="182" spans="1:13" s="18" customFormat="1" outlineLevel="2">
      <c r="A182" s="19" t="s">
        <v>36</v>
      </c>
      <c r="B182" s="20" t="s">
        <v>59</v>
      </c>
      <c r="C182" s="21" t="s">
        <v>57</v>
      </c>
      <c r="D182" s="20" t="s">
        <v>56</v>
      </c>
      <c r="E182" s="3">
        <v>18000000</v>
      </c>
      <c r="F182" s="19">
        <v>43977</v>
      </c>
      <c r="G182" s="3">
        <v>17084748</v>
      </c>
      <c r="H182" s="2">
        <v>5.0000000000000001E-3</v>
      </c>
      <c r="I182" s="19">
        <v>44075</v>
      </c>
      <c r="J182" s="19">
        <v>44088</v>
      </c>
      <c r="K182" s="3">
        <f t="shared" si="12"/>
        <v>14</v>
      </c>
      <c r="L182" s="3">
        <f t="shared" si="13"/>
        <v>3268</v>
      </c>
      <c r="M182" s="3">
        <v>16779664</v>
      </c>
    </row>
    <row r="183" spans="1:13" s="18" customFormat="1" outlineLevel="2">
      <c r="A183" s="19" t="s">
        <v>36</v>
      </c>
      <c r="B183" s="20" t="s">
        <v>59</v>
      </c>
      <c r="C183" s="21" t="s">
        <v>57</v>
      </c>
      <c r="D183" s="20"/>
      <c r="E183" s="3"/>
      <c r="F183" s="19"/>
      <c r="G183" s="3">
        <v>16779664</v>
      </c>
      <c r="H183" s="2">
        <v>5.0000000000000001E-3</v>
      </c>
      <c r="I183" s="19">
        <v>44089</v>
      </c>
      <c r="J183" s="19">
        <v>44104</v>
      </c>
      <c r="K183" s="3">
        <f t="shared" si="12"/>
        <v>16</v>
      </c>
      <c r="L183" s="3">
        <f t="shared" si="13"/>
        <v>3668</v>
      </c>
      <c r="M183" s="3"/>
    </row>
    <row r="184" spans="1:13" s="18" customFormat="1" outlineLevel="2">
      <c r="A184" s="19" t="s">
        <v>36</v>
      </c>
      <c r="B184" s="20" t="s">
        <v>58</v>
      </c>
      <c r="C184" s="21" t="s">
        <v>57</v>
      </c>
      <c r="D184" s="20" t="s">
        <v>56</v>
      </c>
      <c r="E184" s="3">
        <v>6000000</v>
      </c>
      <c r="F184" s="19">
        <v>43984</v>
      </c>
      <c r="G184" s="3">
        <v>5694918</v>
      </c>
      <c r="H184" s="2">
        <v>5.0000000000000001E-3</v>
      </c>
      <c r="I184" s="19">
        <v>44075</v>
      </c>
      <c r="J184" s="19">
        <v>44088</v>
      </c>
      <c r="K184" s="3">
        <f t="shared" si="12"/>
        <v>14</v>
      </c>
      <c r="L184" s="3">
        <f t="shared" si="13"/>
        <v>1089</v>
      </c>
      <c r="M184" s="3">
        <v>5593224</v>
      </c>
    </row>
    <row r="185" spans="1:13" s="18" customFormat="1" outlineLevel="2">
      <c r="A185" s="19" t="s">
        <v>36</v>
      </c>
      <c r="B185" s="20" t="s">
        <v>58</v>
      </c>
      <c r="C185" s="21" t="s">
        <v>57</v>
      </c>
      <c r="D185" s="20"/>
      <c r="E185" s="3"/>
      <c r="F185" s="19"/>
      <c r="G185" s="3">
        <v>5593224</v>
      </c>
      <c r="H185" s="2">
        <v>5.0000000000000001E-3</v>
      </c>
      <c r="I185" s="19">
        <v>44089</v>
      </c>
      <c r="J185" s="19">
        <v>44104</v>
      </c>
      <c r="K185" s="3">
        <f t="shared" si="12"/>
        <v>16</v>
      </c>
      <c r="L185" s="3">
        <f t="shared" si="13"/>
        <v>1223</v>
      </c>
      <c r="M185" s="3"/>
    </row>
    <row r="186" spans="1:13" s="18" customFormat="1" ht="13.5" outlineLevel="1">
      <c r="A186" s="22" t="s">
        <v>37</v>
      </c>
      <c r="B186" s="23"/>
      <c r="C186" s="24"/>
      <c r="D186" s="23"/>
      <c r="E186" s="25">
        <f>SUBTOTAL(9,E166:E185)</f>
        <v>321900000</v>
      </c>
      <c r="F186" s="26"/>
      <c r="G186" s="25"/>
      <c r="H186" s="27"/>
      <c r="I186" s="26"/>
      <c r="J186" s="26"/>
      <c r="K186" s="25"/>
      <c r="L186" s="25">
        <f>SUBTOTAL(9,L166:L185)</f>
        <v>119538</v>
      </c>
      <c r="M186" s="25">
        <f>SUBTOTAL(9,M166:M185)</f>
        <v>289751694</v>
      </c>
    </row>
    <row r="187" spans="1:13" s="18" customFormat="1" outlineLevel="2">
      <c r="A187" s="19" t="s">
        <v>38</v>
      </c>
      <c r="B187" s="20" t="s">
        <v>16</v>
      </c>
      <c r="C187" s="21" t="s">
        <v>17</v>
      </c>
      <c r="D187" s="20" t="s">
        <v>18</v>
      </c>
      <c r="E187" s="3">
        <v>50000000</v>
      </c>
      <c r="F187" s="19">
        <v>43829</v>
      </c>
      <c r="G187" s="3">
        <v>43333328</v>
      </c>
      <c r="H187" s="2">
        <v>5.0000000000000001E-3</v>
      </c>
      <c r="I187" s="19">
        <v>44075</v>
      </c>
      <c r="J187" s="19">
        <v>44088</v>
      </c>
      <c r="K187" s="3">
        <f t="shared" ref="K187:K196" si="14">J187-I187+1</f>
        <v>14</v>
      </c>
      <c r="L187" s="3">
        <f t="shared" ref="L187:L196" si="15">ROUND(G187*H187*K187/366,0)</f>
        <v>8288</v>
      </c>
      <c r="M187" s="3">
        <v>42499994</v>
      </c>
    </row>
    <row r="188" spans="1:13" s="18" customFormat="1" outlineLevel="2">
      <c r="A188" s="19" t="s">
        <v>38</v>
      </c>
      <c r="B188" s="20" t="s">
        <v>16</v>
      </c>
      <c r="C188" s="21" t="s">
        <v>17</v>
      </c>
      <c r="D188" s="20"/>
      <c r="E188" s="3"/>
      <c r="F188" s="19"/>
      <c r="G188" s="3">
        <v>42499994</v>
      </c>
      <c r="H188" s="2">
        <v>5.0000000000000001E-3</v>
      </c>
      <c r="I188" s="19">
        <v>44089</v>
      </c>
      <c r="J188" s="19">
        <v>44104</v>
      </c>
      <c r="K188" s="3">
        <f t="shared" si="14"/>
        <v>16</v>
      </c>
      <c r="L188" s="3">
        <f t="shared" si="15"/>
        <v>9290</v>
      </c>
      <c r="M188" s="3"/>
    </row>
    <row r="189" spans="1:13" s="18" customFormat="1" outlineLevel="2">
      <c r="A189" s="19" t="s">
        <v>38</v>
      </c>
      <c r="B189" s="20" t="s">
        <v>23</v>
      </c>
      <c r="C189" s="21" t="s">
        <v>17</v>
      </c>
      <c r="D189" s="20" t="s">
        <v>18</v>
      </c>
      <c r="E189" s="3">
        <v>25200000</v>
      </c>
      <c r="F189" s="19">
        <v>43829</v>
      </c>
      <c r="G189" s="3">
        <v>21840000</v>
      </c>
      <c r="H189" s="2">
        <v>5.0000000000000001E-3</v>
      </c>
      <c r="I189" s="19">
        <v>44075</v>
      </c>
      <c r="J189" s="19">
        <v>44088</v>
      </c>
      <c r="K189" s="3">
        <f t="shared" si="14"/>
        <v>14</v>
      </c>
      <c r="L189" s="3">
        <f t="shared" si="15"/>
        <v>4177</v>
      </c>
      <c r="M189" s="3">
        <v>21420000</v>
      </c>
    </row>
    <row r="190" spans="1:13" s="18" customFormat="1" outlineLevel="2">
      <c r="A190" s="19" t="s">
        <v>38</v>
      </c>
      <c r="B190" s="20" t="s">
        <v>23</v>
      </c>
      <c r="C190" s="21" t="s">
        <v>17</v>
      </c>
      <c r="D190" s="20"/>
      <c r="E190" s="3"/>
      <c r="F190" s="19"/>
      <c r="G190" s="3">
        <v>21420000</v>
      </c>
      <c r="H190" s="2">
        <v>5.0000000000000001E-3</v>
      </c>
      <c r="I190" s="19">
        <v>44089</v>
      </c>
      <c r="J190" s="19">
        <v>44104</v>
      </c>
      <c r="K190" s="3">
        <f t="shared" si="14"/>
        <v>16</v>
      </c>
      <c r="L190" s="3">
        <f t="shared" si="15"/>
        <v>4682</v>
      </c>
      <c r="M190" s="3"/>
    </row>
    <row r="191" spans="1:13" s="18" customFormat="1" outlineLevel="2">
      <c r="A191" s="19" t="s">
        <v>38</v>
      </c>
      <c r="B191" s="20" t="s">
        <v>29</v>
      </c>
      <c r="C191" s="21" t="s">
        <v>17</v>
      </c>
      <c r="D191" s="20" t="s">
        <v>18</v>
      </c>
      <c r="E191" s="3">
        <v>11310000</v>
      </c>
      <c r="F191" s="19">
        <v>43920</v>
      </c>
      <c r="G191" s="3">
        <v>10317895</v>
      </c>
      <c r="H191" s="2">
        <v>5.0000000000000001E-3</v>
      </c>
      <c r="I191" s="19">
        <v>44075</v>
      </c>
      <c r="J191" s="19">
        <v>44088</v>
      </c>
      <c r="K191" s="3">
        <f t="shared" si="14"/>
        <v>14</v>
      </c>
      <c r="L191" s="3">
        <f t="shared" si="15"/>
        <v>1973</v>
      </c>
      <c r="M191" s="3">
        <v>10119474</v>
      </c>
    </row>
    <row r="192" spans="1:13" s="18" customFormat="1" outlineLevel="2">
      <c r="A192" s="19" t="s">
        <v>38</v>
      </c>
      <c r="B192" s="20" t="s">
        <v>29</v>
      </c>
      <c r="C192" s="21" t="s">
        <v>17</v>
      </c>
      <c r="D192" s="20"/>
      <c r="E192" s="3"/>
      <c r="F192" s="19"/>
      <c r="G192" s="3">
        <v>10119474</v>
      </c>
      <c r="H192" s="2">
        <v>5.0000000000000001E-3</v>
      </c>
      <c r="I192" s="19">
        <v>44089</v>
      </c>
      <c r="J192" s="19">
        <v>44104</v>
      </c>
      <c r="K192" s="3">
        <f t="shared" si="14"/>
        <v>16</v>
      </c>
      <c r="L192" s="3">
        <f t="shared" si="15"/>
        <v>2212</v>
      </c>
      <c r="M192" s="3"/>
    </row>
    <row r="193" spans="1:13" s="18" customFormat="1" outlineLevel="2">
      <c r="A193" s="19" t="s">
        <v>38</v>
      </c>
      <c r="B193" s="20" t="s">
        <v>30</v>
      </c>
      <c r="C193" s="21" t="s">
        <v>17</v>
      </c>
      <c r="D193" s="20" t="s">
        <v>18</v>
      </c>
      <c r="E193" s="3">
        <v>6050000</v>
      </c>
      <c r="F193" s="19">
        <v>43990</v>
      </c>
      <c r="G193" s="3">
        <v>5720000</v>
      </c>
      <c r="H193" s="2">
        <v>5.0000000000000001E-3</v>
      </c>
      <c r="I193" s="19">
        <v>44075</v>
      </c>
      <c r="J193" s="19">
        <v>44088</v>
      </c>
      <c r="K193" s="3">
        <f t="shared" si="14"/>
        <v>14</v>
      </c>
      <c r="L193" s="3">
        <f t="shared" si="15"/>
        <v>1094</v>
      </c>
      <c r="M193" s="3">
        <v>5610000</v>
      </c>
    </row>
    <row r="194" spans="1:13" s="18" customFormat="1" outlineLevel="2">
      <c r="A194" s="19" t="s">
        <v>38</v>
      </c>
      <c r="B194" s="20" t="s">
        <v>30</v>
      </c>
      <c r="C194" s="21" t="s">
        <v>17</v>
      </c>
      <c r="D194" s="20"/>
      <c r="E194" s="3"/>
      <c r="F194" s="19"/>
      <c r="G194" s="3">
        <v>5610000</v>
      </c>
      <c r="H194" s="2">
        <v>5.0000000000000001E-3</v>
      </c>
      <c r="I194" s="19">
        <v>44089</v>
      </c>
      <c r="J194" s="19">
        <v>44104</v>
      </c>
      <c r="K194" s="3">
        <f t="shared" si="14"/>
        <v>16</v>
      </c>
      <c r="L194" s="3">
        <f t="shared" si="15"/>
        <v>1226</v>
      </c>
      <c r="M194" s="3"/>
    </row>
    <row r="195" spans="1:13" s="18" customFormat="1" outlineLevel="2">
      <c r="A195" s="19" t="s">
        <v>38</v>
      </c>
      <c r="B195" s="20" t="s">
        <v>31</v>
      </c>
      <c r="C195" s="21" t="s">
        <v>17</v>
      </c>
      <c r="D195" s="20" t="s">
        <v>18</v>
      </c>
      <c r="E195" s="3">
        <v>7541000</v>
      </c>
      <c r="F195" s="19">
        <v>44074</v>
      </c>
      <c r="G195" s="3">
        <v>7541000</v>
      </c>
      <c r="H195" s="2">
        <v>5.0000000000000001E-3</v>
      </c>
      <c r="I195" s="19">
        <v>44075</v>
      </c>
      <c r="J195" s="19">
        <v>44088</v>
      </c>
      <c r="K195" s="3">
        <f t="shared" si="14"/>
        <v>14</v>
      </c>
      <c r="L195" s="3">
        <f t="shared" si="15"/>
        <v>1442</v>
      </c>
      <c r="M195" s="3">
        <v>7395981</v>
      </c>
    </row>
    <row r="196" spans="1:13" s="18" customFormat="1" outlineLevel="2">
      <c r="A196" s="19" t="s">
        <v>38</v>
      </c>
      <c r="B196" s="20" t="s">
        <v>31</v>
      </c>
      <c r="C196" s="21" t="s">
        <v>17</v>
      </c>
      <c r="D196" s="20"/>
      <c r="E196" s="3"/>
      <c r="F196" s="19"/>
      <c r="G196" s="3">
        <v>7395981</v>
      </c>
      <c r="H196" s="2">
        <v>5.0000000000000001E-3</v>
      </c>
      <c r="I196" s="19">
        <v>44089</v>
      </c>
      <c r="J196" s="19">
        <v>44104</v>
      </c>
      <c r="K196" s="3">
        <f t="shared" si="14"/>
        <v>16</v>
      </c>
      <c r="L196" s="3">
        <f t="shared" si="15"/>
        <v>1617</v>
      </c>
      <c r="M196" s="3"/>
    </row>
    <row r="197" spans="1:13" s="18" customFormat="1" ht="13.5" outlineLevel="1">
      <c r="A197" s="22" t="s">
        <v>39</v>
      </c>
      <c r="B197" s="23"/>
      <c r="C197" s="24"/>
      <c r="D197" s="23"/>
      <c r="E197" s="25">
        <f>SUBTOTAL(9,E187:E196)</f>
        <v>100101000</v>
      </c>
      <c r="F197" s="26"/>
      <c r="G197" s="25"/>
      <c r="H197" s="27"/>
      <c r="I197" s="26"/>
      <c r="J197" s="26"/>
      <c r="K197" s="25"/>
      <c r="L197" s="25">
        <f>SUBTOTAL(9,L187:L196)</f>
        <v>36001</v>
      </c>
      <c r="M197" s="25">
        <f>SUBTOTAL(9,M187:M196)</f>
        <v>87045449</v>
      </c>
    </row>
    <row r="198" spans="1:13" s="18" customFormat="1" outlineLevel="2">
      <c r="A198" s="19" t="s">
        <v>108</v>
      </c>
      <c r="B198" s="20" t="s">
        <v>16</v>
      </c>
      <c r="C198" s="21" t="s">
        <v>107</v>
      </c>
      <c r="D198" s="20" t="s">
        <v>106</v>
      </c>
      <c r="E198" s="3">
        <v>4300000</v>
      </c>
      <c r="F198" s="19">
        <v>43966</v>
      </c>
      <c r="G198" s="3">
        <v>4300000</v>
      </c>
      <c r="H198" s="2">
        <v>5.0000000000000001E-3</v>
      </c>
      <c r="I198" s="19">
        <v>44075</v>
      </c>
      <c r="J198" s="19">
        <v>44104</v>
      </c>
      <c r="K198" s="3">
        <f>J198-I198+1</f>
        <v>30</v>
      </c>
      <c r="L198" s="3">
        <f>ROUND(G198*H198*K198/366,0)</f>
        <v>1762</v>
      </c>
      <c r="M198" s="3">
        <v>4300000</v>
      </c>
    </row>
    <row r="199" spans="1:13" s="18" customFormat="1" outlineLevel="2">
      <c r="A199" s="19" t="s">
        <v>108</v>
      </c>
      <c r="B199" s="20" t="s">
        <v>23</v>
      </c>
      <c r="C199" s="21" t="s">
        <v>113</v>
      </c>
      <c r="D199" s="20" t="s">
        <v>112</v>
      </c>
      <c r="E199" s="3">
        <v>120000000</v>
      </c>
      <c r="F199" s="19">
        <v>44060</v>
      </c>
      <c r="G199" s="3">
        <v>120000000</v>
      </c>
      <c r="H199" s="2">
        <v>5.0000000000000001E-3</v>
      </c>
      <c r="I199" s="19">
        <v>44075</v>
      </c>
      <c r="J199" s="19">
        <v>44104</v>
      </c>
      <c r="K199" s="3">
        <f>J199-I199+1</f>
        <v>30</v>
      </c>
      <c r="L199" s="3">
        <f>ROUND(G199*H199*K199/366,0)</f>
        <v>49180</v>
      </c>
      <c r="M199" s="3">
        <v>120000000</v>
      </c>
    </row>
    <row r="200" spans="1:13" s="18" customFormat="1" ht="13.5" outlineLevel="1">
      <c r="A200" s="22" t="s">
        <v>105</v>
      </c>
      <c r="B200" s="23"/>
      <c r="C200" s="24"/>
      <c r="D200" s="23"/>
      <c r="E200" s="25">
        <f>SUBTOTAL(9,E198:E199)</f>
        <v>124300000</v>
      </c>
      <c r="F200" s="26"/>
      <c r="G200" s="25"/>
      <c r="H200" s="27"/>
      <c r="I200" s="26"/>
      <c r="J200" s="26"/>
      <c r="K200" s="25"/>
      <c r="L200" s="25">
        <f>SUBTOTAL(9,L198:L199)</f>
        <v>50942</v>
      </c>
      <c r="M200" s="25">
        <f>SUBTOTAL(9,M198:M199)</f>
        <v>124300000</v>
      </c>
    </row>
    <row r="201" spans="1:13" s="18" customFormat="1" outlineLevel="2">
      <c r="A201" s="19" t="s">
        <v>124</v>
      </c>
      <c r="B201" s="20" t="s">
        <v>16</v>
      </c>
      <c r="C201" s="21" t="s">
        <v>77</v>
      </c>
      <c r="D201" s="20" t="s">
        <v>76</v>
      </c>
      <c r="E201" s="3">
        <v>38650000</v>
      </c>
      <c r="F201" s="19">
        <v>43986</v>
      </c>
      <c r="G201" s="3">
        <v>38650000</v>
      </c>
      <c r="H201" s="2">
        <v>5.0000000000000001E-3</v>
      </c>
      <c r="I201" s="19">
        <v>44075</v>
      </c>
      <c r="J201" s="19">
        <v>44104</v>
      </c>
      <c r="K201" s="3">
        <f t="shared" ref="K201:K207" si="16">J201-I201+1</f>
        <v>30</v>
      </c>
      <c r="L201" s="3">
        <f t="shared" ref="L201:L207" si="17">ROUND(G201*H201*K201/366,0)</f>
        <v>15840</v>
      </c>
      <c r="M201" s="3">
        <v>38650000</v>
      </c>
    </row>
    <row r="202" spans="1:13" s="18" customFormat="1" outlineLevel="2">
      <c r="A202" s="19" t="s">
        <v>124</v>
      </c>
      <c r="B202" s="20" t="s">
        <v>23</v>
      </c>
      <c r="C202" s="21" t="s">
        <v>104</v>
      </c>
      <c r="D202" s="20" t="s">
        <v>103</v>
      </c>
      <c r="E202" s="3">
        <v>23530000</v>
      </c>
      <c r="F202" s="19">
        <v>44013</v>
      </c>
      <c r="G202" s="3">
        <v>23530000</v>
      </c>
      <c r="H202" s="2">
        <v>5.0000000000000001E-3</v>
      </c>
      <c r="I202" s="19">
        <v>44075</v>
      </c>
      <c r="J202" s="19">
        <v>44104</v>
      </c>
      <c r="K202" s="3">
        <f t="shared" si="16"/>
        <v>30</v>
      </c>
      <c r="L202" s="3">
        <f t="shared" si="17"/>
        <v>9643</v>
      </c>
      <c r="M202" s="3">
        <v>23530000</v>
      </c>
    </row>
    <row r="203" spans="1:13" s="18" customFormat="1" outlineLevel="2">
      <c r="A203" s="19" t="s">
        <v>124</v>
      </c>
      <c r="B203" s="20" t="s">
        <v>29</v>
      </c>
      <c r="C203" s="21" t="s">
        <v>104</v>
      </c>
      <c r="D203" s="20" t="s">
        <v>103</v>
      </c>
      <c r="E203" s="3">
        <v>47470000</v>
      </c>
      <c r="F203" s="19">
        <v>44013</v>
      </c>
      <c r="G203" s="3">
        <v>47470000</v>
      </c>
      <c r="H203" s="2">
        <v>5.0000000000000001E-3</v>
      </c>
      <c r="I203" s="19">
        <v>44075</v>
      </c>
      <c r="J203" s="19">
        <v>44104</v>
      </c>
      <c r="K203" s="3">
        <f t="shared" si="16"/>
        <v>30</v>
      </c>
      <c r="L203" s="3">
        <f t="shared" si="17"/>
        <v>19455</v>
      </c>
      <c r="M203" s="3">
        <v>47470000</v>
      </c>
    </row>
    <row r="204" spans="1:13" s="18" customFormat="1" outlineLevel="2">
      <c r="A204" s="19" t="s">
        <v>124</v>
      </c>
      <c r="B204" s="20" t="s">
        <v>30</v>
      </c>
      <c r="C204" s="21" t="s">
        <v>149</v>
      </c>
      <c r="D204" s="20" t="s">
        <v>148</v>
      </c>
      <c r="E204" s="3">
        <v>6665394</v>
      </c>
      <c r="F204" s="19">
        <v>44029</v>
      </c>
      <c r="G204" s="3">
        <v>6665394</v>
      </c>
      <c r="H204" s="2">
        <v>5.0000000000000001E-3</v>
      </c>
      <c r="I204" s="19">
        <v>44075</v>
      </c>
      <c r="J204" s="19">
        <v>44104</v>
      </c>
      <c r="K204" s="3">
        <f t="shared" si="16"/>
        <v>30</v>
      </c>
      <c r="L204" s="3">
        <f t="shared" si="17"/>
        <v>2732</v>
      </c>
      <c r="M204" s="3">
        <v>6665394</v>
      </c>
    </row>
    <row r="205" spans="1:13" s="18" customFormat="1" outlineLevel="2">
      <c r="A205" s="19" t="s">
        <v>124</v>
      </c>
      <c r="B205" s="20" t="s">
        <v>31</v>
      </c>
      <c r="C205" s="21" t="s">
        <v>149</v>
      </c>
      <c r="D205" s="20" t="s">
        <v>148</v>
      </c>
      <c r="E205" s="3">
        <v>12334606</v>
      </c>
      <c r="F205" s="19">
        <v>44029</v>
      </c>
      <c r="G205" s="3">
        <v>12334606</v>
      </c>
      <c r="H205" s="2">
        <v>5.0000000000000001E-3</v>
      </c>
      <c r="I205" s="19">
        <v>44075</v>
      </c>
      <c r="J205" s="19">
        <v>44104</v>
      </c>
      <c r="K205" s="3">
        <f t="shared" si="16"/>
        <v>30</v>
      </c>
      <c r="L205" s="3">
        <f t="shared" si="17"/>
        <v>5055</v>
      </c>
      <c r="M205" s="3">
        <v>12334606</v>
      </c>
    </row>
    <row r="206" spans="1:13" s="18" customFormat="1" outlineLevel="2">
      <c r="A206" s="19" t="s">
        <v>124</v>
      </c>
      <c r="B206" s="20" t="s">
        <v>32</v>
      </c>
      <c r="C206" s="21" t="s">
        <v>164</v>
      </c>
      <c r="D206" s="20" t="s">
        <v>163</v>
      </c>
      <c r="E206" s="3">
        <v>131500000</v>
      </c>
      <c r="F206" s="19">
        <v>44089</v>
      </c>
      <c r="G206" s="3">
        <v>131500000</v>
      </c>
      <c r="H206" s="2">
        <v>5.0000000000000001E-3</v>
      </c>
      <c r="I206" s="19">
        <v>44089</v>
      </c>
      <c r="J206" s="19">
        <v>44104</v>
      </c>
      <c r="K206" s="3">
        <f t="shared" si="16"/>
        <v>16</v>
      </c>
      <c r="L206" s="3">
        <f t="shared" si="17"/>
        <v>28743</v>
      </c>
      <c r="M206" s="3">
        <v>131500000</v>
      </c>
    </row>
    <row r="207" spans="1:13" s="18" customFormat="1" outlineLevel="2">
      <c r="A207" s="19" t="s">
        <v>124</v>
      </c>
      <c r="B207" s="20" t="s">
        <v>48</v>
      </c>
      <c r="C207" s="21" t="s">
        <v>77</v>
      </c>
      <c r="D207" s="20" t="s">
        <v>76</v>
      </c>
      <c r="E207" s="3">
        <v>10400000</v>
      </c>
      <c r="F207" s="19">
        <v>44096</v>
      </c>
      <c r="G207" s="3">
        <v>10400000</v>
      </c>
      <c r="H207" s="2">
        <v>5.0000000000000001E-3</v>
      </c>
      <c r="I207" s="19">
        <v>44096</v>
      </c>
      <c r="J207" s="19">
        <v>44104</v>
      </c>
      <c r="K207" s="3">
        <f t="shared" si="16"/>
        <v>9</v>
      </c>
      <c r="L207" s="3">
        <f t="shared" si="17"/>
        <v>1279</v>
      </c>
      <c r="M207" s="3">
        <v>10400000</v>
      </c>
    </row>
    <row r="208" spans="1:13" s="18" customFormat="1" ht="13.5" outlineLevel="1">
      <c r="A208" s="22" t="s">
        <v>123</v>
      </c>
      <c r="B208" s="23"/>
      <c r="C208" s="24"/>
      <c r="D208" s="23"/>
      <c r="E208" s="25">
        <f>SUBTOTAL(9,E201:E207)</f>
        <v>270550000</v>
      </c>
      <c r="F208" s="26"/>
      <c r="G208" s="25"/>
      <c r="H208" s="27"/>
      <c r="I208" s="26"/>
      <c r="J208" s="26"/>
      <c r="K208" s="25"/>
      <c r="L208" s="25">
        <f>SUBTOTAL(9,L201:L207)</f>
        <v>82747</v>
      </c>
      <c r="M208" s="25">
        <f>SUBTOTAL(9,M201:M207)</f>
        <v>270550000</v>
      </c>
    </row>
    <row r="209" spans="1:13" s="18" customFormat="1" outlineLevel="2">
      <c r="A209" s="19" t="s">
        <v>70</v>
      </c>
      <c r="B209" s="20" t="s">
        <v>16</v>
      </c>
      <c r="C209" s="21" t="s">
        <v>69</v>
      </c>
      <c r="D209" s="20" t="s">
        <v>68</v>
      </c>
      <c r="E209" s="3">
        <v>330000000</v>
      </c>
      <c r="F209" s="19">
        <v>43915</v>
      </c>
      <c r="G209" s="3">
        <v>330000000</v>
      </c>
      <c r="H209" s="2">
        <v>5.0000000000000001E-3</v>
      </c>
      <c r="I209" s="19">
        <v>44075</v>
      </c>
      <c r="J209" s="19">
        <v>44104</v>
      </c>
      <c r="K209" s="3">
        <f>J209-I209+1</f>
        <v>30</v>
      </c>
      <c r="L209" s="3">
        <f>ROUND(G209*H209*K209/366,0)</f>
        <v>135246</v>
      </c>
      <c r="M209" s="3">
        <v>330000000</v>
      </c>
    </row>
    <row r="210" spans="1:13" s="18" customFormat="1" outlineLevel="2">
      <c r="A210" s="19" t="s">
        <v>70</v>
      </c>
      <c r="B210" s="20" t="s">
        <v>23</v>
      </c>
      <c r="C210" s="21" t="s">
        <v>69</v>
      </c>
      <c r="D210" s="20" t="s">
        <v>68</v>
      </c>
      <c r="E210" s="3">
        <v>93600000</v>
      </c>
      <c r="F210" s="19">
        <v>43955</v>
      </c>
      <c r="G210" s="3">
        <v>93600000</v>
      </c>
      <c r="H210" s="2">
        <v>5.0000000000000001E-3</v>
      </c>
      <c r="I210" s="19">
        <v>44075</v>
      </c>
      <c r="J210" s="19">
        <v>44104</v>
      </c>
      <c r="K210" s="3">
        <f>J210-I210+1</f>
        <v>30</v>
      </c>
      <c r="L210" s="3">
        <f>ROUND(G210*H210*K210/366,0)</f>
        <v>38361</v>
      </c>
      <c r="M210" s="3">
        <v>93600000</v>
      </c>
    </row>
    <row r="211" spans="1:13" s="18" customFormat="1" outlineLevel="2">
      <c r="A211" s="19" t="s">
        <v>70</v>
      </c>
      <c r="B211" s="20" t="s">
        <v>29</v>
      </c>
      <c r="C211" s="21" t="s">
        <v>69</v>
      </c>
      <c r="D211" s="20" t="s">
        <v>68</v>
      </c>
      <c r="E211" s="3">
        <v>576400000</v>
      </c>
      <c r="F211" s="19">
        <v>44013</v>
      </c>
      <c r="G211" s="3">
        <v>576400000</v>
      </c>
      <c r="H211" s="2">
        <v>5.0000000000000001E-3</v>
      </c>
      <c r="I211" s="19">
        <v>44075</v>
      </c>
      <c r="J211" s="19">
        <v>44104</v>
      </c>
      <c r="K211" s="3">
        <f>J211-I211+1</f>
        <v>30</v>
      </c>
      <c r="L211" s="3">
        <f>ROUND(G211*H211*K211/366,0)</f>
        <v>236230</v>
      </c>
      <c r="M211" s="3">
        <v>576400000</v>
      </c>
    </row>
    <row r="212" spans="1:13" s="18" customFormat="1" ht="13.5" outlineLevel="1">
      <c r="A212" s="22" t="s">
        <v>67</v>
      </c>
      <c r="B212" s="23"/>
      <c r="C212" s="24"/>
      <c r="D212" s="23"/>
      <c r="E212" s="25">
        <f>SUBTOTAL(9,E209:E211)</f>
        <v>1000000000</v>
      </c>
      <c r="F212" s="26"/>
      <c r="G212" s="25"/>
      <c r="H212" s="27"/>
      <c r="I212" s="26"/>
      <c r="J212" s="26"/>
      <c r="K212" s="25"/>
      <c r="L212" s="25">
        <f>SUBTOTAL(9,L209:L211)</f>
        <v>409837</v>
      </c>
      <c r="M212" s="25">
        <f>SUBTOTAL(9,M209:M211)</f>
        <v>1000000000</v>
      </c>
    </row>
    <row r="213" spans="1:13" s="18" customFormat="1" outlineLevel="2">
      <c r="A213" s="19" t="s">
        <v>91</v>
      </c>
      <c r="B213" s="20" t="s">
        <v>16</v>
      </c>
      <c r="C213" s="21" t="s">
        <v>90</v>
      </c>
      <c r="D213" s="20" t="s">
        <v>89</v>
      </c>
      <c r="E213" s="3">
        <v>3400000</v>
      </c>
      <c r="F213" s="19">
        <v>43927</v>
      </c>
      <c r="G213" s="3">
        <v>3400000</v>
      </c>
      <c r="H213" s="2">
        <v>5.0000000000000001E-3</v>
      </c>
      <c r="I213" s="19">
        <v>44075</v>
      </c>
      <c r="J213" s="19">
        <v>44104</v>
      </c>
      <c r="K213" s="3">
        <f t="shared" ref="K213:K218" si="18">J213-I213+1</f>
        <v>30</v>
      </c>
      <c r="L213" s="3">
        <f t="shared" ref="L213:L218" si="19">ROUND(G213*H213*K213/366,0)</f>
        <v>1393</v>
      </c>
      <c r="M213" s="3">
        <v>3400000</v>
      </c>
    </row>
    <row r="214" spans="1:13" s="18" customFormat="1" outlineLevel="2">
      <c r="A214" s="19" t="s">
        <v>91</v>
      </c>
      <c r="B214" s="20" t="s">
        <v>23</v>
      </c>
      <c r="C214" s="21" t="s">
        <v>90</v>
      </c>
      <c r="D214" s="20" t="s">
        <v>89</v>
      </c>
      <c r="E214" s="3">
        <v>70440000</v>
      </c>
      <c r="F214" s="19">
        <v>43951</v>
      </c>
      <c r="G214" s="3">
        <v>70440000</v>
      </c>
      <c r="H214" s="2">
        <v>5.0000000000000001E-3</v>
      </c>
      <c r="I214" s="19">
        <v>44075</v>
      </c>
      <c r="J214" s="19">
        <v>44104</v>
      </c>
      <c r="K214" s="3">
        <f t="shared" si="18"/>
        <v>30</v>
      </c>
      <c r="L214" s="3">
        <f t="shared" si="19"/>
        <v>28869</v>
      </c>
      <c r="M214" s="3">
        <v>70440000</v>
      </c>
    </row>
    <row r="215" spans="1:13" s="18" customFormat="1" outlineLevel="2">
      <c r="A215" s="19" t="s">
        <v>91</v>
      </c>
      <c r="B215" s="20" t="s">
        <v>29</v>
      </c>
      <c r="C215" s="21" t="s">
        <v>104</v>
      </c>
      <c r="D215" s="20" t="s">
        <v>103</v>
      </c>
      <c r="E215" s="3">
        <v>182300000</v>
      </c>
      <c r="F215" s="19">
        <v>43959</v>
      </c>
      <c r="G215" s="3">
        <v>182300000</v>
      </c>
      <c r="H215" s="2">
        <v>5.0000000000000001E-3</v>
      </c>
      <c r="I215" s="19">
        <v>44075</v>
      </c>
      <c r="J215" s="19">
        <v>44104</v>
      </c>
      <c r="K215" s="3">
        <f t="shared" si="18"/>
        <v>30</v>
      </c>
      <c r="L215" s="3">
        <f t="shared" si="19"/>
        <v>74713</v>
      </c>
      <c r="M215" s="3">
        <v>182300000</v>
      </c>
    </row>
    <row r="216" spans="1:13" s="18" customFormat="1" outlineLevel="2">
      <c r="A216" s="19" t="s">
        <v>91</v>
      </c>
      <c r="B216" s="20" t="s">
        <v>30</v>
      </c>
      <c r="C216" s="21" t="s">
        <v>189</v>
      </c>
      <c r="D216" s="20" t="s">
        <v>190</v>
      </c>
      <c r="E216" s="3">
        <v>610000</v>
      </c>
      <c r="F216" s="19">
        <v>44085</v>
      </c>
      <c r="G216" s="3">
        <v>610000</v>
      </c>
      <c r="H216" s="2">
        <v>5.0000000000000001E-3</v>
      </c>
      <c r="I216" s="19">
        <v>44085</v>
      </c>
      <c r="J216" s="19">
        <v>44088</v>
      </c>
      <c r="K216" s="3">
        <f t="shared" si="18"/>
        <v>4</v>
      </c>
      <c r="L216" s="3">
        <f t="shared" si="19"/>
        <v>33</v>
      </c>
      <c r="M216" s="3">
        <v>590000</v>
      </c>
    </row>
    <row r="217" spans="1:13" s="18" customFormat="1" outlineLevel="2">
      <c r="A217" s="19" t="s">
        <v>91</v>
      </c>
      <c r="B217" s="20" t="s">
        <v>30</v>
      </c>
      <c r="C217" s="21" t="s">
        <v>189</v>
      </c>
      <c r="D217" s="20"/>
      <c r="E217" s="3"/>
      <c r="F217" s="19"/>
      <c r="G217" s="3">
        <v>590000</v>
      </c>
      <c r="H217" s="2">
        <v>5.0000000000000001E-3</v>
      </c>
      <c r="I217" s="19">
        <v>44089</v>
      </c>
      <c r="J217" s="19">
        <v>44104</v>
      </c>
      <c r="K217" s="3">
        <f t="shared" si="18"/>
        <v>16</v>
      </c>
      <c r="L217" s="3">
        <f t="shared" si="19"/>
        <v>129</v>
      </c>
      <c r="M217" s="3"/>
    </row>
    <row r="218" spans="1:13" s="18" customFormat="1" outlineLevel="2">
      <c r="A218" s="19" t="s">
        <v>91</v>
      </c>
      <c r="B218" s="20" t="s">
        <v>31</v>
      </c>
      <c r="C218" s="21" t="s">
        <v>188</v>
      </c>
      <c r="D218" s="20" t="s">
        <v>89</v>
      </c>
      <c r="E218" s="3">
        <v>18080000</v>
      </c>
      <c r="F218" s="19">
        <v>44102</v>
      </c>
      <c r="G218" s="3">
        <v>18080000</v>
      </c>
      <c r="H218" s="2">
        <v>5.0000000000000001E-3</v>
      </c>
      <c r="I218" s="19">
        <v>44102</v>
      </c>
      <c r="J218" s="19">
        <v>44104</v>
      </c>
      <c r="K218" s="3">
        <f t="shared" si="18"/>
        <v>3</v>
      </c>
      <c r="L218" s="3">
        <f t="shared" si="19"/>
        <v>741</v>
      </c>
      <c r="M218" s="3">
        <v>18080000</v>
      </c>
    </row>
    <row r="219" spans="1:13" s="18" customFormat="1" ht="13.5" outlineLevel="1">
      <c r="A219" s="22" t="s">
        <v>88</v>
      </c>
      <c r="B219" s="23"/>
      <c r="C219" s="24"/>
      <c r="D219" s="23"/>
      <c r="E219" s="25">
        <f>SUBTOTAL(9,E213:E218)</f>
        <v>274830000</v>
      </c>
      <c r="F219" s="26"/>
      <c r="G219" s="25"/>
      <c r="H219" s="27"/>
      <c r="I219" s="26"/>
      <c r="J219" s="26"/>
      <c r="K219" s="25"/>
      <c r="L219" s="25">
        <f>SUBTOTAL(9,L213:L218)</f>
        <v>105878</v>
      </c>
      <c r="M219" s="25">
        <f>SUBTOTAL(9,M213:M218)</f>
        <v>274810000</v>
      </c>
    </row>
    <row r="220" spans="1:13" s="18" customFormat="1" outlineLevel="2">
      <c r="A220" s="19" t="s">
        <v>87</v>
      </c>
      <c r="B220" s="20" t="s">
        <v>16</v>
      </c>
      <c r="C220" s="21" t="s">
        <v>69</v>
      </c>
      <c r="D220" s="20" t="s">
        <v>68</v>
      </c>
      <c r="E220" s="3">
        <v>43200000</v>
      </c>
      <c r="F220" s="19">
        <v>43937</v>
      </c>
      <c r="G220" s="3">
        <v>43200000</v>
      </c>
      <c r="H220" s="2">
        <v>3.0000000000000001E-3</v>
      </c>
      <c r="I220" s="19">
        <v>44075</v>
      </c>
      <c r="J220" s="19">
        <v>44104</v>
      </c>
      <c r="K220" s="3">
        <f>J220-I220+1</f>
        <v>30</v>
      </c>
      <c r="L220" s="3">
        <f>ROUND(G220*H220*K220/366,0)</f>
        <v>10623</v>
      </c>
      <c r="M220" s="3">
        <v>43200000</v>
      </c>
    </row>
    <row r="221" spans="1:13" s="18" customFormat="1" outlineLevel="2">
      <c r="A221" s="19" t="s">
        <v>87</v>
      </c>
      <c r="B221" s="20" t="s">
        <v>23</v>
      </c>
      <c r="C221" s="21" t="s">
        <v>69</v>
      </c>
      <c r="D221" s="20" t="s">
        <v>68</v>
      </c>
      <c r="E221" s="3">
        <v>330000000</v>
      </c>
      <c r="F221" s="19">
        <v>44013</v>
      </c>
      <c r="G221" s="3">
        <v>330000000</v>
      </c>
      <c r="H221" s="2">
        <v>3.0000000000000001E-3</v>
      </c>
      <c r="I221" s="19">
        <v>44075</v>
      </c>
      <c r="J221" s="19">
        <v>44104</v>
      </c>
      <c r="K221" s="3">
        <f>J221-I221+1</f>
        <v>30</v>
      </c>
      <c r="L221" s="3">
        <f>ROUND(G221*H221*K221/366,0)</f>
        <v>81148</v>
      </c>
      <c r="M221" s="3">
        <v>330000000</v>
      </c>
    </row>
    <row r="222" spans="1:13" s="18" customFormat="1" outlineLevel="2">
      <c r="A222" s="19" t="s">
        <v>87</v>
      </c>
      <c r="B222" s="20" t="s">
        <v>29</v>
      </c>
      <c r="C222" s="21" t="s">
        <v>69</v>
      </c>
      <c r="D222" s="20" t="s">
        <v>68</v>
      </c>
      <c r="E222" s="3">
        <v>120000000</v>
      </c>
      <c r="F222" s="19">
        <v>44049</v>
      </c>
      <c r="G222" s="3">
        <v>120000000</v>
      </c>
      <c r="H222" s="2">
        <v>3.0000000000000001E-3</v>
      </c>
      <c r="I222" s="19">
        <v>44075</v>
      </c>
      <c r="J222" s="19">
        <v>44104</v>
      </c>
      <c r="K222" s="3">
        <f>J222-I222+1</f>
        <v>30</v>
      </c>
      <c r="L222" s="3">
        <f>ROUND(G222*H222*K222/366,0)</f>
        <v>29508</v>
      </c>
      <c r="M222" s="3">
        <v>120000000</v>
      </c>
    </row>
    <row r="223" spans="1:13" s="18" customFormat="1" ht="13.5" outlineLevel="1">
      <c r="A223" s="22" t="s">
        <v>86</v>
      </c>
      <c r="B223" s="23"/>
      <c r="C223" s="24"/>
      <c r="D223" s="23"/>
      <c r="E223" s="25">
        <f>SUBTOTAL(9,E220:E222)</f>
        <v>493200000</v>
      </c>
      <c r="F223" s="26"/>
      <c r="G223" s="25"/>
      <c r="H223" s="27"/>
      <c r="I223" s="26"/>
      <c r="J223" s="26"/>
      <c r="K223" s="25"/>
      <c r="L223" s="25">
        <f>SUBTOTAL(9,L220:L222)</f>
        <v>121279</v>
      </c>
      <c r="M223" s="25">
        <f>SUBTOTAL(9,M220:M222)</f>
        <v>493200000</v>
      </c>
    </row>
    <row r="224" spans="1:13" s="18" customFormat="1" outlineLevel="2">
      <c r="A224" s="19" t="s">
        <v>40</v>
      </c>
      <c r="B224" s="20" t="s">
        <v>16</v>
      </c>
      <c r="C224" s="21" t="s">
        <v>41</v>
      </c>
      <c r="D224" s="20" t="s">
        <v>42</v>
      </c>
      <c r="E224" s="3">
        <v>126000000</v>
      </c>
      <c r="F224" s="19">
        <v>43804</v>
      </c>
      <c r="G224" s="3">
        <v>126000000</v>
      </c>
      <c r="H224" s="2">
        <v>5.0000000000000001E-3</v>
      </c>
      <c r="I224" s="19">
        <v>44075</v>
      </c>
      <c r="J224" s="19">
        <v>44104</v>
      </c>
      <c r="K224" s="3">
        <f t="shared" ref="K224:K265" si="20">J224-I224+1</f>
        <v>30</v>
      </c>
      <c r="L224" s="3">
        <f t="shared" ref="L224:L265" si="21">ROUND(G224*H224*K224/366,0)</f>
        <v>51639</v>
      </c>
      <c r="M224" s="3">
        <v>126000000</v>
      </c>
    </row>
    <row r="225" spans="1:13" s="18" customFormat="1" outlineLevel="2">
      <c r="A225" s="19" t="s">
        <v>40</v>
      </c>
      <c r="B225" s="20" t="s">
        <v>61</v>
      </c>
      <c r="C225" s="21" t="s">
        <v>47</v>
      </c>
      <c r="D225" s="20" t="s">
        <v>42</v>
      </c>
      <c r="E225" s="3">
        <v>46600000</v>
      </c>
      <c r="F225" s="19">
        <v>43866</v>
      </c>
      <c r="G225" s="3">
        <v>46600000</v>
      </c>
      <c r="H225" s="2">
        <v>5.0000000000000001E-3</v>
      </c>
      <c r="I225" s="19">
        <v>44075</v>
      </c>
      <c r="J225" s="19">
        <v>44104</v>
      </c>
      <c r="K225" s="3">
        <f t="shared" si="20"/>
        <v>30</v>
      </c>
      <c r="L225" s="3">
        <f t="shared" si="21"/>
        <v>19098</v>
      </c>
      <c r="M225" s="3">
        <v>46600000</v>
      </c>
    </row>
    <row r="226" spans="1:13" s="18" customFormat="1" outlineLevel="2">
      <c r="A226" s="19" t="s">
        <v>40</v>
      </c>
      <c r="B226" s="20" t="s">
        <v>60</v>
      </c>
      <c r="C226" s="21" t="s">
        <v>47</v>
      </c>
      <c r="D226" s="20" t="s">
        <v>42</v>
      </c>
      <c r="E226" s="3">
        <v>1300000</v>
      </c>
      <c r="F226" s="19">
        <v>43866</v>
      </c>
      <c r="G226" s="3">
        <v>1300000</v>
      </c>
      <c r="H226" s="2">
        <v>5.0000000000000001E-3</v>
      </c>
      <c r="I226" s="19">
        <v>44075</v>
      </c>
      <c r="J226" s="19">
        <v>44104</v>
      </c>
      <c r="K226" s="3">
        <f t="shared" si="20"/>
        <v>30</v>
      </c>
      <c r="L226" s="3">
        <f t="shared" si="21"/>
        <v>533</v>
      </c>
      <c r="M226" s="3">
        <v>1300000</v>
      </c>
    </row>
    <row r="227" spans="1:13" s="18" customFormat="1" outlineLevel="2">
      <c r="A227" s="19" t="s">
        <v>40</v>
      </c>
      <c r="B227" s="20" t="s">
        <v>66</v>
      </c>
      <c r="C227" s="21" t="s">
        <v>43</v>
      </c>
      <c r="D227" s="20" t="s">
        <v>44</v>
      </c>
      <c r="E227" s="3">
        <v>9087600</v>
      </c>
      <c r="F227" s="19">
        <v>43901</v>
      </c>
      <c r="G227" s="3">
        <v>9087600</v>
      </c>
      <c r="H227" s="2">
        <v>5.0000000000000001E-3</v>
      </c>
      <c r="I227" s="19">
        <v>44075</v>
      </c>
      <c r="J227" s="19">
        <v>44104</v>
      </c>
      <c r="K227" s="3">
        <f t="shared" si="20"/>
        <v>30</v>
      </c>
      <c r="L227" s="3">
        <f t="shared" si="21"/>
        <v>3724</v>
      </c>
      <c r="M227" s="3">
        <v>9087600</v>
      </c>
    </row>
    <row r="228" spans="1:13" s="18" customFormat="1" outlineLevel="2">
      <c r="A228" s="19" t="s">
        <v>40</v>
      </c>
      <c r="B228" s="20" t="s">
        <v>65</v>
      </c>
      <c r="C228" s="21" t="s">
        <v>43</v>
      </c>
      <c r="D228" s="20" t="s">
        <v>44</v>
      </c>
      <c r="E228" s="3">
        <v>7270080</v>
      </c>
      <c r="F228" s="19">
        <v>43901</v>
      </c>
      <c r="G228" s="3">
        <v>7270080</v>
      </c>
      <c r="H228" s="2">
        <v>5.0000000000000001E-3</v>
      </c>
      <c r="I228" s="19">
        <v>44075</v>
      </c>
      <c r="J228" s="19">
        <v>44104</v>
      </c>
      <c r="K228" s="3">
        <f t="shared" si="20"/>
        <v>30</v>
      </c>
      <c r="L228" s="3">
        <f t="shared" si="21"/>
        <v>2980</v>
      </c>
      <c r="M228" s="3">
        <v>7270080</v>
      </c>
    </row>
    <row r="229" spans="1:13" s="18" customFormat="1" outlineLevel="2">
      <c r="A229" s="19" t="s">
        <v>40</v>
      </c>
      <c r="B229" s="20" t="s">
        <v>64</v>
      </c>
      <c r="C229" s="21" t="s">
        <v>47</v>
      </c>
      <c r="D229" s="20" t="s">
        <v>42</v>
      </c>
      <c r="E229" s="3">
        <v>99400000</v>
      </c>
      <c r="F229" s="19">
        <v>43917</v>
      </c>
      <c r="G229" s="3">
        <v>99400000</v>
      </c>
      <c r="H229" s="2">
        <v>5.0000000000000001E-3</v>
      </c>
      <c r="I229" s="19">
        <v>44075</v>
      </c>
      <c r="J229" s="19">
        <v>44104</v>
      </c>
      <c r="K229" s="3">
        <f t="shared" si="20"/>
        <v>30</v>
      </c>
      <c r="L229" s="3">
        <f t="shared" si="21"/>
        <v>40738</v>
      </c>
      <c r="M229" s="3">
        <v>99400000</v>
      </c>
    </row>
    <row r="230" spans="1:13" s="18" customFormat="1" outlineLevel="2">
      <c r="A230" s="19" t="s">
        <v>40</v>
      </c>
      <c r="B230" s="20" t="s">
        <v>85</v>
      </c>
      <c r="C230" s="21" t="s">
        <v>43</v>
      </c>
      <c r="D230" s="20" t="s">
        <v>44</v>
      </c>
      <c r="E230" s="3">
        <v>9087600</v>
      </c>
      <c r="F230" s="19">
        <v>43929</v>
      </c>
      <c r="G230" s="3">
        <v>9087600</v>
      </c>
      <c r="H230" s="2">
        <v>5.0000000000000001E-3</v>
      </c>
      <c r="I230" s="19">
        <v>44075</v>
      </c>
      <c r="J230" s="19">
        <v>44104</v>
      </c>
      <c r="K230" s="3">
        <f t="shared" si="20"/>
        <v>30</v>
      </c>
      <c r="L230" s="3">
        <f t="shared" si="21"/>
        <v>3724</v>
      </c>
      <c r="M230" s="3">
        <v>9087600</v>
      </c>
    </row>
    <row r="231" spans="1:13" s="18" customFormat="1" outlineLevel="2">
      <c r="A231" s="19" t="s">
        <v>40</v>
      </c>
      <c r="B231" s="20" t="s">
        <v>84</v>
      </c>
      <c r="C231" s="21" t="s">
        <v>43</v>
      </c>
      <c r="D231" s="20" t="s">
        <v>44</v>
      </c>
      <c r="E231" s="3">
        <v>13007640</v>
      </c>
      <c r="F231" s="19">
        <v>43929</v>
      </c>
      <c r="G231" s="3">
        <v>13007640</v>
      </c>
      <c r="H231" s="2">
        <v>5.0000000000000001E-3</v>
      </c>
      <c r="I231" s="19">
        <v>44075</v>
      </c>
      <c r="J231" s="19">
        <v>44104</v>
      </c>
      <c r="K231" s="3">
        <f t="shared" si="20"/>
        <v>30</v>
      </c>
      <c r="L231" s="3">
        <f t="shared" si="21"/>
        <v>5331</v>
      </c>
      <c r="M231" s="3">
        <v>13007640</v>
      </c>
    </row>
    <row r="232" spans="1:13" s="18" customFormat="1" outlineLevel="2">
      <c r="A232" s="19" t="s">
        <v>40</v>
      </c>
      <c r="B232" s="20" t="s">
        <v>83</v>
      </c>
      <c r="C232" s="21" t="s">
        <v>82</v>
      </c>
      <c r="D232" s="20" t="s">
        <v>81</v>
      </c>
      <c r="E232" s="3">
        <v>61668037</v>
      </c>
      <c r="F232" s="19">
        <v>43949</v>
      </c>
      <c r="G232" s="3">
        <v>61668037</v>
      </c>
      <c r="H232" s="2">
        <v>5.0000000000000001E-3</v>
      </c>
      <c r="I232" s="19">
        <v>44075</v>
      </c>
      <c r="J232" s="19">
        <v>44104</v>
      </c>
      <c r="K232" s="3">
        <f t="shared" si="20"/>
        <v>30</v>
      </c>
      <c r="L232" s="3">
        <f t="shared" si="21"/>
        <v>25274</v>
      </c>
      <c r="M232" s="3">
        <v>61668037</v>
      </c>
    </row>
    <row r="233" spans="1:13" s="18" customFormat="1" outlineLevel="2">
      <c r="A233" s="19" t="s">
        <v>40</v>
      </c>
      <c r="B233" s="20" t="s">
        <v>102</v>
      </c>
      <c r="C233" s="21" t="s">
        <v>43</v>
      </c>
      <c r="D233" s="20" t="s">
        <v>44</v>
      </c>
      <c r="E233" s="3">
        <v>13007640</v>
      </c>
      <c r="F233" s="19">
        <v>43964</v>
      </c>
      <c r="G233" s="3">
        <v>13007640</v>
      </c>
      <c r="H233" s="2">
        <v>5.0000000000000001E-3</v>
      </c>
      <c r="I233" s="19">
        <v>44075</v>
      </c>
      <c r="J233" s="19">
        <v>44104</v>
      </c>
      <c r="K233" s="3">
        <f t="shared" si="20"/>
        <v>30</v>
      </c>
      <c r="L233" s="3">
        <f t="shared" si="21"/>
        <v>5331</v>
      </c>
      <c r="M233" s="3">
        <v>13007640</v>
      </c>
    </row>
    <row r="234" spans="1:13" s="18" customFormat="1" outlineLevel="2">
      <c r="A234" s="19" t="s">
        <v>40</v>
      </c>
      <c r="B234" s="20" t="s">
        <v>101</v>
      </c>
      <c r="C234" s="21" t="s">
        <v>43</v>
      </c>
      <c r="D234" s="20" t="s">
        <v>44</v>
      </c>
      <c r="E234" s="3">
        <v>6361320</v>
      </c>
      <c r="F234" s="19">
        <v>43964</v>
      </c>
      <c r="G234" s="3">
        <v>6361320</v>
      </c>
      <c r="H234" s="2">
        <v>5.0000000000000001E-3</v>
      </c>
      <c r="I234" s="19">
        <v>44075</v>
      </c>
      <c r="J234" s="19">
        <v>44104</v>
      </c>
      <c r="K234" s="3">
        <f t="shared" si="20"/>
        <v>30</v>
      </c>
      <c r="L234" s="3">
        <f t="shared" si="21"/>
        <v>2607</v>
      </c>
      <c r="M234" s="3">
        <v>6361320</v>
      </c>
    </row>
    <row r="235" spans="1:13" s="18" customFormat="1" outlineLevel="2">
      <c r="A235" s="19" t="s">
        <v>40</v>
      </c>
      <c r="B235" s="20" t="s">
        <v>23</v>
      </c>
      <c r="C235" s="21" t="s">
        <v>43</v>
      </c>
      <c r="D235" s="20" t="s">
        <v>44</v>
      </c>
      <c r="E235" s="3">
        <v>5452560</v>
      </c>
      <c r="F235" s="19">
        <v>43810</v>
      </c>
      <c r="G235" s="3">
        <v>5452560</v>
      </c>
      <c r="H235" s="2">
        <v>5.0000000000000001E-3</v>
      </c>
      <c r="I235" s="19">
        <v>44075</v>
      </c>
      <c r="J235" s="19">
        <v>44104</v>
      </c>
      <c r="K235" s="3">
        <f t="shared" si="20"/>
        <v>30</v>
      </c>
      <c r="L235" s="3">
        <f t="shared" si="21"/>
        <v>2235</v>
      </c>
      <c r="M235" s="3">
        <v>5452560</v>
      </c>
    </row>
    <row r="236" spans="1:13" s="18" customFormat="1" outlineLevel="2">
      <c r="A236" s="19" t="s">
        <v>40</v>
      </c>
      <c r="B236" s="20" t="s">
        <v>100</v>
      </c>
      <c r="C236" s="21" t="s">
        <v>47</v>
      </c>
      <c r="D236" s="20" t="s">
        <v>42</v>
      </c>
      <c r="E236" s="3">
        <v>69800000</v>
      </c>
      <c r="F236" s="19">
        <v>43956</v>
      </c>
      <c r="G236" s="3">
        <v>69800000</v>
      </c>
      <c r="H236" s="2">
        <v>5.0000000000000001E-3</v>
      </c>
      <c r="I236" s="19">
        <v>44075</v>
      </c>
      <c r="J236" s="19">
        <v>44104</v>
      </c>
      <c r="K236" s="3">
        <f t="shared" si="20"/>
        <v>30</v>
      </c>
      <c r="L236" s="3">
        <f t="shared" si="21"/>
        <v>28607</v>
      </c>
      <c r="M236" s="3">
        <v>69800000</v>
      </c>
    </row>
    <row r="237" spans="1:13" s="18" customFormat="1" outlineLevel="2">
      <c r="A237" s="19" t="s">
        <v>40</v>
      </c>
      <c r="B237" s="20" t="s">
        <v>99</v>
      </c>
      <c r="C237" s="21" t="s">
        <v>47</v>
      </c>
      <c r="D237" s="20" t="s">
        <v>42</v>
      </c>
      <c r="E237" s="3">
        <v>1500000</v>
      </c>
      <c r="F237" s="19">
        <v>43956</v>
      </c>
      <c r="G237" s="3">
        <v>1500000</v>
      </c>
      <c r="H237" s="2">
        <v>5.0000000000000001E-3</v>
      </c>
      <c r="I237" s="19">
        <v>44075</v>
      </c>
      <c r="J237" s="19">
        <v>44104</v>
      </c>
      <c r="K237" s="3">
        <f t="shared" si="20"/>
        <v>30</v>
      </c>
      <c r="L237" s="3">
        <f t="shared" si="21"/>
        <v>615</v>
      </c>
      <c r="M237" s="3">
        <v>1500000</v>
      </c>
    </row>
    <row r="238" spans="1:13" s="18" customFormat="1" outlineLevel="2">
      <c r="A238" s="19" t="s">
        <v>40</v>
      </c>
      <c r="B238" s="20" t="s">
        <v>98</v>
      </c>
      <c r="C238" s="21" t="s">
        <v>97</v>
      </c>
      <c r="D238" s="20" t="s">
        <v>96</v>
      </c>
      <c r="E238" s="3">
        <v>50000000</v>
      </c>
      <c r="F238" s="19">
        <v>43976</v>
      </c>
      <c r="G238" s="3">
        <v>50000000</v>
      </c>
      <c r="H238" s="2">
        <v>5.0000000000000001E-3</v>
      </c>
      <c r="I238" s="19">
        <v>44075</v>
      </c>
      <c r="J238" s="19">
        <v>44104</v>
      </c>
      <c r="K238" s="3">
        <f t="shared" si="20"/>
        <v>30</v>
      </c>
      <c r="L238" s="3">
        <f t="shared" si="21"/>
        <v>20492</v>
      </c>
      <c r="M238" s="3">
        <v>50000000</v>
      </c>
    </row>
    <row r="239" spans="1:13" s="18" customFormat="1" outlineLevel="2">
      <c r="A239" s="19" t="s">
        <v>40</v>
      </c>
      <c r="B239" s="20" t="s">
        <v>122</v>
      </c>
      <c r="C239" s="21" t="s">
        <v>43</v>
      </c>
      <c r="D239" s="20" t="s">
        <v>44</v>
      </c>
      <c r="E239" s="3">
        <v>6657720</v>
      </c>
      <c r="F239" s="19">
        <v>43992</v>
      </c>
      <c r="G239" s="3">
        <v>6657720</v>
      </c>
      <c r="H239" s="2">
        <v>5.0000000000000001E-3</v>
      </c>
      <c r="I239" s="19">
        <v>44075</v>
      </c>
      <c r="J239" s="19">
        <v>44104</v>
      </c>
      <c r="K239" s="3">
        <f t="shared" si="20"/>
        <v>30</v>
      </c>
      <c r="L239" s="3">
        <f t="shared" si="21"/>
        <v>2729</v>
      </c>
      <c r="M239" s="3">
        <v>6657720</v>
      </c>
    </row>
    <row r="240" spans="1:13" s="18" customFormat="1" outlineLevel="2">
      <c r="A240" s="19" t="s">
        <v>40</v>
      </c>
      <c r="B240" s="20" t="s">
        <v>121</v>
      </c>
      <c r="C240" s="21" t="s">
        <v>43</v>
      </c>
      <c r="D240" s="20" t="s">
        <v>44</v>
      </c>
      <c r="E240" s="3">
        <v>6361320</v>
      </c>
      <c r="F240" s="19">
        <v>43992</v>
      </c>
      <c r="G240" s="3">
        <v>6361320</v>
      </c>
      <c r="H240" s="2">
        <v>5.0000000000000001E-3</v>
      </c>
      <c r="I240" s="19">
        <v>44075</v>
      </c>
      <c r="J240" s="19">
        <v>44104</v>
      </c>
      <c r="K240" s="3">
        <f t="shared" si="20"/>
        <v>30</v>
      </c>
      <c r="L240" s="3">
        <f t="shared" si="21"/>
        <v>2607</v>
      </c>
      <c r="M240" s="3">
        <v>6361320</v>
      </c>
    </row>
    <row r="241" spans="1:13" s="18" customFormat="1" outlineLevel="2">
      <c r="A241" s="19" t="s">
        <v>40</v>
      </c>
      <c r="B241" s="20" t="s">
        <v>120</v>
      </c>
      <c r="C241" s="21" t="s">
        <v>47</v>
      </c>
      <c r="D241" s="20" t="s">
        <v>42</v>
      </c>
      <c r="E241" s="3">
        <v>41200000</v>
      </c>
      <c r="F241" s="19">
        <v>43987</v>
      </c>
      <c r="G241" s="3">
        <v>41200000</v>
      </c>
      <c r="H241" s="2">
        <v>5.0000000000000001E-3</v>
      </c>
      <c r="I241" s="19">
        <v>44075</v>
      </c>
      <c r="J241" s="19">
        <v>44104</v>
      </c>
      <c r="K241" s="3">
        <f t="shared" si="20"/>
        <v>30</v>
      </c>
      <c r="L241" s="3">
        <f t="shared" si="21"/>
        <v>16885</v>
      </c>
      <c r="M241" s="3">
        <v>41200000</v>
      </c>
    </row>
    <row r="242" spans="1:13" s="18" customFormat="1" outlineLevel="2">
      <c r="A242" s="19" t="s">
        <v>40</v>
      </c>
      <c r="B242" s="20" t="s">
        <v>147</v>
      </c>
      <c r="C242" s="21" t="s">
        <v>43</v>
      </c>
      <c r="D242" s="20" t="s">
        <v>44</v>
      </c>
      <c r="E242" s="3">
        <v>6657720</v>
      </c>
      <c r="F242" s="19">
        <v>44020</v>
      </c>
      <c r="G242" s="3">
        <v>6657720</v>
      </c>
      <c r="H242" s="2">
        <v>5.0000000000000001E-3</v>
      </c>
      <c r="I242" s="19">
        <v>44075</v>
      </c>
      <c r="J242" s="19">
        <v>44104</v>
      </c>
      <c r="K242" s="3">
        <f t="shared" si="20"/>
        <v>30</v>
      </c>
      <c r="L242" s="3">
        <f t="shared" si="21"/>
        <v>2729</v>
      </c>
      <c r="M242" s="3">
        <v>6657720</v>
      </c>
    </row>
    <row r="243" spans="1:13" s="18" customFormat="1" outlineLevel="2">
      <c r="A243" s="19" t="s">
        <v>40</v>
      </c>
      <c r="B243" s="20" t="s">
        <v>146</v>
      </c>
      <c r="C243" s="21" t="s">
        <v>43</v>
      </c>
      <c r="D243" s="20" t="s">
        <v>44</v>
      </c>
      <c r="E243" s="3">
        <v>6657720</v>
      </c>
      <c r="F243" s="19">
        <v>44020</v>
      </c>
      <c r="G243" s="3">
        <v>6657720</v>
      </c>
      <c r="H243" s="2">
        <v>5.0000000000000001E-3</v>
      </c>
      <c r="I243" s="19">
        <v>44075</v>
      </c>
      <c r="J243" s="19">
        <v>44104</v>
      </c>
      <c r="K243" s="3">
        <f t="shared" si="20"/>
        <v>30</v>
      </c>
      <c r="L243" s="3">
        <f t="shared" si="21"/>
        <v>2729</v>
      </c>
      <c r="M243" s="3">
        <v>6657720</v>
      </c>
    </row>
    <row r="244" spans="1:13" s="18" customFormat="1" outlineLevel="2">
      <c r="A244" s="19" t="s">
        <v>40</v>
      </c>
      <c r="B244" s="20" t="s">
        <v>145</v>
      </c>
      <c r="C244" s="21" t="s">
        <v>47</v>
      </c>
      <c r="D244" s="20" t="s">
        <v>42</v>
      </c>
      <c r="E244" s="3">
        <v>11800000</v>
      </c>
      <c r="F244" s="19">
        <v>44015</v>
      </c>
      <c r="G244" s="3">
        <v>11800000</v>
      </c>
      <c r="H244" s="2">
        <v>5.0000000000000001E-3</v>
      </c>
      <c r="I244" s="19">
        <v>44075</v>
      </c>
      <c r="J244" s="19">
        <v>44104</v>
      </c>
      <c r="K244" s="3">
        <f t="shared" si="20"/>
        <v>30</v>
      </c>
      <c r="L244" s="3">
        <f t="shared" si="21"/>
        <v>4836</v>
      </c>
      <c r="M244" s="3">
        <v>11800000</v>
      </c>
    </row>
    <row r="245" spans="1:13" s="18" customFormat="1" outlineLevel="2">
      <c r="A245" s="19" t="s">
        <v>40</v>
      </c>
      <c r="B245" s="20" t="s">
        <v>144</v>
      </c>
      <c r="C245" s="21" t="s">
        <v>47</v>
      </c>
      <c r="D245" s="20" t="s">
        <v>42</v>
      </c>
      <c r="E245" s="3">
        <v>2600000</v>
      </c>
      <c r="F245" s="19">
        <v>44015</v>
      </c>
      <c r="G245" s="3">
        <v>2600000</v>
      </c>
      <c r="H245" s="2">
        <v>5.0000000000000001E-3</v>
      </c>
      <c r="I245" s="19">
        <v>44075</v>
      </c>
      <c r="J245" s="19">
        <v>44104</v>
      </c>
      <c r="K245" s="3">
        <f t="shared" si="20"/>
        <v>30</v>
      </c>
      <c r="L245" s="3">
        <f t="shared" si="21"/>
        <v>1066</v>
      </c>
      <c r="M245" s="3">
        <v>2600000</v>
      </c>
    </row>
    <row r="246" spans="1:13" s="18" customFormat="1" outlineLevel="2">
      <c r="A246" s="19" t="s">
        <v>40</v>
      </c>
      <c r="B246" s="20" t="s">
        <v>29</v>
      </c>
      <c r="C246" s="21" t="s">
        <v>45</v>
      </c>
      <c r="D246" s="20" t="s">
        <v>46</v>
      </c>
      <c r="E246" s="3">
        <v>220000000</v>
      </c>
      <c r="F246" s="19">
        <v>43815</v>
      </c>
      <c r="G246" s="3">
        <v>220000000</v>
      </c>
      <c r="H246" s="2">
        <v>5.0000000000000001E-3</v>
      </c>
      <c r="I246" s="19">
        <v>44075</v>
      </c>
      <c r="J246" s="19">
        <v>44104</v>
      </c>
      <c r="K246" s="3">
        <f t="shared" si="20"/>
        <v>30</v>
      </c>
      <c r="L246" s="3">
        <f t="shared" si="21"/>
        <v>90164</v>
      </c>
      <c r="M246" s="3">
        <v>220000000</v>
      </c>
    </row>
    <row r="247" spans="1:13" s="18" customFormat="1" outlineLevel="2">
      <c r="A247" s="19" t="s">
        <v>40</v>
      </c>
      <c r="B247" s="20" t="s">
        <v>143</v>
      </c>
      <c r="C247" s="21" t="s">
        <v>27</v>
      </c>
      <c r="D247" s="20" t="s">
        <v>28</v>
      </c>
      <c r="E247" s="3">
        <v>10400000</v>
      </c>
      <c r="F247" s="19">
        <v>44033</v>
      </c>
      <c r="G247" s="3">
        <v>10400000</v>
      </c>
      <c r="H247" s="2">
        <v>5.0000000000000001E-3</v>
      </c>
      <c r="I247" s="19">
        <v>44075</v>
      </c>
      <c r="J247" s="19">
        <v>44104</v>
      </c>
      <c r="K247" s="3">
        <f t="shared" si="20"/>
        <v>30</v>
      </c>
      <c r="L247" s="3">
        <f t="shared" si="21"/>
        <v>4262</v>
      </c>
      <c r="M247" s="3">
        <v>10400000</v>
      </c>
    </row>
    <row r="248" spans="1:13" s="18" customFormat="1" outlineLevel="2">
      <c r="A248" s="19" t="s">
        <v>40</v>
      </c>
      <c r="B248" s="20" t="s">
        <v>142</v>
      </c>
      <c r="C248" s="21" t="s">
        <v>141</v>
      </c>
      <c r="D248" s="20" t="s">
        <v>140</v>
      </c>
      <c r="E248" s="3">
        <v>28200000</v>
      </c>
      <c r="F248" s="19">
        <v>44027</v>
      </c>
      <c r="G248" s="3">
        <v>28200000</v>
      </c>
      <c r="H248" s="2">
        <v>5.0000000000000001E-3</v>
      </c>
      <c r="I248" s="19">
        <v>44075</v>
      </c>
      <c r="J248" s="19">
        <v>44104</v>
      </c>
      <c r="K248" s="3">
        <f t="shared" si="20"/>
        <v>30</v>
      </c>
      <c r="L248" s="3">
        <f t="shared" si="21"/>
        <v>11557</v>
      </c>
      <c r="M248" s="3">
        <v>28200000</v>
      </c>
    </row>
    <row r="249" spans="1:13" s="18" customFormat="1" outlineLevel="2">
      <c r="A249" s="19" t="s">
        <v>40</v>
      </c>
      <c r="B249" s="20" t="s">
        <v>152</v>
      </c>
      <c r="C249" s="21" t="s">
        <v>43</v>
      </c>
      <c r="D249" s="20" t="s">
        <v>44</v>
      </c>
      <c r="E249" s="3">
        <v>6657720</v>
      </c>
      <c r="F249" s="19">
        <v>44055</v>
      </c>
      <c r="G249" s="3">
        <v>6657720</v>
      </c>
      <c r="H249" s="2">
        <v>5.0000000000000001E-3</v>
      </c>
      <c r="I249" s="19">
        <v>44075</v>
      </c>
      <c r="J249" s="19">
        <v>44104</v>
      </c>
      <c r="K249" s="3">
        <f t="shared" si="20"/>
        <v>30</v>
      </c>
      <c r="L249" s="3">
        <f t="shared" si="21"/>
        <v>2729</v>
      </c>
      <c r="M249" s="3">
        <v>6657720</v>
      </c>
    </row>
    <row r="250" spans="1:13" s="18" customFormat="1" outlineLevel="2">
      <c r="A250" s="19" t="s">
        <v>40</v>
      </c>
      <c r="B250" s="20" t="s">
        <v>168</v>
      </c>
      <c r="C250" s="21" t="s">
        <v>43</v>
      </c>
      <c r="D250" s="20" t="s">
        <v>44</v>
      </c>
      <c r="E250" s="3">
        <v>6714720</v>
      </c>
      <c r="F250" s="19">
        <v>44055</v>
      </c>
      <c r="G250" s="3">
        <v>6714720</v>
      </c>
      <c r="H250" s="2">
        <v>5.0000000000000001E-3</v>
      </c>
      <c r="I250" s="19">
        <v>44075</v>
      </c>
      <c r="J250" s="19">
        <v>44104</v>
      </c>
      <c r="K250" s="3">
        <f t="shared" si="20"/>
        <v>30</v>
      </c>
      <c r="L250" s="3">
        <f t="shared" si="21"/>
        <v>2752</v>
      </c>
      <c r="M250" s="3">
        <v>6714720</v>
      </c>
    </row>
    <row r="251" spans="1:13" s="18" customFormat="1" outlineLevel="2">
      <c r="A251" s="19" t="s">
        <v>40</v>
      </c>
      <c r="B251" s="20" t="s">
        <v>167</v>
      </c>
      <c r="C251" s="21" t="s">
        <v>47</v>
      </c>
      <c r="D251" s="20" t="s">
        <v>42</v>
      </c>
      <c r="E251" s="3">
        <v>47630000</v>
      </c>
      <c r="F251" s="19">
        <v>44048</v>
      </c>
      <c r="G251" s="3">
        <v>47630000</v>
      </c>
      <c r="H251" s="2">
        <v>5.0000000000000001E-3</v>
      </c>
      <c r="I251" s="19">
        <v>44075</v>
      </c>
      <c r="J251" s="19">
        <v>44104</v>
      </c>
      <c r="K251" s="3">
        <f t="shared" si="20"/>
        <v>30</v>
      </c>
      <c r="L251" s="3">
        <f t="shared" si="21"/>
        <v>19520</v>
      </c>
      <c r="M251" s="3">
        <v>47630000</v>
      </c>
    </row>
    <row r="252" spans="1:13" s="18" customFormat="1" outlineLevel="2">
      <c r="A252" s="19" t="s">
        <v>40</v>
      </c>
      <c r="B252" s="20" t="s">
        <v>166</v>
      </c>
      <c r="C252" s="21" t="s">
        <v>47</v>
      </c>
      <c r="D252" s="20" t="s">
        <v>42</v>
      </c>
      <c r="E252" s="3">
        <v>1970000</v>
      </c>
      <c r="F252" s="19">
        <v>44048</v>
      </c>
      <c r="G252" s="3">
        <v>1970000</v>
      </c>
      <c r="H252" s="2">
        <v>5.0000000000000001E-3</v>
      </c>
      <c r="I252" s="19">
        <v>44075</v>
      </c>
      <c r="J252" s="19">
        <v>44104</v>
      </c>
      <c r="K252" s="3">
        <f t="shared" si="20"/>
        <v>30</v>
      </c>
      <c r="L252" s="3">
        <f t="shared" si="21"/>
        <v>807</v>
      </c>
      <c r="M252" s="3">
        <v>1970000</v>
      </c>
    </row>
    <row r="253" spans="1:13" s="18" customFormat="1" outlineLevel="2">
      <c r="A253" s="19" t="s">
        <v>40</v>
      </c>
      <c r="B253" s="20" t="s">
        <v>165</v>
      </c>
      <c r="C253" s="21" t="s">
        <v>164</v>
      </c>
      <c r="D253" s="20" t="s">
        <v>163</v>
      </c>
      <c r="E253" s="3">
        <v>27700000</v>
      </c>
      <c r="F253" s="19">
        <v>44071</v>
      </c>
      <c r="G253" s="3">
        <v>27700000</v>
      </c>
      <c r="H253" s="2">
        <v>5.0000000000000001E-3</v>
      </c>
      <c r="I253" s="19">
        <v>44075</v>
      </c>
      <c r="J253" s="19">
        <v>44104</v>
      </c>
      <c r="K253" s="3">
        <f t="shared" si="20"/>
        <v>30</v>
      </c>
      <c r="L253" s="3">
        <f t="shared" si="21"/>
        <v>11352</v>
      </c>
      <c r="M253" s="3">
        <v>27700000</v>
      </c>
    </row>
    <row r="254" spans="1:13" s="18" customFormat="1" outlineLevel="2">
      <c r="A254" s="19" t="s">
        <v>40</v>
      </c>
      <c r="B254" s="20" t="s">
        <v>180</v>
      </c>
      <c r="C254" s="21" t="s">
        <v>43</v>
      </c>
      <c r="D254" s="20" t="s">
        <v>44</v>
      </c>
      <c r="E254" s="3">
        <v>6714720</v>
      </c>
      <c r="F254" s="19">
        <v>44083</v>
      </c>
      <c r="G254" s="3">
        <v>6714720</v>
      </c>
      <c r="H254" s="2">
        <v>5.0000000000000001E-3</v>
      </c>
      <c r="I254" s="19">
        <v>44083</v>
      </c>
      <c r="J254" s="19">
        <v>44104</v>
      </c>
      <c r="K254" s="3">
        <f t="shared" si="20"/>
        <v>22</v>
      </c>
      <c r="L254" s="3">
        <f t="shared" si="21"/>
        <v>2018</v>
      </c>
      <c r="M254" s="3">
        <v>6714720</v>
      </c>
    </row>
    <row r="255" spans="1:13" s="18" customFormat="1" outlineLevel="2">
      <c r="A255" s="19" t="s">
        <v>40</v>
      </c>
      <c r="B255" s="20" t="s">
        <v>179</v>
      </c>
      <c r="C255" s="21" t="s">
        <v>43</v>
      </c>
      <c r="D255" s="20" t="s">
        <v>44</v>
      </c>
      <c r="E255" s="3">
        <v>5805960</v>
      </c>
      <c r="F255" s="19">
        <v>44083</v>
      </c>
      <c r="G255" s="3">
        <v>5805960</v>
      </c>
      <c r="H255" s="2">
        <v>5.0000000000000001E-3</v>
      </c>
      <c r="I255" s="19">
        <v>44083</v>
      </c>
      <c r="J255" s="19">
        <v>44104</v>
      </c>
      <c r="K255" s="3">
        <f t="shared" si="20"/>
        <v>22</v>
      </c>
      <c r="L255" s="3">
        <f t="shared" si="21"/>
        <v>1745</v>
      </c>
      <c r="M255" s="3">
        <v>5805960</v>
      </c>
    </row>
    <row r="256" spans="1:13" s="18" customFormat="1" outlineLevel="2">
      <c r="A256" s="19" t="s">
        <v>40</v>
      </c>
      <c r="B256" s="20" t="s">
        <v>178</v>
      </c>
      <c r="C256" s="21" t="s">
        <v>47</v>
      </c>
      <c r="D256" s="20" t="s">
        <v>42</v>
      </c>
      <c r="E256" s="3">
        <v>19100000</v>
      </c>
      <c r="F256" s="19">
        <v>44078</v>
      </c>
      <c r="G256" s="3">
        <v>19100000</v>
      </c>
      <c r="H256" s="2">
        <v>5.0000000000000001E-3</v>
      </c>
      <c r="I256" s="19">
        <v>44078</v>
      </c>
      <c r="J256" s="19">
        <v>44104</v>
      </c>
      <c r="K256" s="3">
        <f t="shared" si="20"/>
        <v>27</v>
      </c>
      <c r="L256" s="3">
        <f t="shared" si="21"/>
        <v>7045</v>
      </c>
      <c r="M256" s="3">
        <v>19100000</v>
      </c>
    </row>
    <row r="257" spans="1:13" s="18" customFormat="1" outlineLevel="2">
      <c r="A257" s="19" t="s">
        <v>40</v>
      </c>
      <c r="B257" s="20" t="s">
        <v>30</v>
      </c>
      <c r="C257" s="21" t="s">
        <v>43</v>
      </c>
      <c r="D257" s="20" t="s">
        <v>44</v>
      </c>
      <c r="E257" s="3">
        <v>5452560</v>
      </c>
      <c r="F257" s="19">
        <v>43838</v>
      </c>
      <c r="G257" s="3">
        <v>5452560</v>
      </c>
      <c r="H257" s="2">
        <v>5.0000000000000001E-3</v>
      </c>
      <c r="I257" s="19">
        <v>44075</v>
      </c>
      <c r="J257" s="19">
        <v>44104</v>
      </c>
      <c r="K257" s="3">
        <f t="shared" si="20"/>
        <v>30</v>
      </c>
      <c r="L257" s="3">
        <f t="shared" si="21"/>
        <v>2235</v>
      </c>
      <c r="M257" s="3">
        <v>5452560</v>
      </c>
    </row>
    <row r="258" spans="1:13" s="18" customFormat="1" outlineLevel="2">
      <c r="A258" s="19" t="s">
        <v>40</v>
      </c>
      <c r="B258" s="20" t="s">
        <v>177</v>
      </c>
      <c r="C258" s="21" t="s">
        <v>97</v>
      </c>
      <c r="D258" s="20" t="s">
        <v>96</v>
      </c>
      <c r="E258" s="3">
        <v>31000000</v>
      </c>
      <c r="F258" s="19">
        <v>44102</v>
      </c>
      <c r="G258" s="3">
        <v>31000000</v>
      </c>
      <c r="H258" s="2">
        <v>5.0000000000000001E-3</v>
      </c>
      <c r="I258" s="19">
        <v>44102</v>
      </c>
      <c r="J258" s="19">
        <v>44104</v>
      </c>
      <c r="K258" s="3">
        <f t="shared" si="20"/>
        <v>3</v>
      </c>
      <c r="L258" s="3">
        <f t="shared" si="21"/>
        <v>1270</v>
      </c>
      <c r="M258" s="3">
        <v>31000000</v>
      </c>
    </row>
    <row r="259" spans="1:13" s="18" customFormat="1" outlineLevel="2">
      <c r="A259" s="19" t="s">
        <v>40</v>
      </c>
      <c r="B259" s="20" t="s">
        <v>176</v>
      </c>
      <c r="C259" s="21" t="s">
        <v>27</v>
      </c>
      <c r="D259" s="20" t="s">
        <v>28</v>
      </c>
      <c r="E259" s="3">
        <v>10700000</v>
      </c>
      <c r="F259" s="19">
        <v>44104</v>
      </c>
      <c r="G259" s="3">
        <v>10700000</v>
      </c>
      <c r="H259" s="2">
        <v>5.0000000000000001E-3</v>
      </c>
      <c r="I259" s="19">
        <v>44104</v>
      </c>
      <c r="J259" s="19">
        <v>44104</v>
      </c>
      <c r="K259" s="3">
        <f t="shared" si="20"/>
        <v>1</v>
      </c>
      <c r="L259" s="3">
        <f t="shared" si="21"/>
        <v>146</v>
      </c>
      <c r="M259" s="3">
        <v>10700000</v>
      </c>
    </row>
    <row r="260" spans="1:13" s="18" customFormat="1" outlineLevel="2">
      <c r="A260" s="19" t="s">
        <v>40</v>
      </c>
      <c r="B260" s="20" t="s">
        <v>173</v>
      </c>
      <c r="C260" s="21" t="s">
        <v>187</v>
      </c>
      <c r="D260" s="20" t="s">
        <v>186</v>
      </c>
      <c r="E260" s="3">
        <v>1000000000</v>
      </c>
      <c r="F260" s="19">
        <v>44102</v>
      </c>
      <c r="G260" s="3">
        <v>1000000000</v>
      </c>
      <c r="H260" s="2">
        <v>5.0000000000000001E-3</v>
      </c>
      <c r="I260" s="19">
        <v>44102</v>
      </c>
      <c r="J260" s="19">
        <v>44104</v>
      </c>
      <c r="K260" s="3">
        <f t="shared" si="20"/>
        <v>3</v>
      </c>
      <c r="L260" s="3">
        <f t="shared" si="21"/>
        <v>40984</v>
      </c>
      <c r="M260" s="3">
        <v>1000000000</v>
      </c>
    </row>
    <row r="261" spans="1:13" s="18" customFormat="1" outlineLevel="2">
      <c r="A261" s="19" t="s">
        <v>40</v>
      </c>
      <c r="B261" s="20" t="s">
        <v>31</v>
      </c>
      <c r="C261" s="21" t="s">
        <v>43</v>
      </c>
      <c r="D261" s="20" t="s">
        <v>44</v>
      </c>
      <c r="E261" s="3">
        <v>5452560</v>
      </c>
      <c r="F261" s="19">
        <v>43838</v>
      </c>
      <c r="G261" s="3">
        <v>5452560</v>
      </c>
      <c r="H261" s="2">
        <v>5.0000000000000001E-3</v>
      </c>
      <c r="I261" s="19">
        <v>44075</v>
      </c>
      <c r="J261" s="19">
        <v>44104</v>
      </c>
      <c r="K261" s="3">
        <f t="shared" si="20"/>
        <v>30</v>
      </c>
      <c r="L261" s="3">
        <f t="shared" si="21"/>
        <v>2235</v>
      </c>
      <c r="M261" s="3">
        <v>5452560</v>
      </c>
    </row>
    <row r="262" spans="1:13" s="18" customFormat="1" outlineLevel="2">
      <c r="A262" s="19" t="s">
        <v>40</v>
      </c>
      <c r="B262" s="20" t="s">
        <v>32</v>
      </c>
      <c r="C262" s="21" t="s">
        <v>47</v>
      </c>
      <c r="D262" s="20" t="s">
        <v>42</v>
      </c>
      <c r="E262" s="3">
        <v>55600000</v>
      </c>
      <c r="F262" s="19">
        <v>43833</v>
      </c>
      <c r="G262" s="3">
        <v>55600000</v>
      </c>
      <c r="H262" s="2">
        <v>5.0000000000000001E-3</v>
      </c>
      <c r="I262" s="19">
        <v>44075</v>
      </c>
      <c r="J262" s="19">
        <v>44104</v>
      </c>
      <c r="K262" s="3">
        <f t="shared" si="20"/>
        <v>30</v>
      </c>
      <c r="L262" s="3">
        <f t="shared" si="21"/>
        <v>22787</v>
      </c>
      <c r="M262" s="3">
        <v>55600000</v>
      </c>
    </row>
    <row r="263" spans="1:13" s="18" customFormat="1" outlineLevel="2">
      <c r="A263" s="19" t="s">
        <v>40</v>
      </c>
      <c r="B263" s="20" t="s">
        <v>48</v>
      </c>
      <c r="C263" s="21" t="s">
        <v>47</v>
      </c>
      <c r="D263" s="20" t="s">
        <v>42</v>
      </c>
      <c r="E263" s="3">
        <v>28400000</v>
      </c>
      <c r="F263" s="19">
        <v>43833</v>
      </c>
      <c r="G263" s="3">
        <v>28400000</v>
      </c>
      <c r="H263" s="2">
        <v>5.0000000000000001E-3</v>
      </c>
      <c r="I263" s="19">
        <v>44075</v>
      </c>
      <c r="J263" s="19">
        <v>44104</v>
      </c>
      <c r="K263" s="3">
        <f t="shared" si="20"/>
        <v>30</v>
      </c>
      <c r="L263" s="3">
        <f t="shared" si="21"/>
        <v>11639</v>
      </c>
      <c r="M263" s="3">
        <v>28400000</v>
      </c>
    </row>
    <row r="264" spans="1:13" s="18" customFormat="1" outlineLevel="2">
      <c r="A264" s="19" t="s">
        <v>40</v>
      </c>
      <c r="B264" s="20" t="s">
        <v>59</v>
      </c>
      <c r="C264" s="21" t="s">
        <v>43</v>
      </c>
      <c r="D264" s="20" t="s">
        <v>44</v>
      </c>
      <c r="E264" s="3">
        <v>5452560</v>
      </c>
      <c r="F264" s="19">
        <v>43873</v>
      </c>
      <c r="G264" s="3">
        <v>5452560</v>
      </c>
      <c r="H264" s="2">
        <v>5.0000000000000001E-3</v>
      </c>
      <c r="I264" s="19">
        <v>44075</v>
      </c>
      <c r="J264" s="19">
        <v>44104</v>
      </c>
      <c r="K264" s="3">
        <f t="shared" si="20"/>
        <v>30</v>
      </c>
      <c r="L264" s="3">
        <f t="shared" si="21"/>
        <v>2235</v>
      </c>
      <c r="M264" s="3">
        <v>5452560</v>
      </c>
    </row>
    <row r="265" spans="1:13" s="18" customFormat="1" outlineLevel="2">
      <c r="A265" s="19" t="s">
        <v>40</v>
      </c>
      <c r="B265" s="20" t="s">
        <v>58</v>
      </c>
      <c r="C265" s="21" t="s">
        <v>43</v>
      </c>
      <c r="D265" s="20" t="s">
        <v>44</v>
      </c>
      <c r="E265" s="3">
        <v>7270080</v>
      </c>
      <c r="F265" s="19">
        <v>43873</v>
      </c>
      <c r="G265" s="3">
        <v>7270080</v>
      </c>
      <c r="H265" s="2">
        <v>5.0000000000000001E-3</v>
      </c>
      <c r="I265" s="19">
        <v>44075</v>
      </c>
      <c r="J265" s="19">
        <v>44104</v>
      </c>
      <c r="K265" s="3">
        <f t="shared" si="20"/>
        <v>30</v>
      </c>
      <c r="L265" s="3">
        <f t="shared" si="21"/>
        <v>2980</v>
      </c>
      <c r="M265" s="3">
        <v>7270080</v>
      </c>
    </row>
    <row r="266" spans="1:13" s="18" customFormat="1" ht="13.5" outlineLevel="1">
      <c r="A266" s="22" t="s">
        <v>49</v>
      </c>
      <c r="B266" s="23"/>
      <c r="C266" s="24"/>
      <c r="D266" s="23"/>
      <c r="E266" s="25">
        <f>SUBTOTAL(9,E224:E265)</f>
        <v>2131697837</v>
      </c>
      <c r="F266" s="26"/>
      <c r="G266" s="25"/>
      <c r="H266" s="27"/>
      <c r="I266" s="26"/>
      <c r="J266" s="26"/>
      <c r="K266" s="25"/>
      <c r="L266" s="25">
        <f>SUBTOTAL(9,L224:L265)</f>
        <v>486971</v>
      </c>
      <c r="M266" s="25">
        <f>SUBTOTAL(9,M224:M265)</f>
        <v>2131697837</v>
      </c>
    </row>
    <row r="267" spans="1:13" s="18" customFormat="1" outlineLevel="2">
      <c r="A267" s="19" t="s">
        <v>119</v>
      </c>
      <c r="B267" s="20" t="s">
        <v>16</v>
      </c>
      <c r="C267" s="21" t="s">
        <v>97</v>
      </c>
      <c r="D267" s="20" t="s">
        <v>96</v>
      </c>
      <c r="E267" s="3">
        <v>20000000</v>
      </c>
      <c r="F267" s="19">
        <v>43985</v>
      </c>
      <c r="G267" s="3">
        <v>20000000</v>
      </c>
      <c r="H267" s="2">
        <v>5.0000000000000001E-3</v>
      </c>
      <c r="I267" s="19">
        <v>44075</v>
      </c>
      <c r="J267" s="19">
        <v>44104</v>
      </c>
      <c r="K267" s="3">
        <f>J267-I267+1</f>
        <v>30</v>
      </c>
      <c r="L267" s="3">
        <f>ROUND(G267*H267*K267/366,0)</f>
        <v>8197</v>
      </c>
      <c r="M267" s="3">
        <v>20000000</v>
      </c>
    </row>
    <row r="268" spans="1:13" s="18" customFormat="1" outlineLevel="2">
      <c r="A268" s="19" t="s">
        <v>119</v>
      </c>
      <c r="B268" s="20" t="s">
        <v>23</v>
      </c>
      <c r="C268" s="21" t="s">
        <v>97</v>
      </c>
      <c r="D268" s="20" t="s">
        <v>96</v>
      </c>
      <c r="E268" s="3">
        <v>13800000</v>
      </c>
      <c r="F268" s="19">
        <v>44034</v>
      </c>
      <c r="G268" s="3">
        <v>13800000</v>
      </c>
      <c r="H268" s="2">
        <v>5.0000000000000001E-3</v>
      </c>
      <c r="I268" s="19">
        <v>44075</v>
      </c>
      <c r="J268" s="19">
        <v>44104</v>
      </c>
      <c r="K268" s="3">
        <f>J268-I268+1</f>
        <v>30</v>
      </c>
      <c r="L268" s="3">
        <f>ROUND(G268*H268*K268/366,0)</f>
        <v>5656</v>
      </c>
      <c r="M268" s="3">
        <v>13800000</v>
      </c>
    </row>
    <row r="269" spans="1:13" s="18" customFormat="1" outlineLevel="2">
      <c r="A269" s="19" t="s">
        <v>119</v>
      </c>
      <c r="B269" s="20" t="s">
        <v>29</v>
      </c>
      <c r="C269" s="21" t="s">
        <v>97</v>
      </c>
      <c r="D269" s="20" t="s">
        <v>96</v>
      </c>
      <c r="E269" s="3">
        <v>25000000</v>
      </c>
      <c r="F269" s="19">
        <v>44102</v>
      </c>
      <c r="G269" s="3">
        <v>25000000</v>
      </c>
      <c r="H269" s="2">
        <v>5.0000000000000001E-3</v>
      </c>
      <c r="I269" s="19">
        <v>44102</v>
      </c>
      <c r="J269" s="19">
        <v>44104</v>
      </c>
      <c r="K269" s="3">
        <f>J269-I269+1</f>
        <v>3</v>
      </c>
      <c r="L269" s="3">
        <f>ROUND(G269*H269*K269/366,0)</f>
        <v>1025</v>
      </c>
      <c r="M269" s="3">
        <v>25000000</v>
      </c>
    </row>
    <row r="270" spans="1:13" s="18" customFormat="1" outlineLevel="2">
      <c r="A270" s="19" t="s">
        <v>119</v>
      </c>
      <c r="B270" s="20" t="s">
        <v>30</v>
      </c>
      <c r="C270" s="21" t="s">
        <v>97</v>
      </c>
      <c r="D270" s="20" t="s">
        <v>96</v>
      </c>
      <c r="E270" s="3">
        <v>5600000</v>
      </c>
      <c r="F270" s="19">
        <v>44103</v>
      </c>
      <c r="G270" s="3">
        <v>5600000</v>
      </c>
      <c r="H270" s="2">
        <v>5.0000000000000001E-3</v>
      </c>
      <c r="I270" s="19">
        <v>44103</v>
      </c>
      <c r="J270" s="19">
        <v>44104</v>
      </c>
      <c r="K270" s="3">
        <f>J270-I270+1</f>
        <v>2</v>
      </c>
      <c r="L270" s="3">
        <f>ROUND(G270*H270*K270/366,0)</f>
        <v>153</v>
      </c>
      <c r="M270" s="3">
        <v>5600000</v>
      </c>
    </row>
    <row r="271" spans="1:13" s="18" customFormat="1" ht="13.5" outlineLevel="1">
      <c r="A271" s="22" t="s">
        <v>118</v>
      </c>
      <c r="B271" s="23"/>
      <c r="C271" s="24"/>
      <c r="D271" s="23"/>
      <c r="E271" s="25">
        <f>SUBTOTAL(9,E267:E270)</f>
        <v>64400000</v>
      </c>
      <c r="F271" s="26"/>
      <c r="G271" s="25"/>
      <c r="H271" s="27"/>
      <c r="I271" s="26"/>
      <c r="J271" s="26"/>
      <c r="K271" s="25"/>
      <c r="L271" s="25">
        <f>SUBTOTAL(9,L267:L270)</f>
        <v>15031</v>
      </c>
      <c r="M271" s="25">
        <f>SUBTOTAL(9,M267:M270)</f>
        <v>64400000</v>
      </c>
    </row>
    <row r="272" spans="1:13" s="18" customFormat="1" outlineLevel="2">
      <c r="A272" s="19" t="s">
        <v>63</v>
      </c>
      <c r="B272" s="20" t="s">
        <v>16</v>
      </c>
      <c r="C272" s="21" t="s">
        <v>21</v>
      </c>
      <c r="D272" s="20" t="s">
        <v>22</v>
      </c>
      <c r="E272" s="3">
        <v>72000000</v>
      </c>
      <c r="F272" s="19">
        <v>43917</v>
      </c>
      <c r="G272" s="3">
        <v>72000000</v>
      </c>
      <c r="H272" s="2">
        <v>5.0000000000000001E-3</v>
      </c>
      <c r="I272" s="19">
        <v>44075</v>
      </c>
      <c r="J272" s="19">
        <v>44104</v>
      </c>
      <c r="K272" s="3">
        <f>J272-I272+1</f>
        <v>30</v>
      </c>
      <c r="L272" s="3">
        <f>ROUND(G272*H272*K272/366,0)</f>
        <v>29508</v>
      </c>
      <c r="M272" s="3">
        <v>72000000</v>
      </c>
    </row>
    <row r="273" spans="1:13" s="18" customFormat="1" outlineLevel="2">
      <c r="A273" s="19" t="s">
        <v>63</v>
      </c>
      <c r="B273" s="20" t="s">
        <v>23</v>
      </c>
      <c r="C273" s="21" t="s">
        <v>21</v>
      </c>
      <c r="D273" s="20" t="s">
        <v>22</v>
      </c>
      <c r="E273" s="3">
        <v>144000000</v>
      </c>
      <c r="F273" s="19">
        <v>44018</v>
      </c>
      <c r="G273" s="3">
        <v>144000000</v>
      </c>
      <c r="H273" s="2">
        <v>5.0000000000000001E-3</v>
      </c>
      <c r="I273" s="19">
        <v>44075</v>
      </c>
      <c r="J273" s="19">
        <v>44104</v>
      </c>
      <c r="K273" s="3">
        <f>J273-I273+1</f>
        <v>30</v>
      </c>
      <c r="L273" s="3">
        <f>ROUND(G273*H273*K273/366,0)</f>
        <v>59016</v>
      </c>
      <c r="M273" s="3">
        <v>144000000</v>
      </c>
    </row>
    <row r="274" spans="1:13" s="18" customFormat="1" outlineLevel="2">
      <c r="A274" s="19" t="s">
        <v>63</v>
      </c>
      <c r="B274" s="20" t="s">
        <v>29</v>
      </c>
      <c r="C274" s="21" t="s">
        <v>185</v>
      </c>
      <c r="D274" s="20" t="s">
        <v>184</v>
      </c>
      <c r="E274" s="3">
        <v>6820000</v>
      </c>
      <c r="F274" s="19">
        <v>44092</v>
      </c>
      <c r="G274" s="3">
        <v>6820000</v>
      </c>
      <c r="H274" s="2">
        <v>5.0000000000000001E-3</v>
      </c>
      <c r="I274" s="19">
        <v>44092</v>
      </c>
      <c r="J274" s="19">
        <v>44104</v>
      </c>
      <c r="K274" s="3">
        <f>J274-I274+1</f>
        <v>13</v>
      </c>
      <c r="L274" s="3">
        <f>ROUND(G274*H274*K274/366,0)</f>
        <v>1211</v>
      </c>
      <c r="M274" s="3">
        <v>6820000</v>
      </c>
    </row>
    <row r="275" spans="1:13" s="18" customFormat="1" outlineLevel="2">
      <c r="A275" s="19" t="s">
        <v>63</v>
      </c>
      <c r="B275" s="20" t="s">
        <v>30</v>
      </c>
      <c r="C275" s="21" t="s">
        <v>185</v>
      </c>
      <c r="D275" s="20" t="s">
        <v>184</v>
      </c>
      <c r="E275" s="3">
        <v>17380000</v>
      </c>
      <c r="F275" s="19">
        <v>44092</v>
      </c>
      <c r="G275" s="3">
        <v>17380000</v>
      </c>
      <c r="H275" s="2">
        <v>5.0000000000000001E-3</v>
      </c>
      <c r="I275" s="19">
        <v>44092</v>
      </c>
      <c r="J275" s="19">
        <v>44104</v>
      </c>
      <c r="K275" s="3">
        <f>J275-I275+1</f>
        <v>13</v>
      </c>
      <c r="L275" s="3">
        <f>ROUND(G275*H275*K275/366,0)</f>
        <v>3087</v>
      </c>
      <c r="M275" s="3">
        <v>17380000</v>
      </c>
    </row>
    <row r="276" spans="1:13" s="18" customFormat="1" ht="13.5" outlineLevel="1">
      <c r="A276" s="22" t="s">
        <v>62</v>
      </c>
      <c r="B276" s="23"/>
      <c r="C276" s="24"/>
      <c r="D276" s="23"/>
      <c r="E276" s="25">
        <f>SUBTOTAL(9,E272:E275)</f>
        <v>240200000</v>
      </c>
      <c r="F276" s="26"/>
      <c r="G276" s="25"/>
      <c r="H276" s="27"/>
      <c r="I276" s="26"/>
      <c r="J276" s="26"/>
      <c r="K276" s="25"/>
      <c r="L276" s="25">
        <f>SUBTOTAL(9,L272:L275)</f>
        <v>92822</v>
      </c>
      <c r="M276" s="25">
        <f>SUBTOTAL(9,M272:M275)</f>
        <v>240200000</v>
      </c>
    </row>
    <row r="277" spans="1:13" s="18" customFormat="1" outlineLevel="2">
      <c r="A277" s="19" t="s">
        <v>50</v>
      </c>
      <c r="B277" s="20" t="s">
        <v>16</v>
      </c>
      <c r="C277" s="21" t="s">
        <v>21</v>
      </c>
      <c r="D277" s="20" t="s">
        <v>22</v>
      </c>
      <c r="E277" s="3">
        <v>190000000</v>
      </c>
      <c r="F277" s="19">
        <v>43797</v>
      </c>
      <c r="G277" s="3">
        <v>190000000</v>
      </c>
      <c r="H277" s="2">
        <v>5.0000000000000001E-3</v>
      </c>
      <c r="I277" s="19">
        <v>44075</v>
      </c>
      <c r="J277" s="19">
        <v>44104</v>
      </c>
      <c r="K277" s="3">
        <f t="shared" ref="K277:K292" si="22">J277-I277+1</f>
        <v>30</v>
      </c>
      <c r="L277" s="3">
        <f t="shared" ref="L277:L292" si="23">ROUND(G277*H277*K277/366,0)</f>
        <v>77869</v>
      </c>
      <c r="M277" s="3">
        <v>190000000</v>
      </c>
    </row>
    <row r="278" spans="1:13" s="18" customFormat="1" outlineLevel="2">
      <c r="A278" s="19" t="s">
        <v>50</v>
      </c>
      <c r="B278" s="20" t="s">
        <v>61</v>
      </c>
      <c r="C278" s="21" t="s">
        <v>57</v>
      </c>
      <c r="D278" s="20" t="s">
        <v>56</v>
      </c>
      <c r="E278" s="3">
        <v>1310400</v>
      </c>
      <c r="F278" s="19">
        <v>44043</v>
      </c>
      <c r="G278" s="3">
        <v>1286575</v>
      </c>
      <c r="H278" s="2">
        <v>5.0000000000000001E-3</v>
      </c>
      <c r="I278" s="19">
        <v>44075</v>
      </c>
      <c r="J278" s="19">
        <v>44088</v>
      </c>
      <c r="K278" s="3">
        <f t="shared" si="22"/>
        <v>14</v>
      </c>
      <c r="L278" s="3">
        <f t="shared" si="23"/>
        <v>246</v>
      </c>
      <c r="M278" s="3">
        <v>1262750</v>
      </c>
    </row>
    <row r="279" spans="1:13" s="18" customFormat="1" outlineLevel="2">
      <c r="A279" s="19" t="s">
        <v>50</v>
      </c>
      <c r="B279" s="20" t="s">
        <v>61</v>
      </c>
      <c r="C279" s="21" t="s">
        <v>57</v>
      </c>
      <c r="D279" s="20"/>
      <c r="E279" s="3"/>
      <c r="F279" s="19"/>
      <c r="G279" s="3">
        <v>1262750</v>
      </c>
      <c r="H279" s="2">
        <v>5.0000000000000001E-3</v>
      </c>
      <c r="I279" s="19">
        <v>44089</v>
      </c>
      <c r="J279" s="19">
        <v>44104</v>
      </c>
      <c r="K279" s="3">
        <f t="shared" si="22"/>
        <v>16</v>
      </c>
      <c r="L279" s="3">
        <f t="shared" si="23"/>
        <v>276</v>
      </c>
      <c r="M279" s="3"/>
    </row>
    <row r="280" spans="1:13" s="18" customFormat="1" outlineLevel="2">
      <c r="A280" s="19" t="s">
        <v>50</v>
      </c>
      <c r="B280" s="20" t="s">
        <v>60</v>
      </c>
      <c r="C280" s="21" t="s">
        <v>69</v>
      </c>
      <c r="D280" s="20" t="s">
        <v>68</v>
      </c>
      <c r="E280" s="3">
        <v>201600000</v>
      </c>
      <c r="F280" s="19">
        <v>44028</v>
      </c>
      <c r="G280" s="3">
        <v>201600000</v>
      </c>
      <c r="H280" s="2">
        <v>3.0000000000000001E-3</v>
      </c>
      <c r="I280" s="19">
        <v>44075</v>
      </c>
      <c r="J280" s="19">
        <v>44104</v>
      </c>
      <c r="K280" s="3">
        <f t="shared" si="22"/>
        <v>30</v>
      </c>
      <c r="L280" s="3">
        <f t="shared" si="23"/>
        <v>49574</v>
      </c>
      <c r="M280" s="3">
        <v>201600000</v>
      </c>
    </row>
    <row r="281" spans="1:13" s="18" customFormat="1" outlineLevel="2">
      <c r="A281" s="19" t="s">
        <v>50</v>
      </c>
      <c r="B281" s="20" t="s">
        <v>66</v>
      </c>
      <c r="C281" s="21" t="s">
        <v>117</v>
      </c>
      <c r="D281" s="20" t="s">
        <v>116</v>
      </c>
      <c r="E281" s="3">
        <v>67678400</v>
      </c>
      <c r="F281" s="19">
        <v>44041</v>
      </c>
      <c r="G281" s="3">
        <v>67678400</v>
      </c>
      <c r="H281" s="2">
        <v>5.0000000000000001E-3</v>
      </c>
      <c r="I281" s="19">
        <v>44075</v>
      </c>
      <c r="J281" s="19">
        <v>44104</v>
      </c>
      <c r="K281" s="3">
        <f t="shared" si="22"/>
        <v>30</v>
      </c>
      <c r="L281" s="3">
        <f t="shared" si="23"/>
        <v>27737</v>
      </c>
      <c r="M281" s="3">
        <v>67678400</v>
      </c>
    </row>
    <row r="282" spans="1:13" s="18" customFormat="1" outlineLevel="2">
      <c r="A282" s="19" t="s">
        <v>50</v>
      </c>
      <c r="B282" s="20" t="s">
        <v>65</v>
      </c>
      <c r="C282" s="21" t="s">
        <v>117</v>
      </c>
      <c r="D282" s="20" t="s">
        <v>116</v>
      </c>
      <c r="E282" s="3">
        <v>56400000</v>
      </c>
      <c r="F282" s="19">
        <v>44060</v>
      </c>
      <c r="G282" s="3">
        <v>56400000</v>
      </c>
      <c r="H282" s="2">
        <v>5.0000000000000001E-3</v>
      </c>
      <c r="I282" s="19">
        <v>44075</v>
      </c>
      <c r="J282" s="19">
        <v>44104</v>
      </c>
      <c r="K282" s="3">
        <f t="shared" si="22"/>
        <v>30</v>
      </c>
      <c r="L282" s="3">
        <f t="shared" si="23"/>
        <v>23115</v>
      </c>
      <c r="M282" s="3">
        <v>56400000</v>
      </c>
    </row>
    <row r="283" spans="1:13" s="18" customFormat="1" outlineLevel="2">
      <c r="A283" s="19" t="s">
        <v>50</v>
      </c>
      <c r="B283" s="20" t="s">
        <v>64</v>
      </c>
      <c r="C283" s="21" t="s">
        <v>117</v>
      </c>
      <c r="D283" s="20" t="s">
        <v>116</v>
      </c>
      <c r="E283" s="3">
        <v>56400000</v>
      </c>
      <c r="F283" s="19">
        <v>44089</v>
      </c>
      <c r="G283" s="3">
        <v>56400000</v>
      </c>
      <c r="H283" s="2">
        <v>5.0000000000000001E-3</v>
      </c>
      <c r="I283" s="19">
        <v>44089</v>
      </c>
      <c r="J283" s="19">
        <v>44104</v>
      </c>
      <c r="K283" s="3">
        <f t="shared" si="22"/>
        <v>16</v>
      </c>
      <c r="L283" s="3">
        <f t="shared" si="23"/>
        <v>12328</v>
      </c>
      <c r="M283" s="3">
        <v>56400000</v>
      </c>
    </row>
    <row r="284" spans="1:13" s="18" customFormat="1" outlineLevel="2">
      <c r="A284" s="19" t="s">
        <v>50</v>
      </c>
      <c r="B284" s="20" t="s">
        <v>23</v>
      </c>
      <c r="C284" s="21" t="s">
        <v>21</v>
      </c>
      <c r="D284" s="20" t="s">
        <v>22</v>
      </c>
      <c r="E284" s="3">
        <v>37000000</v>
      </c>
      <c r="F284" s="19">
        <v>43829</v>
      </c>
      <c r="G284" s="3">
        <v>37000000</v>
      </c>
      <c r="H284" s="2">
        <v>5.0000000000000001E-3</v>
      </c>
      <c r="I284" s="19">
        <v>44075</v>
      </c>
      <c r="J284" s="19">
        <v>44104</v>
      </c>
      <c r="K284" s="3">
        <f t="shared" si="22"/>
        <v>30</v>
      </c>
      <c r="L284" s="3">
        <f t="shared" si="23"/>
        <v>15164</v>
      </c>
      <c r="M284" s="3">
        <v>37000000</v>
      </c>
    </row>
    <row r="285" spans="1:13" s="18" customFormat="1" outlineLevel="2">
      <c r="A285" s="19" t="s">
        <v>50</v>
      </c>
      <c r="B285" s="20" t="s">
        <v>29</v>
      </c>
      <c r="C285" s="21" t="s">
        <v>57</v>
      </c>
      <c r="D285" s="20" t="s">
        <v>56</v>
      </c>
      <c r="E285" s="3">
        <v>17276700</v>
      </c>
      <c r="F285" s="19">
        <v>43878</v>
      </c>
      <c r="G285" s="3">
        <v>15549030</v>
      </c>
      <c r="H285" s="2">
        <v>5.0000000000000001E-3</v>
      </c>
      <c r="I285" s="19">
        <v>44075</v>
      </c>
      <c r="J285" s="19">
        <v>44088</v>
      </c>
      <c r="K285" s="3">
        <f t="shared" si="22"/>
        <v>14</v>
      </c>
      <c r="L285" s="3">
        <f t="shared" si="23"/>
        <v>2974</v>
      </c>
      <c r="M285" s="3">
        <v>15261085</v>
      </c>
    </row>
    <row r="286" spans="1:13" s="18" customFormat="1" outlineLevel="2">
      <c r="A286" s="19" t="s">
        <v>50</v>
      </c>
      <c r="B286" s="20" t="s">
        <v>29</v>
      </c>
      <c r="C286" s="21" t="s">
        <v>57</v>
      </c>
      <c r="D286" s="20"/>
      <c r="E286" s="3"/>
      <c r="F286" s="19"/>
      <c r="G286" s="3">
        <v>15261085</v>
      </c>
      <c r="H286" s="2">
        <v>5.0000000000000001E-3</v>
      </c>
      <c r="I286" s="19">
        <v>44089</v>
      </c>
      <c r="J286" s="19">
        <v>44104</v>
      </c>
      <c r="K286" s="3">
        <f t="shared" si="22"/>
        <v>16</v>
      </c>
      <c r="L286" s="3">
        <f t="shared" si="23"/>
        <v>3336</v>
      </c>
      <c r="M286" s="3"/>
    </row>
    <row r="287" spans="1:13" s="18" customFormat="1" outlineLevel="2">
      <c r="A287" s="19" t="s">
        <v>50</v>
      </c>
      <c r="B287" s="20" t="s">
        <v>30</v>
      </c>
      <c r="C287" s="21" t="s">
        <v>21</v>
      </c>
      <c r="D287" s="20" t="s">
        <v>22</v>
      </c>
      <c r="E287" s="3">
        <v>73000000</v>
      </c>
      <c r="F287" s="19">
        <v>43896</v>
      </c>
      <c r="G287" s="3">
        <v>73000000</v>
      </c>
      <c r="H287" s="2">
        <v>5.0000000000000001E-3</v>
      </c>
      <c r="I287" s="19">
        <v>44075</v>
      </c>
      <c r="J287" s="19">
        <v>44104</v>
      </c>
      <c r="K287" s="3">
        <f t="shared" si="22"/>
        <v>30</v>
      </c>
      <c r="L287" s="3">
        <f t="shared" si="23"/>
        <v>29918</v>
      </c>
      <c r="M287" s="3">
        <v>73000000</v>
      </c>
    </row>
    <row r="288" spans="1:13" s="18" customFormat="1" outlineLevel="2">
      <c r="A288" s="19" t="s">
        <v>50</v>
      </c>
      <c r="B288" s="20" t="s">
        <v>31</v>
      </c>
      <c r="C288" s="21" t="s">
        <v>57</v>
      </c>
      <c r="D288" s="20" t="s">
        <v>56</v>
      </c>
      <c r="E288" s="3">
        <v>19997321</v>
      </c>
      <c r="F288" s="19">
        <v>43948</v>
      </c>
      <c r="G288" s="3">
        <v>19997321</v>
      </c>
      <c r="H288" s="2">
        <v>5.0000000000000001E-3</v>
      </c>
      <c r="I288" s="19">
        <v>44075</v>
      </c>
      <c r="J288" s="19">
        <v>44104</v>
      </c>
      <c r="K288" s="3">
        <f t="shared" si="22"/>
        <v>30</v>
      </c>
      <c r="L288" s="3">
        <f t="shared" si="23"/>
        <v>8196</v>
      </c>
      <c r="M288" s="3">
        <v>19997321</v>
      </c>
    </row>
    <row r="289" spans="1:16" s="18" customFormat="1" outlineLevel="2">
      <c r="A289" s="19" t="s">
        <v>50</v>
      </c>
      <c r="B289" s="20" t="s">
        <v>32</v>
      </c>
      <c r="C289" s="21" t="s">
        <v>69</v>
      </c>
      <c r="D289" s="20" t="s">
        <v>68</v>
      </c>
      <c r="E289" s="3">
        <v>242400000</v>
      </c>
      <c r="F289" s="19">
        <v>43930</v>
      </c>
      <c r="G289" s="3">
        <v>242400000</v>
      </c>
      <c r="H289" s="2">
        <v>3.0000000000000001E-3</v>
      </c>
      <c r="I289" s="19">
        <v>44075</v>
      </c>
      <c r="J289" s="19">
        <v>44104</v>
      </c>
      <c r="K289" s="3">
        <f t="shared" si="22"/>
        <v>30</v>
      </c>
      <c r="L289" s="3">
        <f t="shared" si="23"/>
        <v>59607</v>
      </c>
      <c r="M289" s="3">
        <v>242400000</v>
      </c>
    </row>
    <row r="290" spans="1:16" s="18" customFormat="1" outlineLevel="2">
      <c r="A290" s="19" t="s">
        <v>50</v>
      </c>
      <c r="B290" s="20" t="s">
        <v>48</v>
      </c>
      <c r="C290" s="21" t="s">
        <v>69</v>
      </c>
      <c r="D290" s="20" t="s">
        <v>68</v>
      </c>
      <c r="E290" s="3">
        <v>156000000</v>
      </c>
      <c r="F290" s="19">
        <v>43958</v>
      </c>
      <c r="G290" s="3">
        <v>156000000</v>
      </c>
      <c r="H290" s="2">
        <v>3.0000000000000001E-3</v>
      </c>
      <c r="I290" s="19">
        <v>44075</v>
      </c>
      <c r="J290" s="19">
        <v>44104</v>
      </c>
      <c r="K290" s="3">
        <f t="shared" si="22"/>
        <v>30</v>
      </c>
      <c r="L290" s="3">
        <f t="shared" si="23"/>
        <v>38361</v>
      </c>
      <c r="M290" s="3">
        <v>156000000</v>
      </c>
    </row>
    <row r="291" spans="1:16" s="18" customFormat="1" outlineLevel="2">
      <c r="A291" s="19" t="s">
        <v>50</v>
      </c>
      <c r="B291" s="20" t="s">
        <v>59</v>
      </c>
      <c r="C291" s="21" t="s">
        <v>117</v>
      </c>
      <c r="D291" s="20" t="s">
        <v>116</v>
      </c>
      <c r="E291" s="3">
        <v>33840000</v>
      </c>
      <c r="F291" s="19">
        <v>43986</v>
      </c>
      <c r="G291" s="3">
        <v>33840000</v>
      </c>
      <c r="H291" s="2">
        <v>5.0000000000000001E-3</v>
      </c>
      <c r="I291" s="19">
        <v>44075</v>
      </c>
      <c r="J291" s="19">
        <v>44104</v>
      </c>
      <c r="K291" s="3">
        <f t="shared" si="22"/>
        <v>30</v>
      </c>
      <c r="L291" s="3">
        <f t="shared" si="23"/>
        <v>13869</v>
      </c>
      <c r="M291" s="3">
        <v>33840000</v>
      </c>
    </row>
    <row r="292" spans="1:16" s="18" customFormat="1" outlineLevel="2">
      <c r="A292" s="19" t="s">
        <v>50</v>
      </c>
      <c r="B292" s="20" t="s">
        <v>58</v>
      </c>
      <c r="C292" s="21" t="s">
        <v>117</v>
      </c>
      <c r="D292" s="20" t="s">
        <v>116</v>
      </c>
      <c r="E292" s="3">
        <v>134396612</v>
      </c>
      <c r="F292" s="19">
        <v>43986</v>
      </c>
      <c r="G292" s="3">
        <v>134396612</v>
      </c>
      <c r="H292" s="2">
        <v>5.0000000000000001E-3</v>
      </c>
      <c r="I292" s="19">
        <v>44075</v>
      </c>
      <c r="J292" s="19">
        <v>44104</v>
      </c>
      <c r="K292" s="3">
        <f t="shared" si="22"/>
        <v>30</v>
      </c>
      <c r="L292" s="3">
        <f t="shared" si="23"/>
        <v>55081</v>
      </c>
      <c r="M292" s="3">
        <v>134396612</v>
      </c>
    </row>
    <row r="293" spans="1:16" s="18" customFormat="1" ht="13.5" outlineLevel="1">
      <c r="A293" s="22" t="s">
        <v>51</v>
      </c>
      <c r="B293" s="23"/>
      <c r="C293" s="24"/>
      <c r="D293" s="23"/>
      <c r="E293" s="25">
        <f>SUBTOTAL(9,E277:E292)</f>
        <v>1287299433</v>
      </c>
      <c r="F293" s="26"/>
      <c r="G293" s="25"/>
      <c r="H293" s="27"/>
      <c r="I293" s="26"/>
      <c r="J293" s="26"/>
      <c r="K293" s="25"/>
      <c r="L293" s="25">
        <f>SUBTOTAL(9,L277:L292)</f>
        <v>417651</v>
      </c>
      <c r="M293" s="25">
        <f>SUBTOTAL(9,M277:M292)</f>
        <v>1285236168</v>
      </c>
    </row>
    <row r="294" spans="1:16" s="34" customFormat="1" ht="13.5" outlineLevel="1">
      <c r="A294" s="28"/>
      <c r="B294" s="29"/>
      <c r="C294" s="30"/>
      <c r="D294" s="29"/>
      <c r="E294" s="31"/>
      <c r="F294" s="32"/>
      <c r="G294" s="31"/>
      <c r="H294" s="33"/>
      <c r="I294" s="32"/>
      <c r="J294" s="32"/>
      <c r="K294" s="31"/>
      <c r="L294" s="31"/>
      <c r="M294" s="31"/>
    </row>
    <row r="295" spans="1:16" s="18" customFormat="1" ht="13.5">
      <c r="A295" s="26" t="s">
        <v>52</v>
      </c>
      <c r="B295" s="23"/>
      <c r="C295" s="24"/>
      <c r="D295" s="23"/>
      <c r="E295" s="25">
        <f>SUBTOTAL(9,E4:E292)</f>
        <v>14189431632</v>
      </c>
      <c r="F295" s="26"/>
      <c r="G295" s="25"/>
      <c r="H295" s="27"/>
      <c r="I295" s="26"/>
      <c r="J295" s="26"/>
      <c r="K295" s="25"/>
      <c r="L295" s="25">
        <f>SUBTOTAL(9,L4:L292)</f>
        <v>4803401</v>
      </c>
      <c r="M295" s="25">
        <f>SUBTOTAL(9,M4:M292)</f>
        <v>14089881780</v>
      </c>
    </row>
    <row r="296" spans="1:16" s="18" customForma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</row>
    <row r="297" spans="1:16">
      <c r="A297" s="35" t="s">
        <v>53</v>
      </c>
      <c r="B297" s="35"/>
      <c r="E297" s="36" t="s">
        <v>55</v>
      </c>
      <c r="G297" s="6"/>
      <c r="H297" s="38" t="s">
        <v>54</v>
      </c>
      <c r="I297" s="37"/>
    </row>
    <row r="298" spans="1:16" s="18" customForma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 spans="1:16" s="18" customForma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</row>
    <row r="300" spans="1:16" s="18" customForma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</row>
    <row r="301" spans="1:16" s="18" customForma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 spans="1:16" s="18" customForma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</row>
    <row r="303" spans="1:16" s="18" customForma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</row>
    <row r="304" spans="1:16" s="18" customForma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 spans="1:16" s="18" customForma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</row>
    <row r="306" spans="1:16" s="18" customForma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</row>
    <row r="307" spans="1:16" s="18" customForma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</row>
    <row r="308" spans="1:16" s="18" customForma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</row>
    <row r="309" spans="1:16" s="18" customForma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</row>
    <row r="310" spans="1:16" s="18" customForma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</row>
    <row r="311" spans="1:16" s="18" customForma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</row>
    <row r="312" spans="1:16" s="18" customForma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</row>
    <row r="313" spans="1:16" s="18" customForma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</row>
    <row r="314" spans="1:16" s="18" customForma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</row>
    <row r="315" spans="1:16" s="18" customForma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</row>
    <row r="316" spans="1:16" s="18" customForma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</row>
    <row r="317" spans="1:16" s="18" customForma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</row>
    <row r="318" spans="1:16" s="18" customForma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</row>
    <row r="319" spans="1:16" s="18" customForma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</row>
    <row r="320" spans="1:16" s="18" customForma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</row>
    <row r="321" spans="1:16" s="18" customForma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</row>
    <row r="322" spans="1:16" s="18" customForma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</row>
    <row r="323" spans="1:16" s="18" customForma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</row>
    <row r="324" spans="1:16" s="18" customForma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</row>
    <row r="325" spans="1:16" s="18" customForma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</row>
    <row r="326" spans="1:16" s="18" customForma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</row>
    <row r="327" spans="1:16" s="18" customForma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</row>
    <row r="328" spans="1:16" s="18" customForma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</row>
    <row r="329" spans="1:16" s="18" customForma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</row>
    <row r="330" spans="1:16" s="18" customForma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</row>
    <row r="331" spans="1:16" s="18" customForma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</row>
    <row r="332" spans="1:16" s="18" customForma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</row>
    <row r="333" spans="1:16" s="18" customForma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</row>
    <row r="334" spans="1:16" s="18" customForma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</row>
    <row r="335" spans="1:16" s="18" customForma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</row>
    <row r="336" spans="1:16" s="18" customForma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</row>
    <row r="337" spans="1:16" s="18" customForma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</row>
    <row r="338" spans="1:16" s="18" customForma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</row>
    <row r="339" spans="1:16" s="18" customForma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</row>
    <row r="340" spans="1:16" s="18" customForma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 s="18" customForma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 spans="1:16" s="18" customForma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 spans="1:16" s="18" customForma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</sheetData>
  <autoFilter ref="A3:M293" xr:uid="{00000000-0009-0000-0000-000000000000}"/>
  <phoneticPr fontId="1" type="noConversion"/>
  <printOptions horizontalCentered="1"/>
  <pageMargins left="0.15748031496062992" right="0.15748031496062992" top="0.78740157480314965" bottom="0.78740157480314965" header="0.59055118110236227" footer="0.31496062992125984"/>
  <pageSetup paperSize="9" scale="90" orientation="landscape" r:id="rId1"/>
  <headerFooter alignWithMargins="0">
    <oddHeader>&amp;R附件2</oddHeader>
    <oddFooter>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9866-65DB-4B68-934D-B1279578E28D}">
  <dimension ref="A1:P843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7.73046875" style="6" bestFit="1" customWidth="1"/>
    <col min="2" max="2" width="8.33203125" style="6" bestFit="1" customWidth="1"/>
    <col min="3" max="3" width="21.46484375" style="6" bestFit="1" customWidth="1"/>
    <col min="4" max="4" width="12" style="6" bestFit="1" customWidth="1"/>
    <col min="5" max="5" width="14.73046875" style="10" bestFit="1" customWidth="1"/>
    <col min="6" max="6" width="12" style="11" bestFit="1" customWidth="1"/>
    <col min="7" max="7" width="13.46484375" style="10" bestFit="1" customWidth="1"/>
    <col min="8" max="8" width="10.33203125" style="12" bestFit="1" customWidth="1"/>
    <col min="9" max="10" width="9.73046875" style="6" bestFit="1" customWidth="1"/>
    <col min="11" max="11" width="10.33203125" style="6" bestFit="1" customWidth="1"/>
    <col min="12" max="12" width="10.33203125" style="10" bestFit="1" customWidth="1"/>
    <col min="13" max="13" width="14.7304687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44135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44105</v>
      </c>
      <c r="J4" s="19">
        <v>44135</v>
      </c>
      <c r="K4" s="3">
        <f t="shared" ref="K4:K27" si="0">J4-I4+1</f>
        <v>31</v>
      </c>
      <c r="L4" s="3">
        <f t="shared" ref="L4:L27" si="1">ROUND(G4*H4*K4/366,0)</f>
        <v>68818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44105</v>
      </c>
      <c r="J5" s="19">
        <v>44135</v>
      </c>
      <c r="K5" s="3">
        <f t="shared" si="0"/>
        <v>31</v>
      </c>
      <c r="L5" s="3">
        <f t="shared" si="1"/>
        <v>610</v>
      </c>
      <c r="M5" s="3">
        <v>2400000</v>
      </c>
    </row>
    <row r="6" spans="1:13" s="18" customFormat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44105</v>
      </c>
      <c r="J6" s="19">
        <v>44135</v>
      </c>
      <c r="K6" s="3">
        <f t="shared" si="0"/>
        <v>31</v>
      </c>
      <c r="L6" s="3">
        <f t="shared" si="1"/>
        <v>3121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44105</v>
      </c>
      <c r="J7" s="19">
        <v>44135</v>
      </c>
      <c r="K7" s="3">
        <f t="shared" si="0"/>
        <v>31</v>
      </c>
      <c r="L7" s="3">
        <f t="shared" si="1"/>
        <v>2494</v>
      </c>
      <c r="M7" s="3">
        <v>5890000</v>
      </c>
    </row>
    <row r="8" spans="1:13" s="18" customFormat="1" outlineLevel="2">
      <c r="A8" s="19" t="s">
        <v>15</v>
      </c>
      <c r="B8" s="20" t="s">
        <v>65</v>
      </c>
      <c r="C8" s="21" t="s">
        <v>158</v>
      </c>
      <c r="D8" s="20" t="s">
        <v>157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44105</v>
      </c>
      <c r="J8" s="19">
        <v>44135</v>
      </c>
      <c r="K8" s="3">
        <f t="shared" si="0"/>
        <v>31</v>
      </c>
      <c r="L8" s="3">
        <f t="shared" si="1"/>
        <v>1279</v>
      </c>
      <c r="M8" s="3">
        <v>3020000</v>
      </c>
    </row>
    <row r="9" spans="1:13" s="18" customFormat="1" outlineLevel="2">
      <c r="A9" s="19" t="s">
        <v>15</v>
      </c>
      <c r="B9" s="20" t="s">
        <v>64</v>
      </c>
      <c r="C9" s="21" t="s">
        <v>97</v>
      </c>
      <c r="D9" s="20" t="s">
        <v>96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44105</v>
      </c>
      <c r="J9" s="19">
        <v>44135</v>
      </c>
      <c r="K9" s="3">
        <f t="shared" si="0"/>
        <v>31</v>
      </c>
      <c r="L9" s="3">
        <f t="shared" si="1"/>
        <v>35828</v>
      </c>
      <c r="M9" s="3">
        <v>84600000</v>
      </c>
    </row>
    <row r="10" spans="1:13" s="18" customFormat="1" outlineLevel="2">
      <c r="A10" s="19" t="s">
        <v>15</v>
      </c>
      <c r="B10" s="20" t="s">
        <v>85</v>
      </c>
      <c r="C10" s="21" t="s">
        <v>97</v>
      </c>
      <c r="D10" s="20" t="s">
        <v>96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44105</v>
      </c>
      <c r="J10" s="19">
        <v>44135</v>
      </c>
      <c r="K10" s="3">
        <f t="shared" si="0"/>
        <v>31</v>
      </c>
      <c r="L10" s="3">
        <f t="shared" si="1"/>
        <v>25410</v>
      </c>
      <c r="M10" s="3">
        <v>60000000</v>
      </c>
    </row>
    <row r="11" spans="1:13" s="18" customFormat="1" outlineLevel="2">
      <c r="A11" s="19" t="s">
        <v>15</v>
      </c>
      <c r="B11" s="20" t="s">
        <v>84</v>
      </c>
      <c r="C11" s="21" t="s">
        <v>69</v>
      </c>
      <c r="D11" s="20" t="s">
        <v>68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44105</v>
      </c>
      <c r="J11" s="19">
        <v>44135</v>
      </c>
      <c r="K11" s="3">
        <f t="shared" si="0"/>
        <v>31</v>
      </c>
      <c r="L11" s="3">
        <f t="shared" si="1"/>
        <v>41164</v>
      </c>
      <c r="M11" s="3">
        <v>162000000</v>
      </c>
    </row>
    <row r="12" spans="1:13" s="18" customFormat="1" outlineLevel="2">
      <c r="A12" s="19" t="s">
        <v>15</v>
      </c>
      <c r="B12" s="20" t="s">
        <v>83</v>
      </c>
      <c r="C12" s="21" t="s">
        <v>17</v>
      </c>
      <c r="D12" s="20" t="s">
        <v>18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44105</v>
      </c>
      <c r="J12" s="19">
        <v>44135</v>
      </c>
      <c r="K12" s="3">
        <f t="shared" si="0"/>
        <v>31</v>
      </c>
      <c r="L12" s="3">
        <f t="shared" si="1"/>
        <v>1756</v>
      </c>
      <c r="M12" s="3">
        <v>4147000</v>
      </c>
    </row>
    <row r="13" spans="1:13" s="18" customFormat="1" outlineLevel="2">
      <c r="A13" s="19" t="s">
        <v>15</v>
      </c>
      <c r="B13" s="20" t="s">
        <v>102</v>
      </c>
      <c r="C13" s="21" t="s">
        <v>158</v>
      </c>
      <c r="D13" s="20" t="s">
        <v>157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44105</v>
      </c>
      <c r="J13" s="19">
        <v>44135</v>
      </c>
      <c r="K13" s="3">
        <f t="shared" si="0"/>
        <v>31</v>
      </c>
      <c r="L13" s="3">
        <f t="shared" si="1"/>
        <v>313</v>
      </c>
      <c r="M13" s="3">
        <v>740000</v>
      </c>
    </row>
    <row r="14" spans="1:13" s="18" customFormat="1" outlineLevel="2">
      <c r="A14" s="19" t="s">
        <v>15</v>
      </c>
      <c r="B14" s="20" t="s">
        <v>101</v>
      </c>
      <c r="C14" s="21" t="s">
        <v>133</v>
      </c>
      <c r="D14" s="20" t="s">
        <v>132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44105</v>
      </c>
      <c r="J14" s="19">
        <v>44135</v>
      </c>
      <c r="K14" s="3">
        <f t="shared" si="0"/>
        <v>31</v>
      </c>
      <c r="L14" s="3">
        <f t="shared" si="1"/>
        <v>74634</v>
      </c>
      <c r="M14" s="3">
        <v>176232000</v>
      </c>
    </row>
    <row r="15" spans="1:13" s="18" customFormat="1" outlineLevel="2">
      <c r="A15" s="19" t="s">
        <v>15</v>
      </c>
      <c r="B15" s="20" t="s">
        <v>23</v>
      </c>
      <c r="C15" s="21" t="s">
        <v>17</v>
      </c>
      <c r="D15" s="20" t="s">
        <v>18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44105</v>
      </c>
      <c r="J15" s="19">
        <v>44135</v>
      </c>
      <c r="K15" s="3">
        <f t="shared" si="0"/>
        <v>31</v>
      </c>
      <c r="L15" s="3">
        <f t="shared" si="1"/>
        <v>2723</v>
      </c>
      <c r="M15" s="3">
        <v>6430000</v>
      </c>
    </row>
    <row r="16" spans="1:13" s="18" customFormat="1" outlineLevel="2">
      <c r="A16" s="19" t="s">
        <v>15</v>
      </c>
      <c r="B16" s="20" t="s">
        <v>100</v>
      </c>
      <c r="C16" s="21" t="s">
        <v>97</v>
      </c>
      <c r="D16" s="20" t="s">
        <v>96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44105</v>
      </c>
      <c r="J16" s="19">
        <v>44135</v>
      </c>
      <c r="K16" s="3">
        <f t="shared" si="0"/>
        <v>31</v>
      </c>
      <c r="L16" s="3">
        <f t="shared" si="1"/>
        <v>2287</v>
      </c>
      <c r="M16" s="3">
        <v>5400000</v>
      </c>
    </row>
    <row r="17" spans="1:13" s="18" customFormat="1" outlineLevel="2">
      <c r="A17" s="19" t="s">
        <v>15</v>
      </c>
      <c r="B17" s="20" t="s">
        <v>99</v>
      </c>
      <c r="C17" s="21" t="s">
        <v>158</v>
      </c>
      <c r="D17" s="20" t="s">
        <v>157</v>
      </c>
      <c r="E17" s="3">
        <v>380000</v>
      </c>
      <c r="F17" s="19">
        <v>44116</v>
      </c>
      <c r="G17" s="3">
        <v>380000</v>
      </c>
      <c r="H17" s="2">
        <v>5.0000000000000001E-3</v>
      </c>
      <c r="I17" s="19">
        <v>44116</v>
      </c>
      <c r="J17" s="19">
        <v>44135</v>
      </c>
      <c r="K17" s="3">
        <f t="shared" si="0"/>
        <v>20</v>
      </c>
      <c r="L17" s="3">
        <f t="shared" si="1"/>
        <v>104</v>
      </c>
      <c r="M17" s="3">
        <v>380000</v>
      </c>
    </row>
    <row r="18" spans="1:13" s="18" customFormat="1" outlineLevel="2">
      <c r="A18" s="19" t="s">
        <v>15</v>
      </c>
      <c r="B18" s="20" t="s">
        <v>98</v>
      </c>
      <c r="C18" s="21" t="s">
        <v>158</v>
      </c>
      <c r="D18" s="20" t="s">
        <v>157</v>
      </c>
      <c r="E18" s="3">
        <v>2400000</v>
      </c>
      <c r="F18" s="19">
        <v>44123</v>
      </c>
      <c r="G18" s="3">
        <v>2400000</v>
      </c>
      <c r="H18" s="2">
        <v>5.0000000000000001E-3</v>
      </c>
      <c r="I18" s="19">
        <v>44123</v>
      </c>
      <c r="J18" s="19">
        <v>44135</v>
      </c>
      <c r="K18" s="3">
        <f t="shared" si="0"/>
        <v>13</v>
      </c>
      <c r="L18" s="3">
        <f t="shared" si="1"/>
        <v>426</v>
      </c>
      <c r="M18" s="3">
        <v>2400000</v>
      </c>
    </row>
    <row r="19" spans="1:13" s="18" customFormat="1" outlineLevel="2">
      <c r="A19" s="19" t="s">
        <v>15</v>
      </c>
      <c r="B19" s="20" t="s">
        <v>122</v>
      </c>
      <c r="C19" s="21" t="s">
        <v>158</v>
      </c>
      <c r="D19" s="20" t="s">
        <v>157</v>
      </c>
      <c r="E19" s="3">
        <v>1000000</v>
      </c>
      <c r="F19" s="19">
        <v>44131</v>
      </c>
      <c r="G19" s="3">
        <v>1000000</v>
      </c>
      <c r="H19" s="2">
        <v>5.0000000000000001E-3</v>
      </c>
      <c r="I19" s="19">
        <v>44131</v>
      </c>
      <c r="J19" s="19">
        <v>44135</v>
      </c>
      <c r="K19" s="3">
        <f t="shared" si="0"/>
        <v>5</v>
      </c>
      <c r="L19" s="3">
        <f t="shared" si="1"/>
        <v>68</v>
      </c>
      <c r="M19" s="3">
        <v>1000000</v>
      </c>
    </row>
    <row r="20" spans="1:13" s="18" customFormat="1" outlineLevel="2">
      <c r="A20" s="19" t="s">
        <v>15</v>
      </c>
      <c r="B20" s="20" t="s">
        <v>121</v>
      </c>
      <c r="C20" s="21" t="s">
        <v>107</v>
      </c>
      <c r="D20" s="20" t="s">
        <v>106</v>
      </c>
      <c r="E20" s="3">
        <v>10000000</v>
      </c>
      <c r="F20" s="19">
        <v>44120</v>
      </c>
      <c r="G20" s="3">
        <v>10000000</v>
      </c>
      <c r="H20" s="2">
        <v>5.0000000000000001E-3</v>
      </c>
      <c r="I20" s="19">
        <v>44120</v>
      </c>
      <c r="J20" s="19">
        <v>44135</v>
      </c>
      <c r="K20" s="3">
        <f t="shared" si="0"/>
        <v>16</v>
      </c>
      <c r="L20" s="3">
        <f t="shared" si="1"/>
        <v>2186</v>
      </c>
      <c r="M20" s="3">
        <v>10000000</v>
      </c>
    </row>
    <row r="21" spans="1:13" s="18" customFormat="1" outlineLevel="2">
      <c r="A21" s="19" t="s">
        <v>15</v>
      </c>
      <c r="B21" s="20" t="s">
        <v>29</v>
      </c>
      <c r="C21" s="21" t="s">
        <v>57</v>
      </c>
      <c r="D21" s="20" t="s">
        <v>56</v>
      </c>
      <c r="E21" s="3">
        <v>28600000</v>
      </c>
      <c r="F21" s="19">
        <v>43921</v>
      </c>
      <c r="G21" s="3">
        <v>28600000</v>
      </c>
      <c r="H21" s="2">
        <v>5.0000000000000001E-3</v>
      </c>
      <c r="I21" s="19">
        <v>44105</v>
      </c>
      <c r="J21" s="19">
        <v>44135</v>
      </c>
      <c r="K21" s="3">
        <f t="shared" si="0"/>
        <v>31</v>
      </c>
      <c r="L21" s="3">
        <f t="shared" si="1"/>
        <v>12112</v>
      </c>
      <c r="M21" s="3">
        <v>28600000</v>
      </c>
    </row>
    <row r="22" spans="1:13" s="18" customFormat="1" outlineLevel="2">
      <c r="A22" s="19" t="s">
        <v>15</v>
      </c>
      <c r="B22" s="20" t="s">
        <v>30</v>
      </c>
      <c r="C22" s="21" t="s">
        <v>74</v>
      </c>
      <c r="D22" s="20" t="s">
        <v>73</v>
      </c>
      <c r="E22" s="3">
        <v>20000000</v>
      </c>
      <c r="F22" s="19">
        <v>43922</v>
      </c>
      <c r="G22" s="3">
        <v>20000000</v>
      </c>
      <c r="H22" s="2">
        <v>5.0000000000000001E-3</v>
      </c>
      <c r="I22" s="19">
        <v>44105</v>
      </c>
      <c r="J22" s="19">
        <v>44135</v>
      </c>
      <c r="K22" s="3">
        <f t="shared" si="0"/>
        <v>31</v>
      </c>
      <c r="L22" s="3">
        <f t="shared" si="1"/>
        <v>8470</v>
      </c>
      <c r="M22" s="3">
        <v>20000000</v>
      </c>
    </row>
    <row r="23" spans="1:13" s="18" customFormat="1" outlineLevel="2">
      <c r="A23" s="19" t="s">
        <v>15</v>
      </c>
      <c r="B23" s="20" t="s">
        <v>31</v>
      </c>
      <c r="C23" s="21" t="s">
        <v>57</v>
      </c>
      <c r="D23" s="20" t="s">
        <v>56</v>
      </c>
      <c r="E23" s="3">
        <v>10000000</v>
      </c>
      <c r="F23" s="19">
        <v>43934</v>
      </c>
      <c r="G23" s="3">
        <v>10000000</v>
      </c>
      <c r="H23" s="2">
        <v>5.0000000000000001E-3</v>
      </c>
      <c r="I23" s="19">
        <v>44105</v>
      </c>
      <c r="J23" s="19">
        <v>44135</v>
      </c>
      <c r="K23" s="3">
        <f t="shared" si="0"/>
        <v>31</v>
      </c>
      <c r="L23" s="3">
        <f t="shared" si="1"/>
        <v>4235</v>
      </c>
      <c r="M23" s="3">
        <v>10000000</v>
      </c>
    </row>
    <row r="24" spans="1:13" s="18" customFormat="1" outlineLevel="2">
      <c r="A24" s="19" t="s">
        <v>15</v>
      </c>
      <c r="B24" s="20" t="s">
        <v>32</v>
      </c>
      <c r="C24" s="21" t="s">
        <v>57</v>
      </c>
      <c r="D24" s="20" t="s">
        <v>56</v>
      </c>
      <c r="E24" s="3">
        <v>30000000</v>
      </c>
      <c r="F24" s="19">
        <v>43937</v>
      </c>
      <c r="G24" s="3">
        <v>30000000</v>
      </c>
      <c r="H24" s="2">
        <v>5.0000000000000001E-3</v>
      </c>
      <c r="I24" s="19">
        <v>44105</v>
      </c>
      <c r="J24" s="19">
        <v>44135</v>
      </c>
      <c r="K24" s="3">
        <f t="shared" si="0"/>
        <v>31</v>
      </c>
      <c r="L24" s="3">
        <f t="shared" si="1"/>
        <v>12705</v>
      </c>
      <c r="M24" s="3">
        <v>30000000</v>
      </c>
    </row>
    <row r="25" spans="1:13" s="18" customFormat="1" outlineLevel="2">
      <c r="A25" s="19" t="s">
        <v>15</v>
      </c>
      <c r="B25" s="20" t="s">
        <v>48</v>
      </c>
      <c r="C25" s="21" t="s">
        <v>57</v>
      </c>
      <c r="D25" s="20" t="s">
        <v>56</v>
      </c>
      <c r="E25" s="3">
        <v>58360000</v>
      </c>
      <c r="F25" s="19">
        <v>43929</v>
      </c>
      <c r="G25" s="3">
        <v>58360000</v>
      </c>
      <c r="H25" s="2">
        <v>5.0000000000000001E-3</v>
      </c>
      <c r="I25" s="19">
        <v>44105</v>
      </c>
      <c r="J25" s="19">
        <v>44135</v>
      </c>
      <c r="K25" s="3">
        <f t="shared" si="0"/>
        <v>31</v>
      </c>
      <c r="L25" s="3">
        <f t="shared" si="1"/>
        <v>24715</v>
      </c>
      <c r="M25" s="3">
        <v>58360000</v>
      </c>
    </row>
    <row r="26" spans="1:13" s="18" customFormat="1" outlineLevel="2">
      <c r="A26" s="19" t="s">
        <v>15</v>
      </c>
      <c r="B26" s="20" t="s">
        <v>59</v>
      </c>
      <c r="C26" s="21" t="s">
        <v>113</v>
      </c>
      <c r="D26" s="20" t="s">
        <v>112</v>
      </c>
      <c r="E26" s="3">
        <v>64000000</v>
      </c>
      <c r="F26" s="19">
        <v>43966</v>
      </c>
      <c r="G26" s="3">
        <v>64000000</v>
      </c>
      <c r="H26" s="2">
        <v>5.0000000000000001E-3</v>
      </c>
      <c r="I26" s="19">
        <v>44105</v>
      </c>
      <c r="J26" s="19">
        <v>44135</v>
      </c>
      <c r="K26" s="3">
        <f t="shared" si="0"/>
        <v>31</v>
      </c>
      <c r="L26" s="3">
        <f t="shared" si="1"/>
        <v>27104</v>
      </c>
      <c r="M26" s="3">
        <v>64000000</v>
      </c>
    </row>
    <row r="27" spans="1:13" s="18" customFormat="1" outlineLevel="2">
      <c r="A27" s="19" t="s">
        <v>15</v>
      </c>
      <c r="B27" s="20" t="s">
        <v>58</v>
      </c>
      <c r="C27" s="21" t="s">
        <v>57</v>
      </c>
      <c r="D27" s="20" t="s">
        <v>56</v>
      </c>
      <c r="E27" s="3">
        <v>11400000</v>
      </c>
      <c r="F27" s="19">
        <v>43962</v>
      </c>
      <c r="G27" s="3">
        <v>11400000</v>
      </c>
      <c r="H27" s="2">
        <v>5.0000000000000001E-3</v>
      </c>
      <c r="I27" s="19">
        <v>44105</v>
      </c>
      <c r="J27" s="19">
        <v>44135</v>
      </c>
      <c r="K27" s="3">
        <f t="shared" si="0"/>
        <v>31</v>
      </c>
      <c r="L27" s="3">
        <f t="shared" si="1"/>
        <v>4828</v>
      </c>
      <c r="M27" s="3">
        <v>11400000</v>
      </c>
    </row>
    <row r="28" spans="1:13" s="18" customFormat="1" ht="13.5" outlineLevel="1">
      <c r="A28" s="22" t="s">
        <v>19</v>
      </c>
      <c r="B28" s="23"/>
      <c r="C28" s="24"/>
      <c r="D28" s="23"/>
      <c r="E28" s="25">
        <f>SUBTOTAL(9,E4:E27)</f>
        <v>916869000</v>
      </c>
      <c r="F28" s="26"/>
      <c r="G28" s="25"/>
      <c r="H28" s="27"/>
      <c r="I28" s="26"/>
      <c r="J28" s="26"/>
      <c r="K28" s="25"/>
      <c r="L28" s="25">
        <f>SUBTOTAL(9,L4:L27)</f>
        <v>357390</v>
      </c>
      <c r="M28" s="25">
        <f>SUBTOTAL(9,M4:M27)</f>
        <v>916869000</v>
      </c>
    </row>
    <row r="29" spans="1:13" s="18" customFormat="1" outlineLevel="2">
      <c r="A29" s="19" t="s">
        <v>183</v>
      </c>
      <c r="B29" s="20" t="s">
        <v>16</v>
      </c>
      <c r="C29" s="21" t="s">
        <v>158</v>
      </c>
      <c r="D29" s="20" t="s">
        <v>157</v>
      </c>
      <c r="E29" s="3">
        <v>21330000</v>
      </c>
      <c r="F29" s="19">
        <v>44046</v>
      </c>
      <c r="G29" s="3">
        <v>21330000</v>
      </c>
      <c r="H29" s="2">
        <v>5.0000000000000001E-3</v>
      </c>
      <c r="I29" s="19">
        <v>44105</v>
      </c>
      <c r="J29" s="19">
        <v>44135</v>
      </c>
      <c r="K29" s="3">
        <f>J29-I29+1</f>
        <v>31</v>
      </c>
      <c r="L29" s="3">
        <f>ROUND(G29*H29*K29/366,0)</f>
        <v>9033</v>
      </c>
      <c r="M29" s="3">
        <v>21330000</v>
      </c>
    </row>
    <row r="30" spans="1:13" s="18" customFormat="1" outlineLevel="2">
      <c r="A30" s="19" t="s">
        <v>183</v>
      </c>
      <c r="B30" s="20" t="s">
        <v>23</v>
      </c>
      <c r="C30" s="21" t="s">
        <v>158</v>
      </c>
      <c r="D30" s="20" t="s">
        <v>157</v>
      </c>
      <c r="E30" s="3">
        <v>8670000</v>
      </c>
      <c r="F30" s="19">
        <v>44060</v>
      </c>
      <c r="G30" s="3">
        <v>8670000</v>
      </c>
      <c r="H30" s="2">
        <v>5.0000000000000001E-3</v>
      </c>
      <c r="I30" s="19">
        <v>44105</v>
      </c>
      <c r="J30" s="19">
        <v>44135</v>
      </c>
      <c r="K30" s="3">
        <f>J30-I30+1</f>
        <v>31</v>
      </c>
      <c r="L30" s="3">
        <f>ROUND(G30*H30*K30/366,0)</f>
        <v>3672</v>
      </c>
      <c r="M30" s="3">
        <v>8670000</v>
      </c>
    </row>
    <row r="31" spans="1:13" s="18" customFormat="1" outlineLevel="2">
      <c r="A31" s="19" t="s">
        <v>183</v>
      </c>
      <c r="B31" s="20" t="s">
        <v>29</v>
      </c>
      <c r="C31" s="21" t="s">
        <v>160</v>
      </c>
      <c r="D31" s="20" t="s">
        <v>159</v>
      </c>
      <c r="E31" s="3">
        <v>10600000</v>
      </c>
      <c r="F31" s="19">
        <v>44085</v>
      </c>
      <c r="G31" s="3">
        <v>10600000</v>
      </c>
      <c r="H31" s="2">
        <v>5.0000000000000001E-3</v>
      </c>
      <c r="I31" s="19">
        <v>44105</v>
      </c>
      <c r="J31" s="19">
        <v>44135</v>
      </c>
      <c r="K31" s="3">
        <f>J31-I31+1</f>
        <v>31</v>
      </c>
      <c r="L31" s="3">
        <f>ROUND(G31*H31*K31/366,0)</f>
        <v>4489</v>
      </c>
      <c r="M31" s="3">
        <v>10600000</v>
      </c>
    </row>
    <row r="32" spans="1:13" s="18" customFormat="1" ht="13.5" outlineLevel="1">
      <c r="A32" s="22" t="s">
        <v>181</v>
      </c>
      <c r="B32" s="23"/>
      <c r="C32" s="24"/>
      <c r="D32" s="23"/>
      <c r="E32" s="25">
        <f>SUBTOTAL(9,E29:E31)</f>
        <v>40600000</v>
      </c>
      <c r="F32" s="26"/>
      <c r="G32" s="25"/>
      <c r="H32" s="27"/>
      <c r="I32" s="26"/>
      <c r="J32" s="26"/>
      <c r="K32" s="25"/>
      <c r="L32" s="25">
        <f>SUBTOTAL(9,L29:L31)</f>
        <v>17194</v>
      </c>
      <c r="M32" s="25">
        <f>SUBTOTAL(9,M29:M31)</f>
        <v>40600000</v>
      </c>
    </row>
    <row r="33" spans="1:13" s="18" customFormat="1" outlineLevel="2">
      <c r="A33" s="19" t="s">
        <v>80</v>
      </c>
      <c r="B33" s="20" t="s">
        <v>16</v>
      </c>
      <c r="C33" s="21" t="s">
        <v>57</v>
      </c>
      <c r="D33" s="20" t="s">
        <v>56</v>
      </c>
      <c r="E33" s="3">
        <v>26500000</v>
      </c>
      <c r="F33" s="19">
        <v>43907</v>
      </c>
      <c r="G33" s="3">
        <v>24607144</v>
      </c>
      <c r="H33" s="2">
        <v>5.0000000000000001E-3</v>
      </c>
      <c r="I33" s="19">
        <v>44105</v>
      </c>
      <c r="J33" s="19">
        <v>44118</v>
      </c>
      <c r="K33" s="3">
        <f t="shared" ref="K33:K57" si="2">J33-I33+1</f>
        <v>14</v>
      </c>
      <c r="L33" s="3">
        <f t="shared" ref="L33:L57" si="3">ROUND(G33*H33*K33/366,0)</f>
        <v>4706</v>
      </c>
      <c r="M33" s="3">
        <v>24291668</v>
      </c>
    </row>
    <row r="34" spans="1:13" s="18" customFormat="1" outlineLevel="2">
      <c r="A34" s="19" t="s">
        <v>80</v>
      </c>
      <c r="B34" s="20" t="s">
        <v>16</v>
      </c>
      <c r="C34" s="21" t="s">
        <v>57</v>
      </c>
      <c r="D34" s="20"/>
      <c r="E34" s="3"/>
      <c r="F34" s="19"/>
      <c r="G34" s="3">
        <v>24291668</v>
      </c>
      <c r="H34" s="2">
        <v>5.0000000000000001E-3</v>
      </c>
      <c r="I34" s="19">
        <v>44119</v>
      </c>
      <c r="J34" s="19">
        <v>44135</v>
      </c>
      <c r="K34" s="3">
        <f t="shared" si="2"/>
        <v>17</v>
      </c>
      <c r="L34" s="3">
        <f t="shared" si="3"/>
        <v>5642</v>
      </c>
      <c r="M34" s="3"/>
    </row>
    <row r="35" spans="1:13" s="18" customFormat="1" outlineLevel="2">
      <c r="A35" s="19" t="s">
        <v>80</v>
      </c>
      <c r="B35" s="20" t="s">
        <v>61</v>
      </c>
      <c r="C35" s="21" t="s">
        <v>162</v>
      </c>
      <c r="D35" s="20" t="s">
        <v>161</v>
      </c>
      <c r="E35" s="3">
        <v>130000000</v>
      </c>
      <c r="F35" s="19">
        <v>44013</v>
      </c>
      <c r="G35" s="3">
        <v>130000000</v>
      </c>
      <c r="H35" s="2">
        <v>5.0000000000000001E-3</v>
      </c>
      <c r="I35" s="19">
        <v>44105</v>
      </c>
      <c r="J35" s="19">
        <v>44135</v>
      </c>
      <c r="K35" s="3">
        <f t="shared" si="2"/>
        <v>31</v>
      </c>
      <c r="L35" s="3">
        <f t="shared" si="3"/>
        <v>55055</v>
      </c>
      <c r="M35" s="3">
        <v>130000000</v>
      </c>
    </row>
    <row r="36" spans="1:13" s="18" customFormat="1" outlineLevel="2">
      <c r="A36" s="19" t="s">
        <v>80</v>
      </c>
      <c r="B36" s="20" t="s">
        <v>60</v>
      </c>
      <c r="C36" s="21" t="s">
        <v>137</v>
      </c>
      <c r="D36" s="20" t="s">
        <v>136</v>
      </c>
      <c r="E36" s="3">
        <v>3400000</v>
      </c>
      <c r="F36" s="19">
        <v>44063</v>
      </c>
      <c r="G36" s="3">
        <v>3341380</v>
      </c>
      <c r="H36" s="2">
        <v>5.0000000000000001E-3</v>
      </c>
      <c r="I36" s="19">
        <v>44105</v>
      </c>
      <c r="J36" s="19">
        <v>44118</v>
      </c>
      <c r="K36" s="3">
        <f t="shared" si="2"/>
        <v>14</v>
      </c>
      <c r="L36" s="3">
        <f t="shared" si="3"/>
        <v>639</v>
      </c>
      <c r="M36" s="3">
        <v>3282760</v>
      </c>
    </row>
    <row r="37" spans="1:13" s="18" customFormat="1" outlineLevel="2">
      <c r="A37" s="19" t="s">
        <v>80</v>
      </c>
      <c r="B37" s="20" t="s">
        <v>60</v>
      </c>
      <c r="C37" s="21" t="s">
        <v>137</v>
      </c>
      <c r="D37" s="20"/>
      <c r="E37" s="3"/>
      <c r="F37" s="19"/>
      <c r="G37" s="3">
        <v>3282760</v>
      </c>
      <c r="H37" s="2">
        <v>5.0000000000000001E-3</v>
      </c>
      <c r="I37" s="19">
        <v>44119</v>
      </c>
      <c r="J37" s="19">
        <v>44135</v>
      </c>
      <c r="K37" s="3">
        <f t="shared" si="2"/>
        <v>17</v>
      </c>
      <c r="L37" s="3">
        <f t="shared" si="3"/>
        <v>762</v>
      </c>
      <c r="M37" s="3"/>
    </row>
    <row r="38" spans="1:13" s="18" customFormat="1" outlineLevel="2">
      <c r="A38" s="19" t="s">
        <v>80</v>
      </c>
      <c r="B38" s="20" t="s">
        <v>66</v>
      </c>
      <c r="C38" s="21" t="s">
        <v>137</v>
      </c>
      <c r="D38" s="20" t="s">
        <v>136</v>
      </c>
      <c r="E38" s="3">
        <v>9800000</v>
      </c>
      <c r="F38" s="19">
        <v>44071</v>
      </c>
      <c r="G38" s="3">
        <v>9631033</v>
      </c>
      <c r="H38" s="2">
        <v>5.0000000000000001E-3</v>
      </c>
      <c r="I38" s="19">
        <v>44105</v>
      </c>
      <c r="J38" s="19">
        <v>44118</v>
      </c>
      <c r="K38" s="3">
        <f t="shared" si="2"/>
        <v>14</v>
      </c>
      <c r="L38" s="3">
        <f t="shared" si="3"/>
        <v>1842</v>
      </c>
      <c r="M38" s="3">
        <v>9462066</v>
      </c>
    </row>
    <row r="39" spans="1:13" s="18" customFormat="1" outlineLevel="2">
      <c r="A39" s="19" t="s">
        <v>80</v>
      </c>
      <c r="B39" s="20" t="s">
        <v>66</v>
      </c>
      <c r="C39" s="21" t="s">
        <v>137</v>
      </c>
      <c r="D39" s="20"/>
      <c r="E39" s="3"/>
      <c r="F39" s="19"/>
      <c r="G39" s="3">
        <v>9462066</v>
      </c>
      <c r="H39" s="2">
        <v>5.0000000000000001E-3</v>
      </c>
      <c r="I39" s="19">
        <v>44119</v>
      </c>
      <c r="J39" s="19">
        <v>44135</v>
      </c>
      <c r="K39" s="3">
        <f t="shared" si="2"/>
        <v>17</v>
      </c>
      <c r="L39" s="3">
        <f t="shared" si="3"/>
        <v>2197</v>
      </c>
      <c r="M39" s="3"/>
    </row>
    <row r="40" spans="1:13" s="18" customFormat="1" outlineLevel="2">
      <c r="A40" s="19" t="s">
        <v>80</v>
      </c>
      <c r="B40" s="20" t="s">
        <v>65</v>
      </c>
      <c r="C40" s="21" t="s">
        <v>135</v>
      </c>
      <c r="D40" s="20" t="s">
        <v>134</v>
      </c>
      <c r="E40" s="3">
        <v>201000000</v>
      </c>
      <c r="F40" s="19">
        <v>44064</v>
      </c>
      <c r="G40" s="3">
        <v>201000000</v>
      </c>
      <c r="H40" s="2">
        <v>5.0000000000000001E-3</v>
      </c>
      <c r="I40" s="19">
        <v>44105</v>
      </c>
      <c r="J40" s="19">
        <v>44135</v>
      </c>
      <c r="K40" s="3">
        <f t="shared" si="2"/>
        <v>31</v>
      </c>
      <c r="L40" s="3">
        <f t="shared" si="3"/>
        <v>85123</v>
      </c>
      <c r="M40" s="3">
        <v>201000000</v>
      </c>
    </row>
    <row r="41" spans="1:13" s="18" customFormat="1" outlineLevel="2">
      <c r="A41" s="19" t="s">
        <v>80</v>
      </c>
      <c r="B41" s="20" t="s">
        <v>64</v>
      </c>
      <c r="C41" s="21" t="s">
        <v>205</v>
      </c>
      <c r="D41" s="20" t="s">
        <v>204</v>
      </c>
      <c r="E41" s="3">
        <v>211550000</v>
      </c>
      <c r="F41" s="19">
        <v>44078</v>
      </c>
      <c r="G41" s="3">
        <v>211550000</v>
      </c>
      <c r="H41" s="2">
        <v>5.0000000000000001E-3</v>
      </c>
      <c r="I41" s="19">
        <v>44105</v>
      </c>
      <c r="J41" s="19">
        <v>44135</v>
      </c>
      <c r="K41" s="3">
        <f t="shared" si="2"/>
        <v>31</v>
      </c>
      <c r="L41" s="3">
        <f t="shared" si="3"/>
        <v>89591</v>
      </c>
      <c r="M41" s="3">
        <v>211550000</v>
      </c>
    </row>
    <row r="42" spans="1:13" s="18" customFormat="1" outlineLevel="2">
      <c r="A42" s="19" t="s">
        <v>80</v>
      </c>
      <c r="B42" s="20" t="s">
        <v>85</v>
      </c>
      <c r="C42" s="21" t="s">
        <v>205</v>
      </c>
      <c r="D42" s="20" t="s">
        <v>204</v>
      </c>
      <c r="E42" s="3">
        <v>91330000</v>
      </c>
      <c r="F42" s="19">
        <v>44120</v>
      </c>
      <c r="G42" s="3">
        <v>91330000</v>
      </c>
      <c r="H42" s="2">
        <v>5.0000000000000001E-3</v>
      </c>
      <c r="I42" s="19">
        <v>44120</v>
      </c>
      <c r="J42" s="19">
        <v>44135</v>
      </c>
      <c r="K42" s="3">
        <f t="shared" si="2"/>
        <v>16</v>
      </c>
      <c r="L42" s="3">
        <f t="shared" si="3"/>
        <v>19963</v>
      </c>
      <c r="M42" s="3">
        <v>91330000</v>
      </c>
    </row>
    <row r="43" spans="1:13" s="18" customFormat="1" outlineLevel="2">
      <c r="A43" s="19" t="s">
        <v>80</v>
      </c>
      <c r="B43" s="20" t="s">
        <v>84</v>
      </c>
      <c r="C43" s="21" t="s">
        <v>107</v>
      </c>
      <c r="D43" s="20" t="s">
        <v>106</v>
      </c>
      <c r="E43" s="3">
        <v>10000000</v>
      </c>
      <c r="F43" s="19">
        <v>44120</v>
      </c>
      <c r="G43" s="3">
        <v>10000000</v>
      </c>
      <c r="H43" s="2">
        <v>5.0000000000000001E-3</v>
      </c>
      <c r="I43" s="19">
        <v>44120</v>
      </c>
      <c r="J43" s="19">
        <v>44135</v>
      </c>
      <c r="K43" s="3">
        <f t="shared" si="2"/>
        <v>16</v>
      </c>
      <c r="L43" s="3">
        <f t="shared" si="3"/>
        <v>2186</v>
      </c>
      <c r="M43" s="3">
        <v>10000000</v>
      </c>
    </row>
    <row r="44" spans="1:13" s="18" customFormat="1" outlineLevel="2">
      <c r="A44" s="19" t="s">
        <v>80</v>
      </c>
      <c r="B44" s="20" t="s">
        <v>83</v>
      </c>
      <c r="C44" s="21" t="s">
        <v>126</v>
      </c>
      <c r="D44" s="20" t="s">
        <v>125</v>
      </c>
      <c r="E44" s="3">
        <v>40000000</v>
      </c>
      <c r="F44" s="19">
        <v>44131</v>
      </c>
      <c r="G44" s="3">
        <v>40000000</v>
      </c>
      <c r="H44" s="2">
        <v>5.0000000000000001E-3</v>
      </c>
      <c r="I44" s="19">
        <v>44131</v>
      </c>
      <c r="J44" s="19">
        <v>44135</v>
      </c>
      <c r="K44" s="3">
        <f t="shared" si="2"/>
        <v>5</v>
      </c>
      <c r="L44" s="3">
        <f t="shared" si="3"/>
        <v>2732</v>
      </c>
      <c r="M44" s="3">
        <v>40000000</v>
      </c>
    </row>
    <row r="45" spans="1:13" s="18" customFormat="1" outlineLevel="2">
      <c r="A45" s="19" t="s">
        <v>80</v>
      </c>
      <c r="B45" s="20" t="s">
        <v>102</v>
      </c>
      <c r="C45" s="21" t="s">
        <v>130</v>
      </c>
      <c r="D45" s="20" t="s">
        <v>129</v>
      </c>
      <c r="E45" s="3">
        <v>88000000</v>
      </c>
      <c r="F45" s="19">
        <v>44119</v>
      </c>
      <c r="G45" s="3">
        <v>88000000</v>
      </c>
      <c r="H45" s="2">
        <v>5.0000000000000001E-3</v>
      </c>
      <c r="I45" s="19">
        <v>44119</v>
      </c>
      <c r="J45" s="19">
        <v>44135</v>
      </c>
      <c r="K45" s="3">
        <f t="shared" si="2"/>
        <v>17</v>
      </c>
      <c r="L45" s="3">
        <f t="shared" si="3"/>
        <v>20437</v>
      </c>
      <c r="M45" s="3">
        <v>88000000</v>
      </c>
    </row>
    <row r="46" spans="1:13" s="18" customFormat="1" outlineLevel="2">
      <c r="A46" s="19" t="s">
        <v>80</v>
      </c>
      <c r="B46" s="20" t="s">
        <v>101</v>
      </c>
      <c r="C46" s="21" t="s">
        <v>225</v>
      </c>
      <c r="D46" s="20" t="s">
        <v>224</v>
      </c>
      <c r="E46" s="3">
        <v>65800000</v>
      </c>
      <c r="F46" s="19">
        <v>44119</v>
      </c>
      <c r="G46" s="3">
        <v>65800000</v>
      </c>
      <c r="H46" s="2">
        <v>5.0000000000000001E-3</v>
      </c>
      <c r="I46" s="19">
        <v>44119</v>
      </c>
      <c r="J46" s="19">
        <v>44135</v>
      </c>
      <c r="K46" s="3">
        <f t="shared" si="2"/>
        <v>17</v>
      </c>
      <c r="L46" s="3">
        <f t="shared" si="3"/>
        <v>15281</v>
      </c>
      <c r="M46" s="3">
        <v>65800000</v>
      </c>
    </row>
    <row r="47" spans="1:13" s="18" customFormat="1" outlineLevel="2">
      <c r="A47" s="19" t="s">
        <v>80</v>
      </c>
      <c r="B47" s="20" t="s">
        <v>23</v>
      </c>
      <c r="C47" s="21" t="s">
        <v>74</v>
      </c>
      <c r="D47" s="20" t="s">
        <v>73</v>
      </c>
      <c r="E47" s="3">
        <v>90000000</v>
      </c>
      <c r="F47" s="19">
        <v>43913</v>
      </c>
      <c r="G47" s="3">
        <v>90000000</v>
      </c>
      <c r="H47" s="2">
        <v>5.0000000000000001E-3</v>
      </c>
      <c r="I47" s="19">
        <v>44105</v>
      </c>
      <c r="J47" s="19">
        <v>44135</v>
      </c>
      <c r="K47" s="3">
        <f t="shared" si="2"/>
        <v>31</v>
      </c>
      <c r="L47" s="3">
        <f t="shared" si="3"/>
        <v>38115</v>
      </c>
      <c r="M47" s="3">
        <v>90000000</v>
      </c>
    </row>
    <row r="48" spans="1:13" s="18" customFormat="1" outlineLevel="2">
      <c r="A48" s="19" t="s">
        <v>80</v>
      </c>
      <c r="B48" s="20" t="s">
        <v>29</v>
      </c>
      <c r="C48" s="21" t="s">
        <v>57</v>
      </c>
      <c r="D48" s="20" t="s">
        <v>56</v>
      </c>
      <c r="E48" s="3">
        <v>23500000</v>
      </c>
      <c r="F48" s="19">
        <v>43928</v>
      </c>
      <c r="G48" s="3">
        <v>21821422</v>
      </c>
      <c r="H48" s="2">
        <v>5.0000000000000001E-3</v>
      </c>
      <c r="I48" s="19">
        <v>44105</v>
      </c>
      <c r="J48" s="19">
        <v>44118</v>
      </c>
      <c r="K48" s="3">
        <f t="shared" si="2"/>
        <v>14</v>
      </c>
      <c r="L48" s="3">
        <f t="shared" si="3"/>
        <v>4173</v>
      </c>
      <c r="M48" s="3">
        <v>21541659</v>
      </c>
    </row>
    <row r="49" spans="1:13" s="18" customFormat="1" outlineLevel="2">
      <c r="A49" s="19" t="s">
        <v>80</v>
      </c>
      <c r="B49" s="20" t="s">
        <v>29</v>
      </c>
      <c r="C49" s="21" t="s">
        <v>57</v>
      </c>
      <c r="D49" s="20"/>
      <c r="E49" s="3"/>
      <c r="F49" s="19"/>
      <c r="G49" s="3">
        <v>21541659</v>
      </c>
      <c r="H49" s="2">
        <v>5.0000000000000001E-3</v>
      </c>
      <c r="I49" s="19">
        <v>44119</v>
      </c>
      <c r="J49" s="19">
        <v>44135</v>
      </c>
      <c r="K49" s="3">
        <f t="shared" si="2"/>
        <v>17</v>
      </c>
      <c r="L49" s="3">
        <f t="shared" si="3"/>
        <v>5003</v>
      </c>
      <c r="M49" s="3"/>
    </row>
    <row r="50" spans="1:13" s="18" customFormat="1" outlineLevel="2">
      <c r="A50" s="19" t="s">
        <v>80</v>
      </c>
      <c r="B50" s="20" t="s">
        <v>30</v>
      </c>
      <c r="C50" s="21" t="s">
        <v>137</v>
      </c>
      <c r="D50" s="20" t="s">
        <v>136</v>
      </c>
      <c r="E50" s="3">
        <v>7000000</v>
      </c>
      <c r="F50" s="19">
        <v>44004</v>
      </c>
      <c r="G50" s="3">
        <v>6649999</v>
      </c>
      <c r="H50" s="2">
        <v>5.0000000000000001E-3</v>
      </c>
      <c r="I50" s="19">
        <v>44105</v>
      </c>
      <c r="J50" s="19">
        <v>44118</v>
      </c>
      <c r="K50" s="3">
        <f t="shared" si="2"/>
        <v>14</v>
      </c>
      <c r="L50" s="3">
        <f t="shared" si="3"/>
        <v>1272</v>
      </c>
      <c r="M50" s="3">
        <v>6533332</v>
      </c>
    </row>
    <row r="51" spans="1:13" s="18" customFormat="1" outlineLevel="2">
      <c r="A51" s="19" t="s">
        <v>80</v>
      </c>
      <c r="B51" s="20" t="s">
        <v>30</v>
      </c>
      <c r="C51" s="21" t="s">
        <v>137</v>
      </c>
      <c r="D51" s="20"/>
      <c r="E51" s="3"/>
      <c r="F51" s="19"/>
      <c r="G51" s="3">
        <v>6533332</v>
      </c>
      <c r="H51" s="2">
        <v>5.0000000000000001E-3</v>
      </c>
      <c r="I51" s="19">
        <v>44119</v>
      </c>
      <c r="J51" s="19">
        <v>44135</v>
      </c>
      <c r="K51" s="3">
        <f t="shared" si="2"/>
        <v>17</v>
      </c>
      <c r="L51" s="3">
        <f t="shared" si="3"/>
        <v>1517</v>
      </c>
      <c r="M51" s="3"/>
    </row>
    <row r="52" spans="1:13" s="18" customFormat="1" outlineLevel="2">
      <c r="A52" s="19" t="s">
        <v>80</v>
      </c>
      <c r="B52" s="20" t="s">
        <v>31</v>
      </c>
      <c r="C52" s="21" t="s">
        <v>135</v>
      </c>
      <c r="D52" s="20" t="s">
        <v>134</v>
      </c>
      <c r="E52" s="3">
        <v>298410000</v>
      </c>
      <c r="F52" s="19">
        <v>44006</v>
      </c>
      <c r="G52" s="3">
        <v>298410000</v>
      </c>
      <c r="H52" s="2">
        <v>5.0000000000000001E-3</v>
      </c>
      <c r="I52" s="19">
        <v>44105</v>
      </c>
      <c r="J52" s="19">
        <v>44135</v>
      </c>
      <c r="K52" s="3">
        <f t="shared" si="2"/>
        <v>31</v>
      </c>
      <c r="L52" s="3">
        <f t="shared" si="3"/>
        <v>126376</v>
      </c>
      <c r="M52" s="3">
        <v>298410000</v>
      </c>
    </row>
    <row r="53" spans="1:13" s="18" customFormat="1" outlineLevel="2">
      <c r="A53" s="19" t="s">
        <v>80</v>
      </c>
      <c r="B53" s="20" t="s">
        <v>32</v>
      </c>
      <c r="C53" s="21" t="s">
        <v>135</v>
      </c>
      <c r="D53" s="20" t="s">
        <v>134</v>
      </c>
      <c r="E53" s="3">
        <v>95370000</v>
      </c>
      <c r="F53" s="19">
        <v>44006</v>
      </c>
      <c r="G53" s="3">
        <v>95370000</v>
      </c>
      <c r="H53" s="2">
        <v>5.0000000000000001E-3</v>
      </c>
      <c r="I53" s="19">
        <v>44105</v>
      </c>
      <c r="J53" s="19">
        <v>44135</v>
      </c>
      <c r="K53" s="3">
        <f t="shared" si="2"/>
        <v>31</v>
      </c>
      <c r="L53" s="3">
        <f t="shared" si="3"/>
        <v>40389</v>
      </c>
      <c r="M53" s="3">
        <v>95370000</v>
      </c>
    </row>
    <row r="54" spans="1:13" s="18" customFormat="1" outlineLevel="2">
      <c r="A54" s="19" t="s">
        <v>80</v>
      </c>
      <c r="B54" s="20" t="s">
        <v>48</v>
      </c>
      <c r="C54" s="21" t="s">
        <v>135</v>
      </c>
      <c r="D54" s="20" t="s">
        <v>134</v>
      </c>
      <c r="E54" s="3">
        <v>73910000</v>
      </c>
      <c r="F54" s="19">
        <v>44032</v>
      </c>
      <c r="G54" s="3">
        <v>73910000</v>
      </c>
      <c r="H54" s="2">
        <v>5.0000000000000001E-3</v>
      </c>
      <c r="I54" s="19">
        <v>44105</v>
      </c>
      <c r="J54" s="19">
        <v>44135</v>
      </c>
      <c r="K54" s="3">
        <f t="shared" si="2"/>
        <v>31</v>
      </c>
      <c r="L54" s="3">
        <f t="shared" si="3"/>
        <v>31301</v>
      </c>
      <c r="M54" s="3">
        <v>73910000</v>
      </c>
    </row>
    <row r="55" spans="1:13" s="18" customFormat="1" outlineLevel="2">
      <c r="A55" s="19" t="s">
        <v>80</v>
      </c>
      <c r="B55" s="20" t="s">
        <v>59</v>
      </c>
      <c r="C55" s="21" t="s">
        <v>135</v>
      </c>
      <c r="D55" s="20" t="s">
        <v>134</v>
      </c>
      <c r="E55" s="3">
        <v>291200000</v>
      </c>
      <c r="F55" s="19">
        <v>44032</v>
      </c>
      <c r="G55" s="3">
        <v>291200000</v>
      </c>
      <c r="H55" s="2">
        <v>3.0000000000000001E-3</v>
      </c>
      <c r="I55" s="19">
        <v>44105</v>
      </c>
      <c r="J55" s="19">
        <v>44135</v>
      </c>
      <c r="K55" s="3">
        <f t="shared" si="2"/>
        <v>31</v>
      </c>
      <c r="L55" s="3">
        <f t="shared" si="3"/>
        <v>73993</v>
      </c>
      <c r="M55" s="3">
        <v>291200000</v>
      </c>
    </row>
    <row r="56" spans="1:13" s="18" customFormat="1" outlineLevel="2">
      <c r="A56" s="19" t="s">
        <v>80</v>
      </c>
      <c r="B56" s="20" t="s">
        <v>58</v>
      </c>
      <c r="C56" s="21" t="s">
        <v>137</v>
      </c>
      <c r="D56" s="20" t="s">
        <v>136</v>
      </c>
      <c r="E56" s="3">
        <v>10000000</v>
      </c>
      <c r="F56" s="19">
        <v>44025</v>
      </c>
      <c r="G56" s="3">
        <v>9661016</v>
      </c>
      <c r="H56" s="2">
        <v>5.0000000000000001E-3</v>
      </c>
      <c r="I56" s="19">
        <v>44105</v>
      </c>
      <c r="J56" s="19">
        <v>44118</v>
      </c>
      <c r="K56" s="3">
        <f t="shared" si="2"/>
        <v>14</v>
      </c>
      <c r="L56" s="3">
        <f t="shared" si="3"/>
        <v>1848</v>
      </c>
      <c r="M56" s="3">
        <v>9491524</v>
      </c>
    </row>
    <row r="57" spans="1:13" s="18" customFormat="1" outlineLevel="2">
      <c r="A57" s="19" t="s">
        <v>80</v>
      </c>
      <c r="B57" s="20" t="s">
        <v>58</v>
      </c>
      <c r="C57" s="21" t="s">
        <v>137</v>
      </c>
      <c r="D57" s="20"/>
      <c r="E57" s="3"/>
      <c r="F57" s="19"/>
      <c r="G57" s="3">
        <v>9491524</v>
      </c>
      <c r="H57" s="2">
        <v>5.0000000000000001E-3</v>
      </c>
      <c r="I57" s="19">
        <v>44119</v>
      </c>
      <c r="J57" s="19">
        <v>44135</v>
      </c>
      <c r="K57" s="3">
        <f t="shared" si="2"/>
        <v>17</v>
      </c>
      <c r="L57" s="3">
        <f t="shared" si="3"/>
        <v>2204</v>
      </c>
      <c r="M57" s="3"/>
    </row>
    <row r="58" spans="1:13" s="18" customFormat="1" ht="13.5" outlineLevel="1">
      <c r="A58" s="22" t="s">
        <v>79</v>
      </c>
      <c r="B58" s="23"/>
      <c r="C58" s="24"/>
      <c r="D58" s="23"/>
      <c r="E58" s="25">
        <f>SUBTOTAL(9,E33:E57)</f>
        <v>1766770000</v>
      </c>
      <c r="F58" s="26"/>
      <c r="G58" s="25"/>
      <c r="H58" s="27"/>
      <c r="I58" s="26"/>
      <c r="J58" s="26"/>
      <c r="K58" s="25"/>
      <c r="L58" s="25">
        <f>SUBTOTAL(9,L33:L57)</f>
        <v>632347</v>
      </c>
      <c r="M58" s="25">
        <f>SUBTOTAL(9,M33:M57)</f>
        <v>1761173009</v>
      </c>
    </row>
    <row r="59" spans="1:13" s="18" customFormat="1" outlineLevel="2">
      <c r="A59" s="19" t="s">
        <v>78</v>
      </c>
      <c r="B59" s="20" t="s">
        <v>16</v>
      </c>
      <c r="C59" s="21" t="s">
        <v>77</v>
      </c>
      <c r="D59" s="20" t="s">
        <v>76</v>
      </c>
      <c r="E59" s="3">
        <v>81465386</v>
      </c>
      <c r="F59" s="19">
        <v>43900</v>
      </c>
      <c r="G59" s="3">
        <v>81465386</v>
      </c>
      <c r="H59" s="2">
        <v>5.0000000000000001E-3</v>
      </c>
      <c r="I59" s="19">
        <v>44105</v>
      </c>
      <c r="J59" s="19">
        <v>44135</v>
      </c>
      <c r="K59" s="3">
        <f t="shared" ref="K59:K89" si="4">J59-I59+1</f>
        <v>31</v>
      </c>
      <c r="L59" s="3">
        <f t="shared" ref="L59:L89" si="5">ROUND(G59*H59*K59/366,0)</f>
        <v>34500</v>
      </c>
      <c r="M59" s="3">
        <v>81465386</v>
      </c>
    </row>
    <row r="60" spans="1:13" s="18" customFormat="1" outlineLevel="2">
      <c r="A60" s="19" t="s">
        <v>78</v>
      </c>
      <c r="B60" s="20" t="s">
        <v>61</v>
      </c>
      <c r="C60" s="21" t="s">
        <v>95</v>
      </c>
      <c r="D60" s="20" t="s">
        <v>94</v>
      </c>
      <c r="E60" s="3">
        <v>8860000</v>
      </c>
      <c r="F60" s="19">
        <v>43997</v>
      </c>
      <c r="G60" s="3">
        <v>8860000</v>
      </c>
      <c r="H60" s="2">
        <v>5.0000000000000001E-3</v>
      </c>
      <c r="I60" s="19">
        <v>44105</v>
      </c>
      <c r="J60" s="19">
        <v>44135</v>
      </c>
      <c r="K60" s="3">
        <f t="shared" si="4"/>
        <v>31</v>
      </c>
      <c r="L60" s="3">
        <f t="shared" si="5"/>
        <v>3752</v>
      </c>
      <c r="M60" s="3">
        <v>8860000</v>
      </c>
    </row>
    <row r="61" spans="1:13" s="18" customFormat="1" outlineLevel="2">
      <c r="A61" s="19" t="s">
        <v>78</v>
      </c>
      <c r="B61" s="20" t="s">
        <v>60</v>
      </c>
      <c r="C61" s="21" t="s">
        <v>93</v>
      </c>
      <c r="D61" s="20" t="s">
        <v>92</v>
      </c>
      <c r="E61" s="3">
        <v>20390000</v>
      </c>
      <c r="F61" s="19">
        <v>43997</v>
      </c>
      <c r="G61" s="3">
        <v>19644026</v>
      </c>
      <c r="H61" s="2">
        <v>5.0000000000000001E-3</v>
      </c>
      <c r="I61" s="19">
        <v>44105</v>
      </c>
      <c r="J61" s="19">
        <v>44118</v>
      </c>
      <c r="K61" s="3">
        <f t="shared" si="4"/>
        <v>14</v>
      </c>
      <c r="L61" s="3">
        <f t="shared" si="5"/>
        <v>3757</v>
      </c>
      <c r="M61" s="3">
        <v>19395368</v>
      </c>
    </row>
    <row r="62" spans="1:13" s="18" customFormat="1" outlineLevel="2">
      <c r="A62" s="19" t="s">
        <v>78</v>
      </c>
      <c r="B62" s="20" t="s">
        <v>60</v>
      </c>
      <c r="C62" s="21" t="s">
        <v>93</v>
      </c>
      <c r="D62" s="20"/>
      <c r="E62" s="3"/>
      <c r="F62" s="19"/>
      <c r="G62" s="3">
        <v>19395368</v>
      </c>
      <c r="H62" s="2">
        <v>5.0000000000000001E-3</v>
      </c>
      <c r="I62" s="19">
        <v>44119</v>
      </c>
      <c r="J62" s="19">
        <v>44135</v>
      </c>
      <c r="K62" s="3">
        <f t="shared" si="4"/>
        <v>17</v>
      </c>
      <c r="L62" s="3">
        <f t="shared" si="5"/>
        <v>4504</v>
      </c>
      <c r="M62" s="3"/>
    </row>
    <row r="63" spans="1:13" s="18" customFormat="1" outlineLevel="2">
      <c r="A63" s="19" t="s">
        <v>78</v>
      </c>
      <c r="B63" s="20" t="s">
        <v>66</v>
      </c>
      <c r="C63" s="21" t="s">
        <v>93</v>
      </c>
      <c r="D63" s="20" t="s">
        <v>92</v>
      </c>
      <c r="E63" s="3">
        <v>69600000</v>
      </c>
      <c r="F63" s="19">
        <v>43997</v>
      </c>
      <c r="G63" s="3">
        <v>67860000</v>
      </c>
      <c r="H63" s="2">
        <v>5.0000000000000001E-3</v>
      </c>
      <c r="I63" s="19">
        <v>44105</v>
      </c>
      <c r="J63" s="19">
        <v>44118</v>
      </c>
      <c r="K63" s="3">
        <f t="shared" si="4"/>
        <v>14</v>
      </c>
      <c r="L63" s="3">
        <f t="shared" si="5"/>
        <v>12979</v>
      </c>
      <c r="M63" s="3">
        <v>67280000</v>
      </c>
    </row>
    <row r="64" spans="1:13" s="18" customFormat="1" outlineLevel="2">
      <c r="A64" s="19" t="s">
        <v>78</v>
      </c>
      <c r="B64" s="20" t="s">
        <v>66</v>
      </c>
      <c r="C64" s="21" t="s">
        <v>93</v>
      </c>
      <c r="D64" s="20"/>
      <c r="E64" s="3"/>
      <c r="F64" s="19"/>
      <c r="G64" s="3">
        <v>67280000</v>
      </c>
      <c r="H64" s="2">
        <v>5.0000000000000001E-3</v>
      </c>
      <c r="I64" s="19">
        <v>44119</v>
      </c>
      <c r="J64" s="19">
        <v>44135</v>
      </c>
      <c r="K64" s="3">
        <f t="shared" si="4"/>
        <v>17</v>
      </c>
      <c r="L64" s="3">
        <f t="shared" si="5"/>
        <v>15625</v>
      </c>
      <c r="M64" s="3"/>
    </row>
    <row r="65" spans="1:13" s="18" customFormat="1" outlineLevel="2">
      <c r="A65" s="19" t="s">
        <v>78</v>
      </c>
      <c r="B65" s="20" t="s">
        <v>65</v>
      </c>
      <c r="C65" s="21" t="s">
        <v>77</v>
      </c>
      <c r="D65" s="20" t="s">
        <v>76</v>
      </c>
      <c r="E65" s="3">
        <v>16630000</v>
      </c>
      <c r="F65" s="19">
        <v>44011</v>
      </c>
      <c r="G65" s="3">
        <v>16630000</v>
      </c>
      <c r="H65" s="2">
        <v>5.0000000000000001E-3</v>
      </c>
      <c r="I65" s="19">
        <v>44105</v>
      </c>
      <c r="J65" s="19">
        <v>44135</v>
      </c>
      <c r="K65" s="3">
        <f t="shared" si="4"/>
        <v>31</v>
      </c>
      <c r="L65" s="3">
        <f t="shared" si="5"/>
        <v>7043</v>
      </c>
      <c r="M65" s="3">
        <v>16630000</v>
      </c>
    </row>
    <row r="66" spans="1:13" s="18" customFormat="1" outlineLevel="2">
      <c r="A66" s="19" t="s">
        <v>78</v>
      </c>
      <c r="B66" s="20" t="s">
        <v>64</v>
      </c>
      <c r="C66" s="21" t="s">
        <v>95</v>
      </c>
      <c r="D66" s="20" t="s">
        <v>94</v>
      </c>
      <c r="E66" s="3">
        <v>4650000</v>
      </c>
      <c r="F66" s="19">
        <v>44027</v>
      </c>
      <c r="G66" s="3">
        <v>4650000</v>
      </c>
      <c r="H66" s="2">
        <v>5.0000000000000001E-3</v>
      </c>
      <c r="I66" s="19">
        <v>44105</v>
      </c>
      <c r="J66" s="19">
        <v>44135</v>
      </c>
      <c r="K66" s="3">
        <f t="shared" si="4"/>
        <v>31</v>
      </c>
      <c r="L66" s="3">
        <f t="shared" si="5"/>
        <v>1969</v>
      </c>
      <c r="M66" s="3">
        <v>4650000</v>
      </c>
    </row>
    <row r="67" spans="1:13" s="18" customFormat="1" outlineLevel="2">
      <c r="A67" s="19" t="s">
        <v>78</v>
      </c>
      <c r="B67" s="20" t="s">
        <v>85</v>
      </c>
      <c r="C67" s="21" t="s">
        <v>93</v>
      </c>
      <c r="D67" s="20" t="s">
        <v>92</v>
      </c>
      <c r="E67" s="3">
        <v>10860000</v>
      </c>
      <c r="F67" s="19">
        <v>44027</v>
      </c>
      <c r="G67" s="3">
        <v>10591852</v>
      </c>
      <c r="H67" s="2">
        <v>5.0000000000000001E-3</v>
      </c>
      <c r="I67" s="19">
        <v>44105</v>
      </c>
      <c r="J67" s="19">
        <v>44118</v>
      </c>
      <c r="K67" s="3">
        <f t="shared" si="4"/>
        <v>14</v>
      </c>
      <c r="L67" s="3">
        <f t="shared" si="5"/>
        <v>2026</v>
      </c>
      <c r="M67" s="3">
        <v>10457778</v>
      </c>
    </row>
    <row r="68" spans="1:13" s="18" customFormat="1" outlineLevel="2">
      <c r="A68" s="19" t="s">
        <v>78</v>
      </c>
      <c r="B68" s="20" t="s">
        <v>85</v>
      </c>
      <c r="C68" s="21" t="s">
        <v>93</v>
      </c>
      <c r="D68" s="20"/>
      <c r="E68" s="3"/>
      <c r="F68" s="19"/>
      <c r="G68" s="3">
        <v>10457778</v>
      </c>
      <c r="H68" s="2">
        <v>5.0000000000000001E-3</v>
      </c>
      <c r="I68" s="19">
        <v>44119</v>
      </c>
      <c r="J68" s="19">
        <v>44135</v>
      </c>
      <c r="K68" s="3">
        <f t="shared" si="4"/>
        <v>17</v>
      </c>
      <c r="L68" s="3">
        <f t="shared" si="5"/>
        <v>2429</v>
      </c>
      <c r="M68" s="3"/>
    </row>
    <row r="69" spans="1:13" s="18" customFormat="1" outlineLevel="2">
      <c r="A69" s="19" t="s">
        <v>78</v>
      </c>
      <c r="B69" s="20" t="s">
        <v>84</v>
      </c>
      <c r="C69" s="21" t="s">
        <v>93</v>
      </c>
      <c r="D69" s="20" t="s">
        <v>92</v>
      </c>
      <c r="E69" s="3">
        <v>11600000</v>
      </c>
      <c r="F69" s="19">
        <v>44027</v>
      </c>
      <c r="G69" s="3">
        <v>11405044</v>
      </c>
      <c r="H69" s="2">
        <v>5.0000000000000001E-3</v>
      </c>
      <c r="I69" s="19">
        <v>44105</v>
      </c>
      <c r="J69" s="19">
        <v>44118</v>
      </c>
      <c r="K69" s="3">
        <f t="shared" si="4"/>
        <v>14</v>
      </c>
      <c r="L69" s="3">
        <f t="shared" si="5"/>
        <v>2181</v>
      </c>
      <c r="M69" s="3">
        <v>11307566</v>
      </c>
    </row>
    <row r="70" spans="1:13" s="18" customFormat="1" outlineLevel="2">
      <c r="A70" s="19" t="s">
        <v>78</v>
      </c>
      <c r="B70" s="20" t="s">
        <v>84</v>
      </c>
      <c r="C70" s="21" t="s">
        <v>93</v>
      </c>
      <c r="D70" s="20"/>
      <c r="E70" s="3"/>
      <c r="F70" s="19"/>
      <c r="G70" s="3">
        <v>11307566</v>
      </c>
      <c r="H70" s="2">
        <v>5.0000000000000001E-3</v>
      </c>
      <c r="I70" s="19">
        <v>44119</v>
      </c>
      <c r="J70" s="19">
        <v>44135</v>
      </c>
      <c r="K70" s="3">
        <f t="shared" si="4"/>
        <v>17</v>
      </c>
      <c r="L70" s="3">
        <f t="shared" si="5"/>
        <v>2626</v>
      </c>
      <c r="M70" s="3"/>
    </row>
    <row r="71" spans="1:13" s="18" customFormat="1" outlineLevel="2">
      <c r="A71" s="19" t="s">
        <v>78</v>
      </c>
      <c r="B71" s="20" t="s">
        <v>83</v>
      </c>
      <c r="C71" s="21" t="s">
        <v>139</v>
      </c>
      <c r="D71" s="20" t="s">
        <v>138</v>
      </c>
      <c r="E71" s="3">
        <v>18700000</v>
      </c>
      <c r="F71" s="19">
        <v>44032</v>
      </c>
      <c r="G71" s="3">
        <v>18700000</v>
      </c>
      <c r="H71" s="2">
        <v>5.0000000000000001E-3</v>
      </c>
      <c r="I71" s="19">
        <v>44105</v>
      </c>
      <c r="J71" s="19">
        <v>44135</v>
      </c>
      <c r="K71" s="3">
        <f t="shared" si="4"/>
        <v>31</v>
      </c>
      <c r="L71" s="3">
        <f t="shared" si="5"/>
        <v>7919</v>
      </c>
      <c r="M71" s="3">
        <v>18700000</v>
      </c>
    </row>
    <row r="72" spans="1:13" s="18" customFormat="1" outlineLevel="2">
      <c r="A72" s="19" t="s">
        <v>78</v>
      </c>
      <c r="B72" s="20" t="s">
        <v>102</v>
      </c>
      <c r="C72" s="21" t="s">
        <v>95</v>
      </c>
      <c r="D72" s="20" t="s">
        <v>94</v>
      </c>
      <c r="E72" s="3">
        <v>2950000</v>
      </c>
      <c r="F72" s="19">
        <v>44060</v>
      </c>
      <c r="G72" s="3">
        <v>2950000</v>
      </c>
      <c r="H72" s="2">
        <v>5.0000000000000001E-3</v>
      </c>
      <c r="I72" s="19">
        <v>44105</v>
      </c>
      <c r="J72" s="19">
        <v>44135</v>
      </c>
      <c r="K72" s="3">
        <f t="shared" si="4"/>
        <v>31</v>
      </c>
      <c r="L72" s="3">
        <f t="shared" si="5"/>
        <v>1249</v>
      </c>
      <c r="M72" s="3">
        <v>2950000</v>
      </c>
    </row>
    <row r="73" spans="1:13" s="18" customFormat="1" outlineLevel="2">
      <c r="A73" s="19" t="s">
        <v>78</v>
      </c>
      <c r="B73" s="20" t="s">
        <v>101</v>
      </c>
      <c r="C73" s="21" t="s">
        <v>77</v>
      </c>
      <c r="D73" s="20" t="s">
        <v>76</v>
      </c>
      <c r="E73" s="3">
        <v>15120000</v>
      </c>
      <c r="F73" s="19">
        <v>44091</v>
      </c>
      <c r="G73" s="3">
        <v>15120000</v>
      </c>
      <c r="H73" s="2">
        <v>5.0000000000000001E-3</v>
      </c>
      <c r="I73" s="19">
        <v>44105</v>
      </c>
      <c r="J73" s="19">
        <v>44135</v>
      </c>
      <c r="K73" s="3">
        <f t="shared" si="4"/>
        <v>31</v>
      </c>
      <c r="L73" s="3">
        <f t="shared" si="5"/>
        <v>6403</v>
      </c>
      <c r="M73" s="3">
        <v>15120000</v>
      </c>
    </row>
    <row r="74" spans="1:13" s="18" customFormat="1" outlineLevel="2">
      <c r="A74" s="19" t="s">
        <v>78</v>
      </c>
      <c r="B74" s="20" t="s">
        <v>23</v>
      </c>
      <c r="C74" s="21" t="s">
        <v>95</v>
      </c>
      <c r="D74" s="20" t="s">
        <v>94</v>
      </c>
      <c r="E74" s="3">
        <v>6200000</v>
      </c>
      <c r="F74" s="19">
        <v>43929</v>
      </c>
      <c r="G74" s="3">
        <v>6200000</v>
      </c>
      <c r="H74" s="2">
        <v>5.0000000000000001E-3</v>
      </c>
      <c r="I74" s="19">
        <v>44105</v>
      </c>
      <c r="J74" s="19">
        <v>44135</v>
      </c>
      <c r="K74" s="3">
        <f t="shared" si="4"/>
        <v>31</v>
      </c>
      <c r="L74" s="3">
        <f t="shared" si="5"/>
        <v>2626</v>
      </c>
      <c r="M74" s="3">
        <v>6200000</v>
      </c>
    </row>
    <row r="75" spans="1:13" s="18" customFormat="1" outlineLevel="2">
      <c r="A75" s="19" t="s">
        <v>78</v>
      </c>
      <c r="B75" s="20" t="s">
        <v>100</v>
      </c>
      <c r="C75" s="21" t="s">
        <v>158</v>
      </c>
      <c r="D75" s="20" t="s">
        <v>157</v>
      </c>
      <c r="E75" s="3">
        <v>10000000</v>
      </c>
      <c r="F75" s="19">
        <v>44111</v>
      </c>
      <c r="G75" s="3">
        <v>10000000</v>
      </c>
      <c r="H75" s="2">
        <v>5.0000000000000001E-3</v>
      </c>
      <c r="I75" s="19">
        <v>44111</v>
      </c>
      <c r="J75" s="19">
        <v>44118</v>
      </c>
      <c r="K75" s="3">
        <f t="shared" si="4"/>
        <v>8</v>
      </c>
      <c r="L75" s="3">
        <f t="shared" si="5"/>
        <v>1093</v>
      </c>
      <c r="M75" s="3">
        <v>9833334</v>
      </c>
    </row>
    <row r="76" spans="1:13" s="18" customFormat="1" outlineLevel="2">
      <c r="A76" s="19" t="s">
        <v>78</v>
      </c>
      <c r="B76" s="20" t="s">
        <v>100</v>
      </c>
      <c r="C76" s="21" t="s">
        <v>158</v>
      </c>
      <c r="D76" s="20"/>
      <c r="E76" s="3"/>
      <c r="F76" s="19"/>
      <c r="G76" s="3">
        <v>9833334</v>
      </c>
      <c r="H76" s="2">
        <v>5.0000000000000001E-3</v>
      </c>
      <c r="I76" s="19">
        <v>44119</v>
      </c>
      <c r="J76" s="19">
        <v>44135</v>
      </c>
      <c r="K76" s="3">
        <f t="shared" si="4"/>
        <v>17</v>
      </c>
      <c r="L76" s="3">
        <f t="shared" si="5"/>
        <v>2284</v>
      </c>
      <c r="M76" s="3"/>
    </row>
    <row r="77" spans="1:13" s="18" customFormat="1" outlineLevel="2">
      <c r="A77" s="19" t="s">
        <v>78</v>
      </c>
      <c r="B77" s="20" t="s">
        <v>99</v>
      </c>
      <c r="C77" s="21" t="s">
        <v>158</v>
      </c>
      <c r="D77" s="20" t="s">
        <v>157</v>
      </c>
      <c r="E77" s="3">
        <v>24450000</v>
      </c>
      <c r="F77" s="19">
        <v>44120</v>
      </c>
      <c r="G77" s="3">
        <v>24450000</v>
      </c>
      <c r="H77" s="2">
        <v>5.0000000000000001E-3</v>
      </c>
      <c r="I77" s="19">
        <v>44120</v>
      </c>
      <c r="J77" s="19">
        <v>44135</v>
      </c>
      <c r="K77" s="3">
        <f t="shared" si="4"/>
        <v>16</v>
      </c>
      <c r="L77" s="3">
        <f t="shared" si="5"/>
        <v>5344</v>
      </c>
      <c r="M77" s="3">
        <v>24450000</v>
      </c>
    </row>
    <row r="78" spans="1:13" s="18" customFormat="1" outlineLevel="2">
      <c r="A78" s="19" t="s">
        <v>78</v>
      </c>
      <c r="B78" s="20" t="s">
        <v>98</v>
      </c>
      <c r="C78" s="21" t="s">
        <v>139</v>
      </c>
      <c r="D78" s="20" t="s">
        <v>138</v>
      </c>
      <c r="E78" s="3">
        <v>26100000</v>
      </c>
      <c r="F78" s="19">
        <v>44124</v>
      </c>
      <c r="G78" s="3">
        <v>26100000</v>
      </c>
      <c r="H78" s="2">
        <v>5.0000000000000001E-3</v>
      </c>
      <c r="I78" s="19">
        <v>44124</v>
      </c>
      <c r="J78" s="19">
        <v>44135</v>
      </c>
      <c r="K78" s="3">
        <f t="shared" si="4"/>
        <v>12</v>
      </c>
      <c r="L78" s="3">
        <f t="shared" si="5"/>
        <v>4279</v>
      </c>
      <c r="M78" s="3">
        <v>26100000</v>
      </c>
    </row>
    <row r="79" spans="1:13" s="18" customFormat="1" outlineLevel="2">
      <c r="A79" s="19" t="s">
        <v>78</v>
      </c>
      <c r="B79" s="20" t="s">
        <v>29</v>
      </c>
      <c r="C79" s="21" t="s">
        <v>95</v>
      </c>
      <c r="D79" s="20" t="s">
        <v>94</v>
      </c>
      <c r="E79" s="3">
        <v>23630000</v>
      </c>
      <c r="F79" s="19">
        <v>43936</v>
      </c>
      <c r="G79" s="3">
        <v>23630000</v>
      </c>
      <c r="H79" s="2">
        <v>5.0000000000000001E-3</v>
      </c>
      <c r="I79" s="19">
        <v>44105</v>
      </c>
      <c r="J79" s="19">
        <v>44135</v>
      </c>
      <c r="K79" s="3">
        <f t="shared" si="4"/>
        <v>31</v>
      </c>
      <c r="L79" s="3">
        <f t="shared" si="5"/>
        <v>10007</v>
      </c>
      <c r="M79" s="3">
        <v>23630000</v>
      </c>
    </row>
    <row r="80" spans="1:13" s="18" customFormat="1" outlineLevel="2">
      <c r="A80" s="19" t="s">
        <v>78</v>
      </c>
      <c r="B80" s="20" t="s">
        <v>30</v>
      </c>
      <c r="C80" s="21" t="s">
        <v>72</v>
      </c>
      <c r="D80" s="20" t="s">
        <v>71</v>
      </c>
      <c r="E80" s="3">
        <v>24000000</v>
      </c>
      <c r="F80" s="19">
        <v>43937</v>
      </c>
      <c r="G80" s="3">
        <v>23000000</v>
      </c>
      <c r="H80" s="2">
        <v>5.0000000000000001E-3</v>
      </c>
      <c r="I80" s="19">
        <v>44105</v>
      </c>
      <c r="J80" s="19">
        <v>44118</v>
      </c>
      <c r="K80" s="3">
        <f t="shared" si="4"/>
        <v>14</v>
      </c>
      <c r="L80" s="3">
        <f t="shared" si="5"/>
        <v>4399</v>
      </c>
      <c r="M80" s="3">
        <v>22800000</v>
      </c>
    </row>
    <row r="81" spans="1:13" s="18" customFormat="1" outlineLevel="2">
      <c r="A81" s="19" t="s">
        <v>78</v>
      </c>
      <c r="B81" s="20" t="s">
        <v>30</v>
      </c>
      <c r="C81" s="21" t="s">
        <v>72</v>
      </c>
      <c r="D81" s="20"/>
      <c r="E81" s="3"/>
      <c r="F81" s="19"/>
      <c r="G81" s="3">
        <v>22800000</v>
      </c>
      <c r="H81" s="2">
        <v>5.0000000000000001E-3</v>
      </c>
      <c r="I81" s="19">
        <v>44119</v>
      </c>
      <c r="J81" s="19">
        <v>44135</v>
      </c>
      <c r="K81" s="3">
        <f t="shared" si="4"/>
        <v>17</v>
      </c>
      <c r="L81" s="3">
        <f t="shared" si="5"/>
        <v>5295</v>
      </c>
      <c r="M81" s="3"/>
    </row>
    <row r="82" spans="1:13" s="18" customFormat="1" outlineLevel="2">
      <c r="A82" s="19" t="s">
        <v>78</v>
      </c>
      <c r="B82" s="20" t="s">
        <v>31</v>
      </c>
      <c r="C82" s="21" t="s">
        <v>93</v>
      </c>
      <c r="D82" s="20" t="s">
        <v>92</v>
      </c>
      <c r="E82" s="3">
        <v>28240000</v>
      </c>
      <c r="F82" s="19">
        <v>43951</v>
      </c>
      <c r="G82" s="3">
        <v>26559050</v>
      </c>
      <c r="H82" s="2">
        <v>5.0000000000000001E-3</v>
      </c>
      <c r="I82" s="19">
        <v>44105</v>
      </c>
      <c r="J82" s="19">
        <v>44118</v>
      </c>
      <c r="K82" s="3">
        <f t="shared" si="4"/>
        <v>14</v>
      </c>
      <c r="L82" s="3">
        <f t="shared" si="5"/>
        <v>5080</v>
      </c>
      <c r="M82" s="3">
        <v>26222860</v>
      </c>
    </row>
    <row r="83" spans="1:13" s="18" customFormat="1" outlineLevel="2">
      <c r="A83" s="19" t="s">
        <v>78</v>
      </c>
      <c r="B83" s="20" t="s">
        <v>31</v>
      </c>
      <c r="C83" s="21" t="s">
        <v>93</v>
      </c>
      <c r="D83" s="20"/>
      <c r="E83" s="3"/>
      <c r="F83" s="19"/>
      <c r="G83" s="3">
        <v>26222860</v>
      </c>
      <c r="H83" s="2">
        <v>5.0000000000000001E-3</v>
      </c>
      <c r="I83" s="19">
        <v>44119</v>
      </c>
      <c r="J83" s="19">
        <v>44135</v>
      </c>
      <c r="K83" s="3">
        <f t="shared" si="4"/>
        <v>17</v>
      </c>
      <c r="L83" s="3">
        <f t="shared" si="5"/>
        <v>6090</v>
      </c>
      <c r="M83" s="3"/>
    </row>
    <row r="84" spans="1:13" s="18" customFormat="1" outlineLevel="2">
      <c r="A84" s="19" t="s">
        <v>78</v>
      </c>
      <c r="B84" s="20" t="s">
        <v>32</v>
      </c>
      <c r="C84" s="21" t="s">
        <v>95</v>
      </c>
      <c r="D84" s="20" t="s">
        <v>94</v>
      </c>
      <c r="E84" s="3">
        <v>8000000</v>
      </c>
      <c r="F84" s="19">
        <v>43957</v>
      </c>
      <c r="G84" s="3">
        <v>7333335</v>
      </c>
      <c r="H84" s="2">
        <v>5.0000000000000001E-3</v>
      </c>
      <c r="I84" s="19">
        <v>44105</v>
      </c>
      <c r="J84" s="19">
        <v>44118</v>
      </c>
      <c r="K84" s="3">
        <f t="shared" si="4"/>
        <v>14</v>
      </c>
      <c r="L84" s="3">
        <f t="shared" si="5"/>
        <v>1403</v>
      </c>
      <c r="M84" s="3">
        <v>7200002</v>
      </c>
    </row>
    <row r="85" spans="1:13" s="18" customFormat="1" outlineLevel="2">
      <c r="A85" s="19" t="s">
        <v>78</v>
      </c>
      <c r="B85" s="20" t="s">
        <v>32</v>
      </c>
      <c r="C85" s="21" t="s">
        <v>95</v>
      </c>
      <c r="D85" s="20"/>
      <c r="E85" s="3"/>
      <c r="F85" s="19"/>
      <c r="G85" s="3">
        <v>7200002</v>
      </c>
      <c r="H85" s="2">
        <v>5.0000000000000001E-3</v>
      </c>
      <c r="I85" s="19">
        <v>44119</v>
      </c>
      <c r="J85" s="19">
        <v>44135</v>
      </c>
      <c r="K85" s="3">
        <f t="shared" si="4"/>
        <v>17</v>
      </c>
      <c r="L85" s="3">
        <f t="shared" si="5"/>
        <v>1672</v>
      </c>
      <c r="M85" s="3"/>
    </row>
    <row r="86" spans="1:13" s="18" customFormat="1" outlineLevel="2">
      <c r="A86" s="19" t="s">
        <v>78</v>
      </c>
      <c r="B86" s="20" t="s">
        <v>48</v>
      </c>
      <c r="C86" s="21" t="s">
        <v>95</v>
      </c>
      <c r="D86" s="20" t="s">
        <v>94</v>
      </c>
      <c r="E86" s="3">
        <v>5910000</v>
      </c>
      <c r="F86" s="19">
        <v>43966</v>
      </c>
      <c r="G86" s="3">
        <v>5910000</v>
      </c>
      <c r="H86" s="2">
        <v>5.0000000000000001E-3</v>
      </c>
      <c r="I86" s="19">
        <v>44105</v>
      </c>
      <c r="J86" s="19">
        <v>44135</v>
      </c>
      <c r="K86" s="3">
        <f t="shared" si="4"/>
        <v>31</v>
      </c>
      <c r="L86" s="3">
        <f t="shared" si="5"/>
        <v>2503</v>
      </c>
      <c r="M86" s="3">
        <v>5910000</v>
      </c>
    </row>
    <row r="87" spans="1:13" s="18" customFormat="1" outlineLevel="2">
      <c r="A87" s="19" t="s">
        <v>78</v>
      </c>
      <c r="B87" s="20" t="s">
        <v>59</v>
      </c>
      <c r="C87" s="21" t="s">
        <v>93</v>
      </c>
      <c r="D87" s="20" t="s">
        <v>92</v>
      </c>
      <c r="E87" s="3">
        <v>20510000</v>
      </c>
      <c r="F87" s="19">
        <v>43966</v>
      </c>
      <c r="G87" s="3">
        <v>19521568</v>
      </c>
      <c r="H87" s="2">
        <v>5.0000000000000001E-3</v>
      </c>
      <c r="I87" s="19">
        <v>44105</v>
      </c>
      <c r="J87" s="19">
        <v>44118</v>
      </c>
      <c r="K87" s="3">
        <f t="shared" si="4"/>
        <v>14</v>
      </c>
      <c r="L87" s="3">
        <f t="shared" si="5"/>
        <v>3734</v>
      </c>
      <c r="M87" s="3">
        <v>19274460</v>
      </c>
    </row>
    <row r="88" spans="1:13" s="18" customFormat="1" outlineLevel="2">
      <c r="A88" s="19" t="s">
        <v>78</v>
      </c>
      <c r="B88" s="20" t="s">
        <v>59</v>
      </c>
      <c r="C88" s="21" t="s">
        <v>93</v>
      </c>
      <c r="D88" s="20"/>
      <c r="E88" s="3"/>
      <c r="F88" s="19"/>
      <c r="G88" s="3">
        <v>19274460</v>
      </c>
      <c r="H88" s="2">
        <v>5.0000000000000001E-3</v>
      </c>
      <c r="I88" s="19">
        <v>44119</v>
      </c>
      <c r="J88" s="19">
        <v>44135</v>
      </c>
      <c r="K88" s="3">
        <f t="shared" si="4"/>
        <v>17</v>
      </c>
      <c r="L88" s="3">
        <f t="shared" si="5"/>
        <v>4476</v>
      </c>
      <c r="M88" s="3"/>
    </row>
    <row r="89" spans="1:13" s="18" customFormat="1" outlineLevel="2">
      <c r="A89" s="19" t="s">
        <v>78</v>
      </c>
      <c r="B89" s="20" t="s">
        <v>58</v>
      </c>
      <c r="C89" s="21" t="s">
        <v>77</v>
      </c>
      <c r="D89" s="20" t="s">
        <v>76</v>
      </c>
      <c r="E89" s="3">
        <v>33960000</v>
      </c>
      <c r="F89" s="19">
        <v>43978</v>
      </c>
      <c r="G89" s="3">
        <v>33960000</v>
      </c>
      <c r="H89" s="2">
        <v>5.0000000000000001E-3</v>
      </c>
      <c r="I89" s="19">
        <v>44105</v>
      </c>
      <c r="J89" s="19">
        <v>44135</v>
      </c>
      <c r="K89" s="3">
        <f t="shared" si="4"/>
        <v>31</v>
      </c>
      <c r="L89" s="3">
        <f t="shared" si="5"/>
        <v>14382</v>
      </c>
      <c r="M89" s="3">
        <v>33960000</v>
      </c>
    </row>
    <row r="90" spans="1:13" s="18" customFormat="1" ht="13.5" outlineLevel="1">
      <c r="A90" s="22" t="s">
        <v>75</v>
      </c>
      <c r="B90" s="23"/>
      <c r="C90" s="24"/>
      <c r="D90" s="23"/>
      <c r="E90" s="25">
        <f>SUBTOTAL(9,E59:E89)</f>
        <v>471825386</v>
      </c>
      <c r="F90" s="26"/>
      <c r="G90" s="25"/>
      <c r="H90" s="27"/>
      <c r="I90" s="26"/>
      <c r="J90" s="26"/>
      <c r="K90" s="25"/>
      <c r="L90" s="25">
        <f>SUBTOTAL(9,L59:L89)</f>
        <v>183629</v>
      </c>
      <c r="M90" s="25">
        <f>SUBTOTAL(9,M59:M89)</f>
        <v>462396754</v>
      </c>
    </row>
    <row r="91" spans="1:13" s="18" customFormat="1" outlineLevel="2">
      <c r="A91" s="19" t="s">
        <v>20</v>
      </c>
      <c r="B91" s="20" t="s">
        <v>16</v>
      </c>
      <c r="C91" s="21" t="s">
        <v>21</v>
      </c>
      <c r="D91" s="20" t="s">
        <v>22</v>
      </c>
      <c r="E91" s="3">
        <v>69000000</v>
      </c>
      <c r="F91" s="19">
        <v>43822</v>
      </c>
      <c r="G91" s="3">
        <v>69000000</v>
      </c>
      <c r="H91" s="2">
        <v>5.0000000000000001E-3</v>
      </c>
      <c r="I91" s="19">
        <v>44105</v>
      </c>
      <c r="J91" s="19">
        <v>44135</v>
      </c>
      <c r="K91" s="3">
        <f t="shared" ref="K91:K120" si="6">J91-I91+1</f>
        <v>31</v>
      </c>
      <c r="L91" s="3">
        <f t="shared" ref="L91:L120" si="7">ROUND(G91*H91*K91/366,0)</f>
        <v>29221</v>
      </c>
      <c r="M91" s="3">
        <v>69000000</v>
      </c>
    </row>
    <row r="92" spans="1:13" s="18" customFormat="1" outlineLevel="2">
      <c r="A92" s="19" t="s">
        <v>20</v>
      </c>
      <c r="B92" s="20" t="s">
        <v>61</v>
      </c>
      <c r="C92" s="21" t="s">
        <v>133</v>
      </c>
      <c r="D92" s="20" t="s">
        <v>132</v>
      </c>
      <c r="E92" s="3">
        <v>247700000</v>
      </c>
      <c r="F92" s="19">
        <v>43985</v>
      </c>
      <c r="G92" s="3">
        <v>247700000</v>
      </c>
      <c r="H92" s="2">
        <v>5.0000000000000001E-3</v>
      </c>
      <c r="I92" s="19">
        <v>44105</v>
      </c>
      <c r="J92" s="19">
        <v>44135</v>
      </c>
      <c r="K92" s="3">
        <f t="shared" si="6"/>
        <v>31</v>
      </c>
      <c r="L92" s="3">
        <f t="shared" si="7"/>
        <v>104900</v>
      </c>
      <c r="M92" s="3">
        <v>247700000</v>
      </c>
    </row>
    <row r="93" spans="1:13" s="18" customFormat="1" outlineLevel="2">
      <c r="A93" s="19" t="s">
        <v>20</v>
      </c>
      <c r="B93" s="20" t="s">
        <v>60</v>
      </c>
      <c r="C93" s="21" t="s">
        <v>192</v>
      </c>
      <c r="D93" s="20" t="s">
        <v>110</v>
      </c>
      <c r="E93" s="3">
        <v>18612000</v>
      </c>
      <c r="F93" s="19">
        <v>43997</v>
      </c>
      <c r="G93" s="3">
        <v>3722400</v>
      </c>
      <c r="H93" s="2">
        <v>5.0000000000000001E-3</v>
      </c>
      <c r="I93" s="19">
        <v>44105</v>
      </c>
      <c r="J93" s="19">
        <v>44135</v>
      </c>
      <c r="K93" s="3">
        <f t="shared" si="6"/>
        <v>31</v>
      </c>
      <c r="L93" s="3">
        <f t="shared" si="7"/>
        <v>1576</v>
      </c>
      <c r="M93" s="3">
        <v>3722400</v>
      </c>
    </row>
    <row r="94" spans="1:13" s="18" customFormat="1" outlineLevel="2">
      <c r="A94" s="19" t="s">
        <v>20</v>
      </c>
      <c r="B94" s="20" t="s">
        <v>66</v>
      </c>
      <c r="C94" s="21" t="s">
        <v>69</v>
      </c>
      <c r="D94" s="20" t="s">
        <v>68</v>
      </c>
      <c r="E94" s="3">
        <v>624000000</v>
      </c>
      <c r="F94" s="19">
        <v>44014</v>
      </c>
      <c r="G94" s="3">
        <v>624000000</v>
      </c>
      <c r="H94" s="2">
        <v>5.0000000000000001E-3</v>
      </c>
      <c r="I94" s="19">
        <v>44105</v>
      </c>
      <c r="J94" s="19">
        <v>44135</v>
      </c>
      <c r="K94" s="3">
        <f t="shared" si="6"/>
        <v>31</v>
      </c>
      <c r="L94" s="3">
        <f t="shared" si="7"/>
        <v>264262</v>
      </c>
      <c r="M94" s="3">
        <v>624000000</v>
      </c>
    </row>
    <row r="95" spans="1:13" s="18" customFormat="1" outlineLevel="2">
      <c r="A95" s="19" t="s">
        <v>20</v>
      </c>
      <c r="B95" s="20" t="s">
        <v>65</v>
      </c>
      <c r="C95" s="21" t="s">
        <v>69</v>
      </c>
      <c r="D95" s="20" t="s">
        <v>68</v>
      </c>
      <c r="E95" s="3">
        <v>82000000</v>
      </c>
      <c r="F95" s="19">
        <v>44042</v>
      </c>
      <c r="G95" s="3">
        <v>82000000</v>
      </c>
      <c r="H95" s="2">
        <v>5.0000000000000001E-3</v>
      </c>
      <c r="I95" s="19">
        <v>44105</v>
      </c>
      <c r="J95" s="19">
        <v>44135</v>
      </c>
      <c r="K95" s="3">
        <f t="shared" si="6"/>
        <v>31</v>
      </c>
      <c r="L95" s="3">
        <f t="shared" si="7"/>
        <v>34727</v>
      </c>
      <c r="M95" s="3">
        <v>82000000</v>
      </c>
    </row>
    <row r="96" spans="1:13" s="18" customFormat="1" outlineLevel="2">
      <c r="A96" s="19" t="s">
        <v>20</v>
      </c>
      <c r="B96" s="20" t="s">
        <v>64</v>
      </c>
      <c r="C96" s="21" t="s">
        <v>69</v>
      </c>
      <c r="D96" s="20" t="s">
        <v>68</v>
      </c>
      <c r="E96" s="3">
        <v>406400000</v>
      </c>
      <c r="F96" s="19">
        <v>44042</v>
      </c>
      <c r="G96" s="3">
        <v>406400000</v>
      </c>
      <c r="H96" s="2">
        <v>3.0000000000000001E-3</v>
      </c>
      <c r="I96" s="19">
        <v>44105</v>
      </c>
      <c r="J96" s="19">
        <v>44135</v>
      </c>
      <c r="K96" s="3">
        <f t="shared" si="6"/>
        <v>31</v>
      </c>
      <c r="L96" s="3">
        <f t="shared" si="7"/>
        <v>103266</v>
      </c>
      <c r="M96" s="3">
        <v>406400000</v>
      </c>
    </row>
    <row r="97" spans="1:13" s="18" customFormat="1" outlineLevel="2">
      <c r="A97" s="19" t="s">
        <v>20</v>
      </c>
      <c r="B97" s="20" t="s">
        <v>85</v>
      </c>
      <c r="C97" s="21" t="s">
        <v>69</v>
      </c>
      <c r="D97" s="20" t="s">
        <v>68</v>
      </c>
      <c r="E97" s="3">
        <v>51600000</v>
      </c>
      <c r="F97" s="19">
        <v>44042</v>
      </c>
      <c r="G97" s="3">
        <v>51600000</v>
      </c>
      <c r="H97" s="2">
        <v>3.0000000000000001E-3</v>
      </c>
      <c r="I97" s="19">
        <v>44105</v>
      </c>
      <c r="J97" s="19">
        <v>44135</v>
      </c>
      <c r="K97" s="3">
        <f t="shared" si="6"/>
        <v>31</v>
      </c>
      <c r="L97" s="3">
        <f t="shared" si="7"/>
        <v>13111</v>
      </c>
      <c r="M97" s="3">
        <v>51600000</v>
      </c>
    </row>
    <row r="98" spans="1:13" s="18" customFormat="1" outlineLevel="2">
      <c r="A98" s="19" t="s">
        <v>20</v>
      </c>
      <c r="B98" s="20" t="s">
        <v>84</v>
      </c>
      <c r="C98" s="21" t="s">
        <v>115</v>
      </c>
      <c r="D98" s="20" t="s">
        <v>114</v>
      </c>
      <c r="E98" s="3">
        <v>1850000</v>
      </c>
      <c r="F98" s="19">
        <v>44018</v>
      </c>
      <c r="G98" s="3">
        <v>1850000</v>
      </c>
      <c r="H98" s="2">
        <v>5.0000000000000001E-3</v>
      </c>
      <c r="I98" s="19">
        <v>44105</v>
      </c>
      <c r="J98" s="19">
        <v>44135</v>
      </c>
      <c r="K98" s="3">
        <f t="shared" si="6"/>
        <v>31</v>
      </c>
      <c r="L98" s="3">
        <f t="shared" si="7"/>
        <v>783</v>
      </c>
      <c r="M98" s="3">
        <v>1850000</v>
      </c>
    </row>
    <row r="99" spans="1:13" s="18" customFormat="1" outlineLevel="2">
      <c r="A99" s="19" t="s">
        <v>20</v>
      </c>
      <c r="B99" s="20" t="s">
        <v>83</v>
      </c>
      <c r="C99" s="21" t="s">
        <v>115</v>
      </c>
      <c r="D99" s="20" t="s">
        <v>114</v>
      </c>
      <c r="E99" s="3">
        <v>5400000</v>
      </c>
      <c r="F99" s="19">
        <v>44019</v>
      </c>
      <c r="G99" s="3">
        <v>5400000</v>
      </c>
      <c r="H99" s="2">
        <v>5.0000000000000001E-3</v>
      </c>
      <c r="I99" s="19">
        <v>44105</v>
      </c>
      <c r="J99" s="19">
        <v>44135</v>
      </c>
      <c r="K99" s="3">
        <f t="shared" si="6"/>
        <v>31</v>
      </c>
      <c r="L99" s="3">
        <f t="shared" si="7"/>
        <v>2287</v>
      </c>
      <c r="M99" s="3">
        <v>5400000</v>
      </c>
    </row>
    <row r="100" spans="1:13" s="18" customFormat="1" outlineLevel="2">
      <c r="A100" s="19" t="s">
        <v>20</v>
      </c>
      <c r="B100" s="20" t="s">
        <v>102</v>
      </c>
      <c r="C100" s="21" t="s">
        <v>115</v>
      </c>
      <c r="D100" s="20" t="s">
        <v>114</v>
      </c>
      <c r="E100" s="3">
        <v>2300000</v>
      </c>
      <c r="F100" s="19">
        <v>44027</v>
      </c>
      <c r="G100" s="3">
        <v>2300000</v>
      </c>
      <c r="H100" s="2">
        <v>5.0000000000000001E-3</v>
      </c>
      <c r="I100" s="19">
        <v>44105</v>
      </c>
      <c r="J100" s="19">
        <v>44135</v>
      </c>
      <c r="K100" s="3">
        <f t="shared" si="6"/>
        <v>31</v>
      </c>
      <c r="L100" s="3">
        <f t="shared" si="7"/>
        <v>974</v>
      </c>
      <c r="M100" s="3">
        <v>2300000</v>
      </c>
    </row>
    <row r="101" spans="1:13" s="18" customFormat="1" outlineLevel="2">
      <c r="A101" s="19" t="s">
        <v>20</v>
      </c>
      <c r="B101" s="20" t="s">
        <v>101</v>
      </c>
      <c r="C101" s="21" t="s">
        <v>115</v>
      </c>
      <c r="D101" s="20" t="s">
        <v>114</v>
      </c>
      <c r="E101" s="3">
        <v>16280000</v>
      </c>
      <c r="F101" s="19">
        <v>44041</v>
      </c>
      <c r="G101" s="3">
        <v>16280000</v>
      </c>
      <c r="H101" s="2">
        <v>5.0000000000000001E-3</v>
      </c>
      <c r="I101" s="19">
        <v>44105</v>
      </c>
      <c r="J101" s="19">
        <v>44135</v>
      </c>
      <c r="K101" s="3">
        <f t="shared" si="6"/>
        <v>31</v>
      </c>
      <c r="L101" s="3">
        <f t="shared" si="7"/>
        <v>6895</v>
      </c>
      <c r="M101" s="3">
        <v>16280000</v>
      </c>
    </row>
    <row r="102" spans="1:13" s="18" customFormat="1" outlineLevel="2">
      <c r="A102" s="19" t="s">
        <v>20</v>
      </c>
      <c r="B102" s="20" t="s">
        <v>23</v>
      </c>
      <c r="C102" s="21" t="s">
        <v>24</v>
      </c>
      <c r="D102" s="20" t="s">
        <v>18</v>
      </c>
      <c r="E102" s="3">
        <v>162300000</v>
      </c>
      <c r="F102" s="19">
        <v>43829</v>
      </c>
      <c r="G102" s="3">
        <v>137955000</v>
      </c>
      <c r="H102" s="2">
        <v>5.0000000000000001E-3</v>
      </c>
      <c r="I102" s="19">
        <v>44105</v>
      </c>
      <c r="J102" s="19">
        <v>44118</v>
      </c>
      <c r="K102" s="3">
        <f t="shared" si="6"/>
        <v>14</v>
      </c>
      <c r="L102" s="3">
        <f t="shared" si="7"/>
        <v>26385</v>
      </c>
      <c r="M102" s="3">
        <v>135250000</v>
      </c>
    </row>
    <row r="103" spans="1:13" s="18" customFormat="1" outlineLevel="2">
      <c r="A103" s="19" t="s">
        <v>20</v>
      </c>
      <c r="B103" s="20" t="s">
        <v>23</v>
      </c>
      <c r="C103" s="21" t="s">
        <v>24</v>
      </c>
      <c r="D103" s="20"/>
      <c r="E103" s="3"/>
      <c r="F103" s="19"/>
      <c r="G103" s="3">
        <v>135250000</v>
      </c>
      <c r="H103" s="2">
        <v>5.0000000000000001E-3</v>
      </c>
      <c r="I103" s="19">
        <v>44119</v>
      </c>
      <c r="J103" s="19">
        <v>44135</v>
      </c>
      <c r="K103" s="3">
        <f t="shared" si="6"/>
        <v>17</v>
      </c>
      <c r="L103" s="3">
        <f t="shared" si="7"/>
        <v>31411</v>
      </c>
      <c r="M103" s="3"/>
    </row>
    <row r="104" spans="1:13" s="18" customFormat="1" outlineLevel="2">
      <c r="A104" s="19" t="s">
        <v>20</v>
      </c>
      <c r="B104" s="20" t="s">
        <v>100</v>
      </c>
      <c r="C104" s="21" t="s">
        <v>160</v>
      </c>
      <c r="D104" s="20" t="s">
        <v>159</v>
      </c>
      <c r="E104" s="3">
        <v>30000000</v>
      </c>
      <c r="F104" s="19">
        <v>44020</v>
      </c>
      <c r="G104" s="3">
        <v>30000000</v>
      </c>
      <c r="H104" s="2">
        <v>5.0000000000000001E-3</v>
      </c>
      <c r="I104" s="19">
        <v>44105</v>
      </c>
      <c r="J104" s="19">
        <v>44135</v>
      </c>
      <c r="K104" s="3">
        <f t="shared" si="6"/>
        <v>31</v>
      </c>
      <c r="L104" s="3">
        <f t="shared" si="7"/>
        <v>12705</v>
      </c>
      <c r="M104" s="3">
        <v>30000000</v>
      </c>
    </row>
    <row r="105" spans="1:13" s="18" customFormat="1" outlineLevel="2">
      <c r="A105" s="19" t="s">
        <v>20</v>
      </c>
      <c r="B105" s="20" t="s">
        <v>99</v>
      </c>
      <c r="C105" s="21" t="s">
        <v>158</v>
      </c>
      <c r="D105" s="20" t="s">
        <v>157</v>
      </c>
      <c r="E105" s="3">
        <v>35100000</v>
      </c>
      <c r="F105" s="19">
        <v>44013</v>
      </c>
      <c r="G105" s="3">
        <v>35100000</v>
      </c>
      <c r="H105" s="2">
        <v>5.0000000000000001E-3</v>
      </c>
      <c r="I105" s="19">
        <v>44105</v>
      </c>
      <c r="J105" s="19">
        <v>44135</v>
      </c>
      <c r="K105" s="3">
        <f t="shared" si="6"/>
        <v>31</v>
      </c>
      <c r="L105" s="3">
        <f t="shared" si="7"/>
        <v>14865</v>
      </c>
      <c r="M105" s="3">
        <v>35100000</v>
      </c>
    </row>
    <row r="106" spans="1:13" s="18" customFormat="1" outlineLevel="2">
      <c r="A106" s="19" t="s">
        <v>20</v>
      </c>
      <c r="B106" s="20" t="s">
        <v>98</v>
      </c>
      <c r="C106" s="21" t="s">
        <v>158</v>
      </c>
      <c r="D106" s="20" t="s">
        <v>157</v>
      </c>
      <c r="E106" s="3">
        <v>14900000</v>
      </c>
      <c r="F106" s="19">
        <v>44021</v>
      </c>
      <c r="G106" s="3">
        <v>14900000</v>
      </c>
      <c r="H106" s="2">
        <v>5.0000000000000001E-3</v>
      </c>
      <c r="I106" s="19">
        <v>44105</v>
      </c>
      <c r="J106" s="19">
        <v>44135</v>
      </c>
      <c r="K106" s="3">
        <f t="shared" si="6"/>
        <v>31</v>
      </c>
      <c r="L106" s="3">
        <f t="shared" si="7"/>
        <v>6310</v>
      </c>
      <c r="M106" s="3">
        <v>14900000</v>
      </c>
    </row>
    <row r="107" spans="1:13" s="18" customFormat="1" outlineLevel="2">
      <c r="A107" s="19" t="s">
        <v>20</v>
      </c>
      <c r="B107" s="20" t="s">
        <v>122</v>
      </c>
      <c r="C107" s="21" t="s">
        <v>160</v>
      </c>
      <c r="D107" s="20" t="s">
        <v>159</v>
      </c>
      <c r="E107" s="3">
        <v>30000000</v>
      </c>
      <c r="F107" s="19">
        <v>44050</v>
      </c>
      <c r="G107" s="3">
        <v>30000000</v>
      </c>
      <c r="H107" s="2">
        <v>5.0000000000000001E-3</v>
      </c>
      <c r="I107" s="19">
        <v>44105</v>
      </c>
      <c r="J107" s="19">
        <v>44135</v>
      </c>
      <c r="K107" s="3">
        <f t="shared" si="6"/>
        <v>31</v>
      </c>
      <c r="L107" s="3">
        <f t="shared" si="7"/>
        <v>12705</v>
      </c>
      <c r="M107" s="3">
        <v>30000000</v>
      </c>
    </row>
    <row r="108" spans="1:13" s="18" customFormat="1" outlineLevel="2">
      <c r="A108" s="19" t="s">
        <v>20</v>
      </c>
      <c r="B108" s="20" t="s">
        <v>121</v>
      </c>
      <c r="C108" s="21" t="s">
        <v>135</v>
      </c>
      <c r="D108" s="20" t="s">
        <v>134</v>
      </c>
      <c r="E108" s="3">
        <v>72450000</v>
      </c>
      <c r="F108" s="19">
        <v>44064</v>
      </c>
      <c r="G108" s="3">
        <v>72450000</v>
      </c>
      <c r="H108" s="2">
        <v>5.0000000000000001E-3</v>
      </c>
      <c r="I108" s="19">
        <v>44105</v>
      </c>
      <c r="J108" s="19">
        <v>44135</v>
      </c>
      <c r="K108" s="3">
        <f t="shared" si="6"/>
        <v>31</v>
      </c>
      <c r="L108" s="3">
        <f t="shared" si="7"/>
        <v>30682</v>
      </c>
      <c r="M108" s="3">
        <v>72450000</v>
      </c>
    </row>
    <row r="109" spans="1:13" s="18" customFormat="1" outlineLevel="2">
      <c r="A109" s="19" t="s">
        <v>20</v>
      </c>
      <c r="B109" s="20" t="s">
        <v>120</v>
      </c>
      <c r="C109" s="21" t="s">
        <v>141</v>
      </c>
      <c r="D109" s="20" t="s">
        <v>140</v>
      </c>
      <c r="E109" s="3">
        <v>77500000</v>
      </c>
      <c r="F109" s="19">
        <v>44060</v>
      </c>
      <c r="G109" s="3">
        <v>77500000</v>
      </c>
      <c r="H109" s="2">
        <v>5.0000000000000001E-3</v>
      </c>
      <c r="I109" s="19">
        <v>44105</v>
      </c>
      <c r="J109" s="19">
        <v>44135</v>
      </c>
      <c r="K109" s="3">
        <f t="shared" si="6"/>
        <v>31</v>
      </c>
      <c r="L109" s="3">
        <f t="shared" si="7"/>
        <v>32821</v>
      </c>
      <c r="M109" s="3">
        <v>77500000</v>
      </c>
    </row>
    <row r="110" spans="1:13" s="18" customFormat="1" outlineLevel="2">
      <c r="A110" s="19" t="s">
        <v>20</v>
      </c>
      <c r="B110" s="20" t="s">
        <v>147</v>
      </c>
      <c r="C110" s="21" t="s">
        <v>135</v>
      </c>
      <c r="D110" s="20" t="s">
        <v>134</v>
      </c>
      <c r="E110" s="3">
        <v>160000000</v>
      </c>
      <c r="F110" s="19">
        <v>44098</v>
      </c>
      <c r="G110" s="3">
        <v>160000000</v>
      </c>
      <c r="H110" s="2">
        <v>5.0000000000000001E-3</v>
      </c>
      <c r="I110" s="19">
        <v>44105</v>
      </c>
      <c r="J110" s="19">
        <v>44135</v>
      </c>
      <c r="K110" s="3">
        <f t="shared" si="6"/>
        <v>31</v>
      </c>
      <c r="L110" s="3">
        <f t="shared" si="7"/>
        <v>67760</v>
      </c>
      <c r="M110" s="3">
        <v>160000000</v>
      </c>
    </row>
    <row r="111" spans="1:13" s="18" customFormat="1" outlineLevel="2">
      <c r="A111" s="19" t="s">
        <v>20</v>
      </c>
      <c r="B111" s="20" t="s">
        <v>146</v>
      </c>
      <c r="C111" s="21" t="s">
        <v>203</v>
      </c>
      <c r="D111" s="20" t="s">
        <v>202</v>
      </c>
      <c r="E111" s="3">
        <v>73100000</v>
      </c>
      <c r="F111" s="19">
        <v>44095</v>
      </c>
      <c r="G111" s="3">
        <v>73100000</v>
      </c>
      <c r="H111" s="2">
        <v>5.0000000000000001E-3</v>
      </c>
      <c r="I111" s="19">
        <v>44105</v>
      </c>
      <c r="J111" s="19">
        <v>44135</v>
      </c>
      <c r="K111" s="3">
        <f t="shared" si="6"/>
        <v>31</v>
      </c>
      <c r="L111" s="3">
        <f t="shared" si="7"/>
        <v>30958</v>
      </c>
      <c r="M111" s="3">
        <v>73100000</v>
      </c>
    </row>
    <row r="112" spans="1:13" s="18" customFormat="1" outlineLevel="2">
      <c r="A112" s="19" t="s">
        <v>20</v>
      </c>
      <c r="B112" s="20" t="s">
        <v>145</v>
      </c>
      <c r="C112" s="21" t="s">
        <v>115</v>
      </c>
      <c r="D112" s="20" t="s">
        <v>114</v>
      </c>
      <c r="E112" s="3">
        <v>3000000</v>
      </c>
      <c r="F112" s="19">
        <v>44132</v>
      </c>
      <c r="G112" s="3">
        <v>3000000</v>
      </c>
      <c r="H112" s="2">
        <v>5.0000000000000001E-3</v>
      </c>
      <c r="I112" s="19">
        <v>44132</v>
      </c>
      <c r="J112" s="19">
        <v>44135</v>
      </c>
      <c r="K112" s="3">
        <f t="shared" si="6"/>
        <v>4</v>
      </c>
      <c r="L112" s="3">
        <f t="shared" si="7"/>
        <v>164</v>
      </c>
      <c r="M112" s="3">
        <v>3000000</v>
      </c>
    </row>
    <row r="113" spans="1:13" s="18" customFormat="1" outlineLevel="2">
      <c r="A113" s="19" t="s">
        <v>20</v>
      </c>
      <c r="B113" s="20" t="s">
        <v>144</v>
      </c>
      <c r="C113" s="21" t="s">
        <v>141</v>
      </c>
      <c r="D113" s="20" t="s">
        <v>140</v>
      </c>
      <c r="E113" s="3">
        <v>141000000</v>
      </c>
      <c r="F113" s="19">
        <v>44119</v>
      </c>
      <c r="G113" s="3">
        <v>141000000</v>
      </c>
      <c r="H113" s="2">
        <v>5.0000000000000001E-3</v>
      </c>
      <c r="I113" s="19">
        <v>44119</v>
      </c>
      <c r="J113" s="19">
        <v>44135</v>
      </c>
      <c r="K113" s="3">
        <f t="shared" si="6"/>
        <v>17</v>
      </c>
      <c r="L113" s="3">
        <f t="shared" si="7"/>
        <v>32746</v>
      </c>
      <c r="M113" s="3">
        <v>141000000</v>
      </c>
    </row>
    <row r="114" spans="1:13" s="18" customFormat="1" outlineLevel="2">
      <c r="A114" s="19" t="s">
        <v>20</v>
      </c>
      <c r="B114" s="20" t="s">
        <v>29</v>
      </c>
      <c r="C114" s="21" t="s">
        <v>69</v>
      </c>
      <c r="D114" s="20" t="s">
        <v>68</v>
      </c>
      <c r="E114" s="3">
        <v>60000000</v>
      </c>
      <c r="F114" s="19">
        <v>43922</v>
      </c>
      <c r="G114" s="3">
        <v>60000000</v>
      </c>
      <c r="H114" s="2">
        <v>3.0000000000000001E-3</v>
      </c>
      <c r="I114" s="19">
        <v>44105</v>
      </c>
      <c r="J114" s="19">
        <v>44135</v>
      </c>
      <c r="K114" s="3">
        <f t="shared" si="6"/>
        <v>31</v>
      </c>
      <c r="L114" s="3">
        <f t="shared" si="7"/>
        <v>15246</v>
      </c>
      <c r="M114" s="3">
        <v>60000000</v>
      </c>
    </row>
    <row r="115" spans="1:13" s="18" customFormat="1" outlineLevel="2">
      <c r="A115" s="19" t="s">
        <v>20</v>
      </c>
      <c r="B115" s="20" t="s">
        <v>30</v>
      </c>
      <c r="C115" s="21" t="s">
        <v>69</v>
      </c>
      <c r="D115" s="20" t="s">
        <v>68</v>
      </c>
      <c r="E115" s="3">
        <v>144000000</v>
      </c>
      <c r="F115" s="19">
        <v>43922</v>
      </c>
      <c r="G115" s="3">
        <v>144000000</v>
      </c>
      <c r="H115" s="2">
        <v>5.0000000000000001E-3</v>
      </c>
      <c r="I115" s="19">
        <v>44105</v>
      </c>
      <c r="J115" s="19">
        <v>44135</v>
      </c>
      <c r="K115" s="3">
        <f t="shared" si="6"/>
        <v>31</v>
      </c>
      <c r="L115" s="3">
        <f t="shared" si="7"/>
        <v>60984</v>
      </c>
      <c r="M115" s="3">
        <v>144000000</v>
      </c>
    </row>
    <row r="116" spans="1:13" s="18" customFormat="1" outlineLevel="2">
      <c r="A116" s="19" t="s">
        <v>20</v>
      </c>
      <c r="B116" s="20" t="s">
        <v>31</v>
      </c>
      <c r="C116" s="21" t="s">
        <v>115</v>
      </c>
      <c r="D116" s="20" t="s">
        <v>114</v>
      </c>
      <c r="E116" s="3">
        <v>34480000</v>
      </c>
      <c r="F116" s="19">
        <v>43980</v>
      </c>
      <c r="G116" s="3">
        <v>34480000</v>
      </c>
      <c r="H116" s="2">
        <v>5.0000000000000001E-3</v>
      </c>
      <c r="I116" s="19">
        <v>44105</v>
      </c>
      <c r="J116" s="19">
        <v>44135</v>
      </c>
      <c r="K116" s="3">
        <f t="shared" si="6"/>
        <v>31</v>
      </c>
      <c r="L116" s="3">
        <f t="shared" si="7"/>
        <v>14602</v>
      </c>
      <c r="M116" s="3">
        <v>34480000</v>
      </c>
    </row>
    <row r="117" spans="1:13" s="18" customFormat="1" outlineLevel="2">
      <c r="A117" s="19" t="s">
        <v>20</v>
      </c>
      <c r="B117" s="20" t="s">
        <v>32</v>
      </c>
      <c r="C117" s="21" t="s">
        <v>113</v>
      </c>
      <c r="D117" s="20" t="s">
        <v>112</v>
      </c>
      <c r="E117" s="3">
        <v>56000000</v>
      </c>
      <c r="F117" s="19">
        <v>43966</v>
      </c>
      <c r="G117" s="3">
        <v>56000000</v>
      </c>
      <c r="H117" s="2">
        <v>5.0000000000000001E-3</v>
      </c>
      <c r="I117" s="19">
        <v>44105</v>
      </c>
      <c r="J117" s="19">
        <v>44135</v>
      </c>
      <c r="K117" s="3">
        <f t="shared" si="6"/>
        <v>31</v>
      </c>
      <c r="L117" s="3">
        <f t="shared" si="7"/>
        <v>23716</v>
      </c>
      <c r="M117" s="3">
        <v>56000000</v>
      </c>
    </row>
    <row r="118" spans="1:13" s="18" customFormat="1" outlineLevel="2">
      <c r="A118" s="19" t="s">
        <v>20</v>
      </c>
      <c r="B118" s="20" t="s">
        <v>48</v>
      </c>
      <c r="C118" s="21" t="s">
        <v>69</v>
      </c>
      <c r="D118" s="20" t="s">
        <v>68</v>
      </c>
      <c r="E118" s="3">
        <v>150000000</v>
      </c>
      <c r="F118" s="19">
        <v>43958</v>
      </c>
      <c r="G118" s="3">
        <v>150000000</v>
      </c>
      <c r="H118" s="2">
        <v>5.0000000000000001E-3</v>
      </c>
      <c r="I118" s="19">
        <v>44105</v>
      </c>
      <c r="J118" s="19">
        <v>44135</v>
      </c>
      <c r="K118" s="3">
        <f t="shared" si="6"/>
        <v>31</v>
      </c>
      <c r="L118" s="3">
        <f t="shared" si="7"/>
        <v>63525</v>
      </c>
      <c r="M118" s="3">
        <v>150000000</v>
      </c>
    </row>
    <row r="119" spans="1:13" s="18" customFormat="1" outlineLevel="2">
      <c r="A119" s="19" t="s">
        <v>20</v>
      </c>
      <c r="B119" s="20" t="s">
        <v>59</v>
      </c>
      <c r="C119" s="21" t="s">
        <v>115</v>
      </c>
      <c r="D119" s="20" t="s">
        <v>114</v>
      </c>
      <c r="E119" s="3">
        <v>5000000</v>
      </c>
      <c r="F119" s="19">
        <v>43998</v>
      </c>
      <c r="G119" s="3">
        <v>5000000</v>
      </c>
      <c r="H119" s="2">
        <v>5.0000000000000001E-3</v>
      </c>
      <c r="I119" s="19">
        <v>44105</v>
      </c>
      <c r="J119" s="19">
        <v>44135</v>
      </c>
      <c r="K119" s="3">
        <f t="shared" si="6"/>
        <v>31</v>
      </c>
      <c r="L119" s="3">
        <f t="shared" si="7"/>
        <v>2117</v>
      </c>
      <c r="M119" s="3">
        <v>5000000</v>
      </c>
    </row>
    <row r="120" spans="1:13" s="18" customFormat="1" outlineLevel="2">
      <c r="A120" s="19" t="s">
        <v>20</v>
      </c>
      <c r="B120" s="20" t="s">
        <v>58</v>
      </c>
      <c r="C120" s="21" t="s">
        <v>115</v>
      </c>
      <c r="D120" s="20" t="s">
        <v>114</v>
      </c>
      <c r="E120" s="3">
        <v>17292000</v>
      </c>
      <c r="F120" s="19">
        <v>44002</v>
      </c>
      <c r="G120" s="3">
        <v>17292000</v>
      </c>
      <c r="H120" s="2">
        <v>5.0000000000000001E-3</v>
      </c>
      <c r="I120" s="19">
        <v>44105</v>
      </c>
      <c r="J120" s="19">
        <v>44135</v>
      </c>
      <c r="K120" s="3">
        <f t="shared" si="6"/>
        <v>31</v>
      </c>
      <c r="L120" s="3">
        <f t="shared" si="7"/>
        <v>7323</v>
      </c>
      <c r="M120" s="3">
        <v>17292000</v>
      </c>
    </row>
    <row r="121" spans="1:13" s="18" customFormat="1" ht="13.5" outlineLevel="1">
      <c r="A121" s="22" t="s">
        <v>25</v>
      </c>
      <c r="B121" s="23"/>
      <c r="C121" s="24"/>
      <c r="D121" s="23"/>
      <c r="E121" s="25">
        <f>SUBTOTAL(9,E91:E120)</f>
        <v>2791264000</v>
      </c>
      <c r="F121" s="26"/>
      <c r="G121" s="25"/>
      <c r="H121" s="27"/>
      <c r="I121" s="26"/>
      <c r="J121" s="26"/>
      <c r="K121" s="25"/>
      <c r="L121" s="25">
        <f>SUBTOTAL(9,L91:L120)</f>
        <v>1049027</v>
      </c>
      <c r="M121" s="25">
        <f>SUBTOTAL(9,M91:M120)</f>
        <v>2749324400</v>
      </c>
    </row>
    <row r="122" spans="1:13" s="18" customFormat="1" outlineLevel="2">
      <c r="A122" s="19" t="s">
        <v>26</v>
      </c>
      <c r="B122" s="20" t="s">
        <v>16</v>
      </c>
      <c r="C122" s="21" t="s">
        <v>27</v>
      </c>
      <c r="D122" s="20" t="s">
        <v>28</v>
      </c>
      <c r="E122" s="3">
        <v>38000000</v>
      </c>
      <c r="F122" s="19">
        <v>43762</v>
      </c>
      <c r="G122" s="3">
        <v>38000000</v>
      </c>
      <c r="H122" s="2">
        <v>5.0000000000000001E-3</v>
      </c>
      <c r="I122" s="19">
        <v>44105</v>
      </c>
      <c r="J122" s="19">
        <v>44135</v>
      </c>
      <c r="K122" s="3">
        <f t="shared" ref="K122:K153" si="8">J122-I122+1</f>
        <v>31</v>
      </c>
      <c r="L122" s="3">
        <f t="shared" ref="L122:L153" si="9">ROUND(G122*H122*K122/366,0)</f>
        <v>16093</v>
      </c>
      <c r="M122" s="3">
        <v>38000000</v>
      </c>
    </row>
    <row r="123" spans="1:13" s="18" customFormat="1" outlineLevel="2">
      <c r="A123" s="19" t="s">
        <v>26</v>
      </c>
      <c r="B123" s="20" t="s">
        <v>61</v>
      </c>
      <c r="C123" s="21" t="s">
        <v>74</v>
      </c>
      <c r="D123" s="20" t="s">
        <v>73</v>
      </c>
      <c r="E123" s="3">
        <v>110000000</v>
      </c>
      <c r="F123" s="19">
        <v>43913</v>
      </c>
      <c r="G123" s="3">
        <v>110000000</v>
      </c>
      <c r="H123" s="2">
        <v>5.0000000000000001E-3</v>
      </c>
      <c r="I123" s="19">
        <v>44105</v>
      </c>
      <c r="J123" s="19">
        <v>44135</v>
      </c>
      <c r="K123" s="3">
        <f t="shared" si="8"/>
        <v>31</v>
      </c>
      <c r="L123" s="3">
        <f t="shared" si="9"/>
        <v>46585</v>
      </c>
      <c r="M123" s="3">
        <v>110000000</v>
      </c>
    </row>
    <row r="124" spans="1:13" s="18" customFormat="1" outlineLevel="2">
      <c r="A124" s="19" t="s">
        <v>26</v>
      </c>
      <c r="B124" s="20" t="s">
        <v>60</v>
      </c>
      <c r="C124" s="21" t="s">
        <v>33</v>
      </c>
      <c r="D124" s="20" t="s">
        <v>34</v>
      </c>
      <c r="E124" s="3">
        <v>95655336</v>
      </c>
      <c r="F124" s="19">
        <v>43951</v>
      </c>
      <c r="G124" s="3">
        <v>95655336</v>
      </c>
      <c r="H124" s="2">
        <v>5.0000000000000001E-3</v>
      </c>
      <c r="I124" s="19">
        <v>44105</v>
      </c>
      <c r="J124" s="19">
        <v>44135</v>
      </c>
      <c r="K124" s="3">
        <f t="shared" si="8"/>
        <v>31</v>
      </c>
      <c r="L124" s="3">
        <f t="shared" si="9"/>
        <v>40510</v>
      </c>
      <c r="M124" s="3">
        <v>95655336</v>
      </c>
    </row>
    <row r="125" spans="1:13" s="18" customFormat="1" outlineLevel="2">
      <c r="A125" s="19" t="s">
        <v>26</v>
      </c>
      <c r="B125" s="20" t="s">
        <v>66</v>
      </c>
      <c r="C125" s="21" t="s">
        <v>27</v>
      </c>
      <c r="D125" s="20" t="s">
        <v>28</v>
      </c>
      <c r="E125" s="3">
        <v>38000000</v>
      </c>
      <c r="F125" s="19">
        <v>43962</v>
      </c>
      <c r="G125" s="3">
        <v>38000000</v>
      </c>
      <c r="H125" s="2">
        <v>5.0000000000000001E-3</v>
      </c>
      <c r="I125" s="19">
        <v>44105</v>
      </c>
      <c r="J125" s="19">
        <v>44135</v>
      </c>
      <c r="K125" s="3">
        <f t="shared" si="8"/>
        <v>31</v>
      </c>
      <c r="L125" s="3">
        <f t="shared" si="9"/>
        <v>16093</v>
      </c>
      <c r="M125" s="3">
        <v>38000000</v>
      </c>
    </row>
    <row r="126" spans="1:13" s="18" customFormat="1" outlineLevel="2">
      <c r="A126" s="19" t="s">
        <v>26</v>
      </c>
      <c r="B126" s="20" t="s">
        <v>65</v>
      </c>
      <c r="C126" s="21" t="s">
        <v>27</v>
      </c>
      <c r="D126" s="20" t="s">
        <v>28</v>
      </c>
      <c r="E126" s="3">
        <v>10500000</v>
      </c>
      <c r="F126" s="19">
        <v>43962</v>
      </c>
      <c r="G126" s="3">
        <v>10500000</v>
      </c>
      <c r="H126" s="2">
        <v>5.0000000000000001E-3</v>
      </c>
      <c r="I126" s="19">
        <v>44105</v>
      </c>
      <c r="J126" s="19">
        <v>44135</v>
      </c>
      <c r="K126" s="3">
        <f t="shared" si="8"/>
        <v>31</v>
      </c>
      <c r="L126" s="3">
        <f t="shared" si="9"/>
        <v>4447</v>
      </c>
      <c r="M126" s="3">
        <v>10500000</v>
      </c>
    </row>
    <row r="127" spans="1:13" s="18" customFormat="1" outlineLevel="2">
      <c r="A127" s="19" t="s">
        <v>26</v>
      </c>
      <c r="B127" s="20" t="s">
        <v>64</v>
      </c>
      <c r="C127" s="21" t="s">
        <v>192</v>
      </c>
      <c r="D127" s="20" t="s">
        <v>110</v>
      </c>
      <c r="E127" s="3">
        <v>160000000</v>
      </c>
      <c r="F127" s="19">
        <v>43970</v>
      </c>
      <c r="G127" s="3">
        <v>160000000</v>
      </c>
      <c r="H127" s="2">
        <v>5.0000000000000001E-3</v>
      </c>
      <c r="I127" s="19">
        <v>44105</v>
      </c>
      <c r="J127" s="19">
        <v>44135</v>
      </c>
      <c r="K127" s="3">
        <f t="shared" si="8"/>
        <v>31</v>
      </c>
      <c r="L127" s="3">
        <f t="shared" si="9"/>
        <v>67760</v>
      </c>
      <c r="M127" s="3">
        <v>160000000</v>
      </c>
    </row>
    <row r="128" spans="1:13" s="18" customFormat="1" outlineLevel="2">
      <c r="A128" s="19" t="s">
        <v>26</v>
      </c>
      <c r="B128" s="20" t="s">
        <v>85</v>
      </c>
      <c r="C128" s="21" t="s">
        <v>109</v>
      </c>
      <c r="D128" s="20" t="s">
        <v>34</v>
      </c>
      <c r="E128" s="3">
        <v>13104000</v>
      </c>
      <c r="F128" s="19">
        <v>43979</v>
      </c>
      <c r="G128" s="3">
        <v>13104000</v>
      </c>
      <c r="H128" s="2">
        <v>5.0000000000000001E-3</v>
      </c>
      <c r="I128" s="19">
        <v>44105</v>
      </c>
      <c r="J128" s="19">
        <v>44135</v>
      </c>
      <c r="K128" s="3">
        <f t="shared" si="8"/>
        <v>31</v>
      </c>
      <c r="L128" s="3">
        <f t="shared" si="9"/>
        <v>5550</v>
      </c>
      <c r="M128" s="3">
        <v>13104000</v>
      </c>
    </row>
    <row r="129" spans="1:13" s="18" customFormat="1" outlineLevel="2">
      <c r="A129" s="19" t="s">
        <v>26</v>
      </c>
      <c r="B129" s="20" t="s">
        <v>84</v>
      </c>
      <c r="C129" s="21" t="s">
        <v>130</v>
      </c>
      <c r="D129" s="20" t="s">
        <v>129</v>
      </c>
      <c r="E129" s="3">
        <v>6550000</v>
      </c>
      <c r="F129" s="19">
        <v>43993</v>
      </c>
      <c r="G129" s="3">
        <v>6550000</v>
      </c>
      <c r="H129" s="2">
        <v>5.0000000000000001E-3</v>
      </c>
      <c r="I129" s="19">
        <v>44105</v>
      </c>
      <c r="J129" s="19">
        <v>44135</v>
      </c>
      <c r="K129" s="3">
        <f t="shared" si="8"/>
        <v>31</v>
      </c>
      <c r="L129" s="3">
        <f t="shared" si="9"/>
        <v>2774</v>
      </c>
      <c r="M129" s="3">
        <v>6550000</v>
      </c>
    </row>
    <row r="130" spans="1:13" s="18" customFormat="1" outlineLevel="2">
      <c r="A130" s="19" t="s">
        <v>26</v>
      </c>
      <c r="B130" s="20" t="s">
        <v>83</v>
      </c>
      <c r="C130" s="21" t="s">
        <v>130</v>
      </c>
      <c r="D130" s="20" t="s">
        <v>129</v>
      </c>
      <c r="E130" s="3">
        <v>19710000</v>
      </c>
      <c r="F130" s="19">
        <v>43993</v>
      </c>
      <c r="G130" s="3">
        <v>19710000</v>
      </c>
      <c r="H130" s="2">
        <v>5.0000000000000001E-3</v>
      </c>
      <c r="I130" s="19">
        <v>44105</v>
      </c>
      <c r="J130" s="19">
        <v>44135</v>
      </c>
      <c r="K130" s="3">
        <f t="shared" si="8"/>
        <v>31</v>
      </c>
      <c r="L130" s="3">
        <f t="shared" si="9"/>
        <v>8347</v>
      </c>
      <c r="M130" s="3">
        <v>19710000</v>
      </c>
    </row>
    <row r="131" spans="1:13" s="18" customFormat="1" outlineLevel="2">
      <c r="A131" s="19" t="s">
        <v>26</v>
      </c>
      <c r="B131" s="20" t="s">
        <v>102</v>
      </c>
      <c r="C131" s="21" t="s">
        <v>130</v>
      </c>
      <c r="D131" s="20" t="s">
        <v>129</v>
      </c>
      <c r="E131" s="3">
        <v>16860000</v>
      </c>
      <c r="F131" s="19">
        <v>43993</v>
      </c>
      <c r="G131" s="3">
        <v>16860000</v>
      </c>
      <c r="H131" s="2">
        <v>5.0000000000000001E-3</v>
      </c>
      <c r="I131" s="19">
        <v>44105</v>
      </c>
      <c r="J131" s="19">
        <v>44135</v>
      </c>
      <c r="K131" s="3">
        <f t="shared" si="8"/>
        <v>31</v>
      </c>
      <c r="L131" s="3">
        <f t="shared" si="9"/>
        <v>7140</v>
      </c>
      <c r="M131" s="3">
        <v>16860000</v>
      </c>
    </row>
    <row r="132" spans="1:13" s="18" customFormat="1" outlineLevel="2">
      <c r="A132" s="19" t="s">
        <v>26</v>
      </c>
      <c r="B132" s="20" t="s">
        <v>101</v>
      </c>
      <c r="C132" s="21" t="s">
        <v>128</v>
      </c>
      <c r="D132" s="20" t="s">
        <v>127</v>
      </c>
      <c r="E132" s="3">
        <v>240000000</v>
      </c>
      <c r="F132" s="19">
        <v>44000</v>
      </c>
      <c r="G132" s="3">
        <v>240000000</v>
      </c>
      <c r="H132" s="2">
        <v>5.0000000000000001E-3</v>
      </c>
      <c r="I132" s="19">
        <v>44105</v>
      </c>
      <c r="J132" s="19">
        <v>44135</v>
      </c>
      <c r="K132" s="3">
        <f t="shared" si="8"/>
        <v>31</v>
      </c>
      <c r="L132" s="3">
        <f t="shared" si="9"/>
        <v>101639</v>
      </c>
      <c r="M132" s="3">
        <v>240000000</v>
      </c>
    </row>
    <row r="133" spans="1:13" s="18" customFormat="1" outlineLevel="2">
      <c r="A133" s="19" t="s">
        <v>26</v>
      </c>
      <c r="B133" s="20" t="s">
        <v>23</v>
      </c>
      <c r="C133" s="21" t="s">
        <v>27</v>
      </c>
      <c r="D133" s="20" t="s">
        <v>28</v>
      </c>
      <c r="E133" s="3">
        <v>57000000</v>
      </c>
      <c r="F133" s="19">
        <v>43822</v>
      </c>
      <c r="G133" s="3">
        <v>57000000</v>
      </c>
      <c r="H133" s="2">
        <v>5.0000000000000001E-3</v>
      </c>
      <c r="I133" s="19">
        <v>44105</v>
      </c>
      <c r="J133" s="19">
        <v>44135</v>
      </c>
      <c r="K133" s="3">
        <f t="shared" si="8"/>
        <v>31</v>
      </c>
      <c r="L133" s="3">
        <f t="shared" si="9"/>
        <v>24139</v>
      </c>
      <c r="M133" s="3">
        <v>57000000</v>
      </c>
    </row>
    <row r="134" spans="1:13" s="18" customFormat="1" outlineLevel="2">
      <c r="A134" s="19" t="s">
        <v>26</v>
      </c>
      <c r="B134" s="20" t="s">
        <v>100</v>
      </c>
      <c r="C134" s="21" t="s">
        <v>192</v>
      </c>
      <c r="D134" s="20" t="s">
        <v>110</v>
      </c>
      <c r="E134" s="3">
        <v>55000000</v>
      </c>
      <c r="F134" s="19">
        <v>44001</v>
      </c>
      <c r="G134" s="3">
        <v>55000000</v>
      </c>
      <c r="H134" s="2">
        <v>5.0000000000000001E-3</v>
      </c>
      <c r="I134" s="19">
        <v>44105</v>
      </c>
      <c r="J134" s="19">
        <v>44135</v>
      </c>
      <c r="K134" s="3">
        <f t="shared" si="8"/>
        <v>31</v>
      </c>
      <c r="L134" s="3">
        <f t="shared" si="9"/>
        <v>23292</v>
      </c>
      <c r="M134" s="3">
        <v>55000000</v>
      </c>
    </row>
    <row r="135" spans="1:13" s="18" customFormat="1" outlineLevel="2">
      <c r="A135" s="19" t="s">
        <v>26</v>
      </c>
      <c r="B135" s="20" t="s">
        <v>99</v>
      </c>
      <c r="C135" s="21" t="s">
        <v>126</v>
      </c>
      <c r="D135" s="20" t="s">
        <v>125</v>
      </c>
      <c r="E135" s="3">
        <v>8907064</v>
      </c>
      <c r="F135" s="19">
        <v>44006</v>
      </c>
      <c r="G135" s="3">
        <v>8907064</v>
      </c>
      <c r="H135" s="2">
        <v>5.0000000000000001E-3</v>
      </c>
      <c r="I135" s="19">
        <v>44105</v>
      </c>
      <c r="J135" s="19">
        <v>44135</v>
      </c>
      <c r="K135" s="3">
        <f t="shared" si="8"/>
        <v>31</v>
      </c>
      <c r="L135" s="3">
        <f t="shared" si="9"/>
        <v>3772</v>
      </c>
      <c r="M135" s="3">
        <v>8907064</v>
      </c>
    </row>
    <row r="136" spans="1:13" s="18" customFormat="1" outlineLevel="2">
      <c r="A136" s="19" t="s">
        <v>26</v>
      </c>
      <c r="B136" s="20" t="s">
        <v>98</v>
      </c>
      <c r="C136" s="21" t="s">
        <v>33</v>
      </c>
      <c r="D136" s="20" t="s">
        <v>34</v>
      </c>
      <c r="E136" s="3">
        <v>7560000</v>
      </c>
      <c r="F136" s="19">
        <v>44018</v>
      </c>
      <c r="G136" s="3">
        <v>7560000</v>
      </c>
      <c r="H136" s="2">
        <v>5.0000000000000001E-3</v>
      </c>
      <c r="I136" s="19">
        <v>44105</v>
      </c>
      <c r="J136" s="19">
        <v>44135</v>
      </c>
      <c r="K136" s="3">
        <f t="shared" si="8"/>
        <v>31</v>
      </c>
      <c r="L136" s="3">
        <f t="shared" si="9"/>
        <v>3202</v>
      </c>
      <c r="M136" s="3">
        <v>7560000</v>
      </c>
    </row>
    <row r="137" spans="1:13" s="18" customFormat="1" outlineLevel="2">
      <c r="A137" s="19" t="s">
        <v>26</v>
      </c>
      <c r="B137" s="20" t="s">
        <v>122</v>
      </c>
      <c r="C137" s="21" t="s">
        <v>27</v>
      </c>
      <c r="D137" s="20" t="s">
        <v>28</v>
      </c>
      <c r="E137" s="3">
        <v>38000000</v>
      </c>
      <c r="F137" s="19">
        <v>44022</v>
      </c>
      <c r="G137" s="3">
        <v>38000000</v>
      </c>
      <c r="H137" s="2">
        <v>5.0000000000000001E-3</v>
      </c>
      <c r="I137" s="19">
        <v>44105</v>
      </c>
      <c r="J137" s="19">
        <v>44135</v>
      </c>
      <c r="K137" s="3">
        <f t="shared" si="8"/>
        <v>31</v>
      </c>
      <c r="L137" s="3">
        <f t="shared" si="9"/>
        <v>16093</v>
      </c>
      <c r="M137" s="3">
        <v>38000000</v>
      </c>
    </row>
    <row r="138" spans="1:13" s="18" customFormat="1" outlineLevel="2">
      <c r="A138" s="19" t="s">
        <v>26</v>
      </c>
      <c r="B138" s="20" t="s">
        <v>121</v>
      </c>
      <c r="C138" s="21" t="s">
        <v>27</v>
      </c>
      <c r="D138" s="20" t="s">
        <v>28</v>
      </c>
      <c r="E138" s="3">
        <v>10500000</v>
      </c>
      <c r="F138" s="19">
        <v>44022</v>
      </c>
      <c r="G138" s="3">
        <v>10500000</v>
      </c>
      <c r="H138" s="2">
        <v>5.0000000000000001E-3</v>
      </c>
      <c r="I138" s="19">
        <v>44105</v>
      </c>
      <c r="J138" s="19">
        <v>44135</v>
      </c>
      <c r="K138" s="3">
        <f t="shared" si="8"/>
        <v>31</v>
      </c>
      <c r="L138" s="3">
        <f t="shared" si="9"/>
        <v>4447</v>
      </c>
      <c r="M138" s="3">
        <v>10500000</v>
      </c>
    </row>
    <row r="139" spans="1:13" s="18" customFormat="1" outlineLevel="2">
      <c r="A139" s="19" t="s">
        <v>26</v>
      </c>
      <c r="B139" s="20" t="s">
        <v>120</v>
      </c>
      <c r="C139" s="21" t="s">
        <v>156</v>
      </c>
      <c r="D139" s="20" t="s">
        <v>155</v>
      </c>
      <c r="E139" s="3">
        <v>72000000</v>
      </c>
      <c r="F139" s="19">
        <v>44025</v>
      </c>
      <c r="G139" s="3">
        <v>70789916</v>
      </c>
      <c r="H139" s="2">
        <v>5.0000000000000001E-3</v>
      </c>
      <c r="I139" s="19">
        <v>44105</v>
      </c>
      <c r="J139" s="19">
        <v>44118</v>
      </c>
      <c r="K139" s="3">
        <f t="shared" si="8"/>
        <v>14</v>
      </c>
      <c r="L139" s="3">
        <f t="shared" si="9"/>
        <v>13539</v>
      </c>
      <c r="M139" s="3">
        <v>70184874</v>
      </c>
    </row>
    <row r="140" spans="1:13" s="18" customFormat="1" outlineLevel="2">
      <c r="A140" s="19" t="s">
        <v>26</v>
      </c>
      <c r="B140" s="20" t="s">
        <v>120</v>
      </c>
      <c r="C140" s="21" t="s">
        <v>156</v>
      </c>
      <c r="D140" s="20"/>
      <c r="E140" s="3"/>
      <c r="F140" s="19"/>
      <c r="G140" s="3">
        <v>70184874</v>
      </c>
      <c r="H140" s="2">
        <v>5.0000000000000001E-3</v>
      </c>
      <c r="I140" s="19">
        <v>44119</v>
      </c>
      <c r="J140" s="19">
        <v>44135</v>
      </c>
      <c r="K140" s="3">
        <f t="shared" si="8"/>
        <v>17</v>
      </c>
      <c r="L140" s="3">
        <f t="shared" si="9"/>
        <v>16300</v>
      </c>
      <c r="M140" s="3"/>
    </row>
    <row r="141" spans="1:13" s="18" customFormat="1" outlineLevel="2">
      <c r="A141" s="19" t="s">
        <v>26</v>
      </c>
      <c r="B141" s="20" t="s">
        <v>147</v>
      </c>
      <c r="C141" s="21" t="s">
        <v>141</v>
      </c>
      <c r="D141" s="20" t="s">
        <v>140</v>
      </c>
      <c r="E141" s="3">
        <v>87500000</v>
      </c>
      <c r="F141" s="19">
        <v>44027</v>
      </c>
      <c r="G141" s="3">
        <v>87500000</v>
      </c>
      <c r="H141" s="2">
        <v>5.0000000000000001E-3</v>
      </c>
      <c r="I141" s="19">
        <v>44105</v>
      </c>
      <c r="J141" s="19">
        <v>44135</v>
      </c>
      <c r="K141" s="3">
        <f t="shared" si="8"/>
        <v>31</v>
      </c>
      <c r="L141" s="3">
        <f t="shared" si="9"/>
        <v>37056</v>
      </c>
      <c r="M141" s="3">
        <v>87500000</v>
      </c>
    </row>
    <row r="142" spans="1:13" s="18" customFormat="1" outlineLevel="2">
      <c r="A142" s="19" t="s">
        <v>26</v>
      </c>
      <c r="B142" s="20" t="s">
        <v>146</v>
      </c>
      <c r="C142" s="21" t="s">
        <v>154</v>
      </c>
      <c r="D142" s="20" t="s">
        <v>153</v>
      </c>
      <c r="E142" s="3">
        <v>84000000</v>
      </c>
      <c r="F142" s="19">
        <v>44027</v>
      </c>
      <c r="G142" s="3">
        <v>84000000</v>
      </c>
      <c r="H142" s="2">
        <v>5.0000000000000001E-3</v>
      </c>
      <c r="I142" s="19">
        <v>44105</v>
      </c>
      <c r="J142" s="19">
        <v>44135</v>
      </c>
      <c r="K142" s="3">
        <f t="shared" si="8"/>
        <v>31</v>
      </c>
      <c r="L142" s="3">
        <f t="shared" si="9"/>
        <v>35574</v>
      </c>
      <c r="M142" s="3">
        <v>84000000</v>
      </c>
    </row>
    <row r="143" spans="1:13" s="18" customFormat="1" outlineLevel="2">
      <c r="A143" s="19" t="s">
        <v>26</v>
      </c>
      <c r="B143" s="20" t="s">
        <v>145</v>
      </c>
      <c r="C143" s="21" t="s">
        <v>97</v>
      </c>
      <c r="D143" s="20" t="s">
        <v>96</v>
      </c>
      <c r="E143" s="3">
        <v>12230000</v>
      </c>
      <c r="F143" s="19">
        <v>44034</v>
      </c>
      <c r="G143" s="3">
        <v>12230000</v>
      </c>
      <c r="H143" s="2">
        <v>5.0000000000000001E-3</v>
      </c>
      <c r="I143" s="19">
        <v>44105</v>
      </c>
      <c r="J143" s="19">
        <v>44135</v>
      </c>
      <c r="K143" s="3">
        <f t="shared" si="8"/>
        <v>31</v>
      </c>
      <c r="L143" s="3">
        <f t="shared" si="9"/>
        <v>5179</v>
      </c>
      <c r="M143" s="3">
        <v>12230000</v>
      </c>
    </row>
    <row r="144" spans="1:13" s="18" customFormat="1" outlineLevel="2">
      <c r="A144" s="19" t="s">
        <v>26</v>
      </c>
      <c r="B144" s="20" t="s">
        <v>144</v>
      </c>
      <c r="C144" s="21" t="s">
        <v>192</v>
      </c>
      <c r="D144" s="20" t="s">
        <v>110</v>
      </c>
      <c r="E144" s="3">
        <v>40000000</v>
      </c>
      <c r="F144" s="19">
        <v>44040</v>
      </c>
      <c r="G144" s="3">
        <v>40000000</v>
      </c>
      <c r="H144" s="2">
        <v>5.0000000000000001E-3</v>
      </c>
      <c r="I144" s="19">
        <v>44105</v>
      </c>
      <c r="J144" s="19">
        <v>44135</v>
      </c>
      <c r="K144" s="3">
        <f t="shared" si="8"/>
        <v>31</v>
      </c>
      <c r="L144" s="3">
        <f t="shared" si="9"/>
        <v>16940</v>
      </c>
      <c r="M144" s="3">
        <v>40000000</v>
      </c>
    </row>
    <row r="145" spans="1:13" s="18" customFormat="1" outlineLevel="2">
      <c r="A145" s="19" t="s">
        <v>26</v>
      </c>
      <c r="B145" s="20" t="s">
        <v>29</v>
      </c>
      <c r="C145" s="21" t="s">
        <v>21</v>
      </c>
      <c r="D145" s="20" t="s">
        <v>22</v>
      </c>
      <c r="E145" s="3">
        <v>171000000</v>
      </c>
      <c r="F145" s="19">
        <v>43822</v>
      </c>
      <c r="G145" s="3">
        <v>171000000</v>
      </c>
      <c r="H145" s="2">
        <v>5.0000000000000001E-3</v>
      </c>
      <c r="I145" s="19">
        <v>44105</v>
      </c>
      <c r="J145" s="19">
        <v>44135</v>
      </c>
      <c r="K145" s="3">
        <f t="shared" si="8"/>
        <v>31</v>
      </c>
      <c r="L145" s="3">
        <f t="shared" si="9"/>
        <v>72418</v>
      </c>
      <c r="M145" s="3">
        <v>171000000</v>
      </c>
    </row>
    <row r="146" spans="1:13" s="18" customFormat="1" outlineLevel="2">
      <c r="A146" s="19" t="s">
        <v>26</v>
      </c>
      <c r="B146" s="20" t="s">
        <v>143</v>
      </c>
      <c r="C146" s="21" t="s">
        <v>151</v>
      </c>
      <c r="D146" s="20" t="s">
        <v>150</v>
      </c>
      <c r="E146" s="3">
        <v>18000000</v>
      </c>
      <c r="F146" s="19">
        <v>44043</v>
      </c>
      <c r="G146" s="3">
        <v>18000000</v>
      </c>
      <c r="H146" s="2">
        <v>5.0000000000000001E-3</v>
      </c>
      <c r="I146" s="19">
        <v>44105</v>
      </c>
      <c r="J146" s="19">
        <v>44135</v>
      </c>
      <c r="K146" s="3">
        <f t="shared" si="8"/>
        <v>31</v>
      </c>
      <c r="L146" s="3">
        <f t="shared" si="9"/>
        <v>7623</v>
      </c>
      <c r="M146" s="3">
        <v>18000000</v>
      </c>
    </row>
    <row r="147" spans="1:13" s="18" customFormat="1" outlineLevel="2">
      <c r="A147" s="19" t="s">
        <v>26</v>
      </c>
      <c r="B147" s="20" t="s">
        <v>142</v>
      </c>
      <c r="C147" s="21" t="s">
        <v>151</v>
      </c>
      <c r="D147" s="20" t="s">
        <v>150</v>
      </c>
      <c r="E147" s="3">
        <v>21000000</v>
      </c>
      <c r="F147" s="19">
        <v>44043</v>
      </c>
      <c r="G147" s="3">
        <v>21000000</v>
      </c>
      <c r="H147" s="2">
        <v>5.0000000000000001E-3</v>
      </c>
      <c r="I147" s="19">
        <v>44105</v>
      </c>
      <c r="J147" s="19">
        <v>44135</v>
      </c>
      <c r="K147" s="3">
        <f t="shared" si="8"/>
        <v>31</v>
      </c>
      <c r="L147" s="3">
        <f t="shared" si="9"/>
        <v>8893</v>
      </c>
      <c r="M147" s="3">
        <v>21000000</v>
      </c>
    </row>
    <row r="148" spans="1:13" s="18" customFormat="1" outlineLevel="2">
      <c r="A148" s="19" t="s">
        <v>26</v>
      </c>
      <c r="B148" s="20" t="s">
        <v>152</v>
      </c>
      <c r="C148" s="21" t="s">
        <v>151</v>
      </c>
      <c r="D148" s="20" t="s">
        <v>150</v>
      </c>
      <c r="E148" s="3">
        <v>13600000</v>
      </c>
      <c r="F148" s="19">
        <v>44043</v>
      </c>
      <c r="G148" s="3">
        <v>13600000</v>
      </c>
      <c r="H148" s="2">
        <v>5.0000000000000001E-3</v>
      </c>
      <c r="I148" s="19">
        <v>44105</v>
      </c>
      <c r="J148" s="19">
        <v>44135</v>
      </c>
      <c r="K148" s="3">
        <f t="shared" si="8"/>
        <v>31</v>
      </c>
      <c r="L148" s="3">
        <f t="shared" si="9"/>
        <v>5760</v>
      </c>
      <c r="M148" s="3">
        <v>13600000</v>
      </c>
    </row>
    <row r="149" spans="1:13" s="18" customFormat="1" outlineLevel="2">
      <c r="A149" s="19" t="s">
        <v>26</v>
      </c>
      <c r="B149" s="20" t="s">
        <v>168</v>
      </c>
      <c r="C149" s="21" t="s">
        <v>27</v>
      </c>
      <c r="D149" s="20" t="s">
        <v>28</v>
      </c>
      <c r="E149" s="3">
        <v>28000000</v>
      </c>
      <c r="F149" s="19">
        <v>44046</v>
      </c>
      <c r="G149" s="3">
        <v>28000000</v>
      </c>
      <c r="H149" s="2">
        <v>5.0000000000000001E-3</v>
      </c>
      <c r="I149" s="19">
        <v>44105</v>
      </c>
      <c r="J149" s="19">
        <v>44135</v>
      </c>
      <c r="K149" s="3">
        <f t="shared" si="8"/>
        <v>31</v>
      </c>
      <c r="L149" s="3">
        <f t="shared" si="9"/>
        <v>11858</v>
      </c>
      <c r="M149" s="3">
        <v>28000000</v>
      </c>
    </row>
    <row r="150" spans="1:13" s="18" customFormat="1" outlineLevel="2">
      <c r="A150" s="19" t="s">
        <v>26</v>
      </c>
      <c r="B150" s="20" t="s">
        <v>167</v>
      </c>
      <c r="C150" s="21" t="s">
        <v>27</v>
      </c>
      <c r="D150" s="20" t="s">
        <v>28</v>
      </c>
      <c r="E150" s="3">
        <v>2700000</v>
      </c>
      <c r="F150" s="19">
        <v>44056</v>
      </c>
      <c r="G150" s="3">
        <v>2700000</v>
      </c>
      <c r="H150" s="2">
        <v>5.0000000000000001E-3</v>
      </c>
      <c r="I150" s="19">
        <v>44105</v>
      </c>
      <c r="J150" s="19">
        <v>44135</v>
      </c>
      <c r="K150" s="3">
        <f t="shared" si="8"/>
        <v>31</v>
      </c>
      <c r="L150" s="3">
        <f t="shared" si="9"/>
        <v>1143</v>
      </c>
      <c r="M150" s="3">
        <v>2700000</v>
      </c>
    </row>
    <row r="151" spans="1:13" s="18" customFormat="1" outlineLevel="2">
      <c r="A151" s="19" t="s">
        <v>26</v>
      </c>
      <c r="B151" s="20" t="s">
        <v>166</v>
      </c>
      <c r="C151" s="21" t="s">
        <v>27</v>
      </c>
      <c r="D151" s="20" t="s">
        <v>28</v>
      </c>
      <c r="E151" s="3">
        <v>29500000</v>
      </c>
      <c r="F151" s="19">
        <v>44074</v>
      </c>
      <c r="G151" s="3">
        <v>29500000</v>
      </c>
      <c r="H151" s="2">
        <v>5.0000000000000001E-3</v>
      </c>
      <c r="I151" s="19">
        <v>44105</v>
      </c>
      <c r="J151" s="19">
        <v>44135</v>
      </c>
      <c r="K151" s="3">
        <f t="shared" si="8"/>
        <v>31</v>
      </c>
      <c r="L151" s="3">
        <f t="shared" si="9"/>
        <v>12493</v>
      </c>
      <c r="M151" s="3">
        <v>29500000</v>
      </c>
    </row>
    <row r="152" spans="1:13" s="18" customFormat="1" outlineLevel="2">
      <c r="A152" s="19" t="s">
        <v>26</v>
      </c>
      <c r="B152" s="20" t="s">
        <v>165</v>
      </c>
      <c r="C152" s="21" t="s">
        <v>162</v>
      </c>
      <c r="D152" s="20" t="s">
        <v>161</v>
      </c>
      <c r="E152" s="3">
        <v>120000000</v>
      </c>
      <c r="F152" s="19">
        <v>44046</v>
      </c>
      <c r="G152" s="3">
        <v>120000000</v>
      </c>
      <c r="H152" s="2">
        <v>5.0000000000000001E-3</v>
      </c>
      <c r="I152" s="19">
        <v>44105</v>
      </c>
      <c r="J152" s="19">
        <v>44135</v>
      </c>
      <c r="K152" s="3">
        <f t="shared" si="8"/>
        <v>31</v>
      </c>
      <c r="L152" s="3">
        <f t="shared" si="9"/>
        <v>50820</v>
      </c>
      <c r="M152" s="3">
        <v>120000000</v>
      </c>
    </row>
    <row r="153" spans="1:13" s="18" customFormat="1" outlineLevel="2">
      <c r="A153" s="19" t="s">
        <v>26</v>
      </c>
      <c r="B153" s="20" t="s">
        <v>180</v>
      </c>
      <c r="C153" s="21" t="s">
        <v>33</v>
      </c>
      <c r="D153" s="20" t="s">
        <v>34</v>
      </c>
      <c r="E153" s="3">
        <v>8736000</v>
      </c>
      <c r="F153" s="19">
        <v>44047</v>
      </c>
      <c r="G153" s="3">
        <v>8736000</v>
      </c>
      <c r="H153" s="2">
        <v>5.0000000000000001E-3</v>
      </c>
      <c r="I153" s="19">
        <v>44105</v>
      </c>
      <c r="J153" s="19">
        <v>44135</v>
      </c>
      <c r="K153" s="3">
        <f t="shared" si="8"/>
        <v>31</v>
      </c>
      <c r="L153" s="3">
        <f t="shared" si="9"/>
        <v>3700</v>
      </c>
      <c r="M153" s="3">
        <v>8736000</v>
      </c>
    </row>
    <row r="154" spans="1:13" s="18" customFormat="1" outlineLevel="2">
      <c r="A154" s="19" t="s">
        <v>26</v>
      </c>
      <c r="B154" s="20" t="s">
        <v>179</v>
      </c>
      <c r="C154" s="21" t="s">
        <v>33</v>
      </c>
      <c r="D154" s="20" t="s">
        <v>34</v>
      </c>
      <c r="E154" s="3">
        <v>8988000</v>
      </c>
      <c r="F154" s="19">
        <v>44067</v>
      </c>
      <c r="G154" s="3">
        <v>8988000</v>
      </c>
      <c r="H154" s="2">
        <v>5.0000000000000001E-3</v>
      </c>
      <c r="I154" s="19">
        <v>44105</v>
      </c>
      <c r="J154" s="19">
        <v>44135</v>
      </c>
      <c r="K154" s="3">
        <f t="shared" ref="K154:K185" si="10">J154-I154+1</f>
        <v>31</v>
      </c>
      <c r="L154" s="3">
        <f t="shared" ref="L154:L185" si="11">ROUND(G154*H154*K154/366,0)</f>
        <v>3806</v>
      </c>
      <c r="M154" s="3">
        <v>8988000</v>
      </c>
    </row>
    <row r="155" spans="1:13" s="18" customFormat="1" outlineLevel="2">
      <c r="A155" s="19" t="s">
        <v>26</v>
      </c>
      <c r="B155" s="20" t="s">
        <v>178</v>
      </c>
      <c r="C155" s="21" t="s">
        <v>33</v>
      </c>
      <c r="D155" s="20" t="s">
        <v>34</v>
      </c>
      <c r="E155" s="3">
        <v>34608000</v>
      </c>
      <c r="F155" s="19">
        <v>44070</v>
      </c>
      <c r="G155" s="3">
        <v>34608000</v>
      </c>
      <c r="H155" s="2">
        <v>5.0000000000000001E-3</v>
      </c>
      <c r="I155" s="19">
        <v>44105</v>
      </c>
      <c r="J155" s="19">
        <v>44135</v>
      </c>
      <c r="K155" s="3">
        <f t="shared" si="10"/>
        <v>31</v>
      </c>
      <c r="L155" s="3">
        <f t="shared" si="11"/>
        <v>14656</v>
      </c>
      <c r="M155" s="3">
        <v>34608000</v>
      </c>
    </row>
    <row r="156" spans="1:13" s="18" customFormat="1" outlineLevel="2">
      <c r="A156" s="19" t="s">
        <v>26</v>
      </c>
      <c r="B156" s="20" t="s">
        <v>30</v>
      </c>
      <c r="C156" s="21" t="s">
        <v>27</v>
      </c>
      <c r="D156" s="20" t="s">
        <v>28</v>
      </c>
      <c r="E156" s="3">
        <v>38000000</v>
      </c>
      <c r="F156" s="19">
        <v>43850</v>
      </c>
      <c r="G156" s="3">
        <v>38000000</v>
      </c>
      <c r="H156" s="2">
        <v>5.0000000000000001E-3</v>
      </c>
      <c r="I156" s="19">
        <v>44105</v>
      </c>
      <c r="J156" s="19">
        <v>44135</v>
      </c>
      <c r="K156" s="3">
        <f t="shared" si="10"/>
        <v>31</v>
      </c>
      <c r="L156" s="3">
        <f t="shared" si="11"/>
        <v>16093</v>
      </c>
      <c r="M156" s="3">
        <v>38000000</v>
      </c>
    </row>
    <row r="157" spans="1:13" s="18" customFormat="1" outlineLevel="2">
      <c r="A157" s="19" t="s">
        <v>26</v>
      </c>
      <c r="B157" s="20" t="s">
        <v>177</v>
      </c>
      <c r="C157" s="21" t="s">
        <v>175</v>
      </c>
      <c r="D157" s="20" t="s">
        <v>174</v>
      </c>
      <c r="E157" s="3">
        <v>13000000</v>
      </c>
      <c r="F157" s="19">
        <v>44047</v>
      </c>
      <c r="G157" s="3">
        <v>13000000</v>
      </c>
      <c r="H157" s="2">
        <v>5.0000000000000001E-3</v>
      </c>
      <c r="I157" s="19">
        <v>44105</v>
      </c>
      <c r="J157" s="19">
        <v>44135</v>
      </c>
      <c r="K157" s="3">
        <f t="shared" si="10"/>
        <v>31</v>
      </c>
      <c r="L157" s="3">
        <f t="shared" si="11"/>
        <v>5505</v>
      </c>
      <c r="M157" s="3">
        <v>13000000</v>
      </c>
    </row>
    <row r="158" spans="1:13" s="18" customFormat="1" outlineLevel="2">
      <c r="A158" s="19" t="s">
        <v>26</v>
      </c>
      <c r="B158" s="20" t="s">
        <v>176</v>
      </c>
      <c r="C158" s="21" t="s">
        <v>175</v>
      </c>
      <c r="D158" s="20" t="s">
        <v>174</v>
      </c>
      <c r="E158" s="3">
        <v>5000000</v>
      </c>
      <c r="F158" s="19">
        <v>44053</v>
      </c>
      <c r="G158" s="3">
        <v>5000000</v>
      </c>
      <c r="H158" s="2">
        <v>5.0000000000000001E-3</v>
      </c>
      <c r="I158" s="19">
        <v>44105</v>
      </c>
      <c r="J158" s="19">
        <v>44135</v>
      </c>
      <c r="K158" s="3">
        <f t="shared" si="10"/>
        <v>31</v>
      </c>
      <c r="L158" s="3">
        <f t="shared" si="11"/>
        <v>2117</v>
      </c>
      <c r="M158" s="3">
        <v>5000000</v>
      </c>
    </row>
    <row r="159" spans="1:13" s="18" customFormat="1" outlineLevel="2">
      <c r="A159" s="19" t="s">
        <v>26</v>
      </c>
      <c r="B159" s="20" t="s">
        <v>173</v>
      </c>
      <c r="C159" s="21" t="s">
        <v>156</v>
      </c>
      <c r="D159" s="20" t="s">
        <v>155</v>
      </c>
      <c r="E159" s="3">
        <v>5300000</v>
      </c>
      <c r="F159" s="19">
        <v>44050</v>
      </c>
      <c r="G159" s="3">
        <v>5255085</v>
      </c>
      <c r="H159" s="2">
        <v>5.0000000000000001E-3</v>
      </c>
      <c r="I159" s="19">
        <v>44105</v>
      </c>
      <c r="J159" s="19">
        <v>44118</v>
      </c>
      <c r="K159" s="3">
        <f t="shared" si="10"/>
        <v>14</v>
      </c>
      <c r="L159" s="3">
        <f t="shared" si="11"/>
        <v>1005</v>
      </c>
      <c r="M159" s="3">
        <v>5210170</v>
      </c>
    </row>
    <row r="160" spans="1:13" s="18" customFormat="1" outlineLevel="2">
      <c r="A160" s="19" t="s">
        <v>26</v>
      </c>
      <c r="B160" s="20" t="s">
        <v>173</v>
      </c>
      <c r="C160" s="21" t="s">
        <v>156</v>
      </c>
      <c r="D160" s="20"/>
      <c r="E160" s="3"/>
      <c r="F160" s="19"/>
      <c r="G160" s="3">
        <v>5210170</v>
      </c>
      <c r="H160" s="2">
        <v>5.0000000000000001E-3</v>
      </c>
      <c r="I160" s="19">
        <v>44119</v>
      </c>
      <c r="J160" s="19">
        <v>44135</v>
      </c>
      <c r="K160" s="3">
        <f t="shared" si="10"/>
        <v>17</v>
      </c>
      <c r="L160" s="3">
        <f t="shared" si="11"/>
        <v>1210</v>
      </c>
      <c r="M160" s="3"/>
    </row>
    <row r="161" spans="1:13" s="18" customFormat="1" outlineLevel="2">
      <c r="A161" s="19" t="s">
        <v>26</v>
      </c>
      <c r="B161" s="20" t="s">
        <v>172</v>
      </c>
      <c r="C161" s="21" t="s">
        <v>72</v>
      </c>
      <c r="D161" s="20" t="s">
        <v>71</v>
      </c>
      <c r="E161" s="3">
        <v>40000000</v>
      </c>
      <c r="F161" s="19">
        <v>44060</v>
      </c>
      <c r="G161" s="3">
        <v>40000000</v>
      </c>
      <c r="H161" s="2">
        <v>5.0000000000000001E-3</v>
      </c>
      <c r="I161" s="19">
        <v>44105</v>
      </c>
      <c r="J161" s="19">
        <v>44135</v>
      </c>
      <c r="K161" s="3">
        <f t="shared" si="10"/>
        <v>31</v>
      </c>
      <c r="L161" s="3">
        <f t="shared" si="11"/>
        <v>16940</v>
      </c>
      <c r="M161" s="3">
        <v>40000000</v>
      </c>
    </row>
    <row r="162" spans="1:13" s="18" customFormat="1" outlineLevel="2">
      <c r="A162" s="19" t="s">
        <v>26</v>
      </c>
      <c r="B162" s="20" t="s">
        <v>171</v>
      </c>
      <c r="C162" s="21" t="s">
        <v>107</v>
      </c>
      <c r="D162" s="20" t="s">
        <v>106</v>
      </c>
      <c r="E162" s="3">
        <v>10000000</v>
      </c>
      <c r="F162" s="19">
        <v>44067</v>
      </c>
      <c r="G162" s="3">
        <v>10000000</v>
      </c>
      <c r="H162" s="2">
        <v>5.0000000000000001E-3</v>
      </c>
      <c r="I162" s="19">
        <v>44105</v>
      </c>
      <c r="J162" s="19">
        <v>44135</v>
      </c>
      <c r="K162" s="3">
        <f t="shared" si="10"/>
        <v>31</v>
      </c>
      <c r="L162" s="3">
        <f t="shared" si="11"/>
        <v>4235</v>
      </c>
      <c r="M162" s="3">
        <v>10000000</v>
      </c>
    </row>
    <row r="163" spans="1:13" s="18" customFormat="1" outlineLevel="2">
      <c r="A163" s="19" t="s">
        <v>26</v>
      </c>
      <c r="B163" s="20" t="s">
        <v>201</v>
      </c>
      <c r="C163" s="21" t="s">
        <v>162</v>
      </c>
      <c r="D163" s="20" t="s">
        <v>161</v>
      </c>
      <c r="E163" s="3">
        <v>125000000</v>
      </c>
      <c r="F163" s="19">
        <v>44075</v>
      </c>
      <c r="G163" s="3">
        <v>125000000</v>
      </c>
      <c r="H163" s="2">
        <v>5.0000000000000001E-3</v>
      </c>
      <c r="I163" s="19">
        <v>44105</v>
      </c>
      <c r="J163" s="19">
        <v>44135</v>
      </c>
      <c r="K163" s="3">
        <f t="shared" si="10"/>
        <v>31</v>
      </c>
      <c r="L163" s="3">
        <f t="shared" si="11"/>
        <v>52937</v>
      </c>
      <c r="M163" s="3">
        <v>125000000</v>
      </c>
    </row>
    <row r="164" spans="1:13" s="18" customFormat="1" outlineLevel="2">
      <c r="A164" s="19" t="s">
        <v>26</v>
      </c>
      <c r="B164" s="20" t="s">
        <v>200</v>
      </c>
      <c r="C164" s="21" t="s">
        <v>162</v>
      </c>
      <c r="D164" s="20" t="s">
        <v>161</v>
      </c>
      <c r="E164" s="3">
        <v>105000000</v>
      </c>
      <c r="F164" s="19">
        <v>44104</v>
      </c>
      <c r="G164" s="3">
        <v>105000000</v>
      </c>
      <c r="H164" s="2">
        <v>5.0000000000000001E-3</v>
      </c>
      <c r="I164" s="19">
        <v>44105</v>
      </c>
      <c r="J164" s="19">
        <v>44135</v>
      </c>
      <c r="K164" s="3">
        <f t="shared" si="10"/>
        <v>31</v>
      </c>
      <c r="L164" s="3">
        <f t="shared" si="11"/>
        <v>44467</v>
      </c>
      <c r="M164" s="3">
        <v>105000000</v>
      </c>
    </row>
    <row r="165" spans="1:13" s="18" customFormat="1" outlineLevel="2">
      <c r="A165" s="19" t="s">
        <v>26</v>
      </c>
      <c r="B165" s="20" t="s">
        <v>199</v>
      </c>
      <c r="C165" s="21" t="s">
        <v>175</v>
      </c>
      <c r="D165" s="20" t="s">
        <v>174</v>
      </c>
      <c r="E165" s="3">
        <v>13000000</v>
      </c>
      <c r="F165" s="19">
        <v>44077</v>
      </c>
      <c r="G165" s="3">
        <v>13000000</v>
      </c>
      <c r="H165" s="2">
        <v>5.0000000000000001E-3</v>
      </c>
      <c r="I165" s="19">
        <v>44105</v>
      </c>
      <c r="J165" s="19">
        <v>44135</v>
      </c>
      <c r="K165" s="3">
        <f t="shared" si="10"/>
        <v>31</v>
      </c>
      <c r="L165" s="3">
        <f t="shared" si="11"/>
        <v>5505</v>
      </c>
      <c r="M165" s="3">
        <v>13000000</v>
      </c>
    </row>
    <row r="166" spans="1:13" s="18" customFormat="1" outlineLevel="2">
      <c r="A166" s="19" t="s">
        <v>26</v>
      </c>
      <c r="B166" s="20" t="s">
        <v>198</v>
      </c>
      <c r="C166" s="21" t="s">
        <v>175</v>
      </c>
      <c r="D166" s="20" t="s">
        <v>174</v>
      </c>
      <c r="E166" s="3">
        <v>5800000</v>
      </c>
      <c r="F166" s="19">
        <v>44083</v>
      </c>
      <c r="G166" s="3">
        <v>5800000</v>
      </c>
      <c r="H166" s="2">
        <v>5.0000000000000001E-3</v>
      </c>
      <c r="I166" s="19">
        <v>44105</v>
      </c>
      <c r="J166" s="19">
        <v>44135</v>
      </c>
      <c r="K166" s="3">
        <f t="shared" si="10"/>
        <v>31</v>
      </c>
      <c r="L166" s="3">
        <f t="shared" si="11"/>
        <v>2456</v>
      </c>
      <c r="M166" s="3">
        <v>5800000</v>
      </c>
    </row>
    <row r="167" spans="1:13" s="18" customFormat="1" outlineLevel="2">
      <c r="A167" s="19" t="s">
        <v>26</v>
      </c>
      <c r="B167" s="20" t="s">
        <v>197</v>
      </c>
      <c r="C167" s="21" t="s">
        <v>33</v>
      </c>
      <c r="D167" s="20" t="s">
        <v>34</v>
      </c>
      <c r="E167" s="3">
        <v>4989600</v>
      </c>
      <c r="F167" s="19">
        <v>44088</v>
      </c>
      <c r="G167" s="3">
        <v>4989600</v>
      </c>
      <c r="H167" s="2">
        <v>5.0000000000000001E-3</v>
      </c>
      <c r="I167" s="19">
        <v>44105</v>
      </c>
      <c r="J167" s="19">
        <v>44135</v>
      </c>
      <c r="K167" s="3">
        <f t="shared" si="10"/>
        <v>31</v>
      </c>
      <c r="L167" s="3">
        <f t="shared" si="11"/>
        <v>2113</v>
      </c>
      <c r="M167" s="3">
        <v>4989600</v>
      </c>
    </row>
    <row r="168" spans="1:13" s="18" customFormat="1" outlineLevel="2">
      <c r="A168" s="19" t="s">
        <v>26</v>
      </c>
      <c r="B168" s="20" t="s">
        <v>31</v>
      </c>
      <c r="C168" s="21" t="s">
        <v>27</v>
      </c>
      <c r="D168" s="20" t="s">
        <v>28</v>
      </c>
      <c r="E168" s="3">
        <v>10000000</v>
      </c>
      <c r="F168" s="19">
        <v>43850</v>
      </c>
      <c r="G168" s="3">
        <v>10000000</v>
      </c>
      <c r="H168" s="2">
        <v>5.0000000000000001E-3</v>
      </c>
      <c r="I168" s="19">
        <v>44105</v>
      </c>
      <c r="J168" s="19">
        <v>44135</v>
      </c>
      <c r="K168" s="3">
        <f t="shared" si="10"/>
        <v>31</v>
      </c>
      <c r="L168" s="3">
        <f t="shared" si="11"/>
        <v>4235</v>
      </c>
      <c r="M168" s="3">
        <v>10000000</v>
      </c>
    </row>
    <row r="169" spans="1:13" s="18" customFormat="1" outlineLevel="2">
      <c r="A169" s="19" t="s">
        <v>26</v>
      </c>
      <c r="B169" s="20" t="s">
        <v>196</v>
      </c>
      <c r="C169" s="21" t="s">
        <v>113</v>
      </c>
      <c r="D169" s="20" t="s">
        <v>112</v>
      </c>
      <c r="E169" s="3">
        <v>96000000</v>
      </c>
      <c r="F169" s="19">
        <v>44089</v>
      </c>
      <c r="G169" s="3">
        <v>96000000</v>
      </c>
      <c r="H169" s="2">
        <v>5.0000000000000001E-3</v>
      </c>
      <c r="I169" s="19">
        <v>44105</v>
      </c>
      <c r="J169" s="19">
        <v>44135</v>
      </c>
      <c r="K169" s="3">
        <f t="shared" si="10"/>
        <v>31</v>
      </c>
      <c r="L169" s="3">
        <f t="shared" si="11"/>
        <v>40656</v>
      </c>
      <c r="M169" s="3">
        <v>96000000</v>
      </c>
    </row>
    <row r="170" spans="1:13" s="18" customFormat="1" outlineLevel="2">
      <c r="A170" s="19" t="s">
        <v>26</v>
      </c>
      <c r="B170" s="20" t="s">
        <v>195</v>
      </c>
      <c r="C170" s="21" t="s">
        <v>113</v>
      </c>
      <c r="D170" s="20" t="s">
        <v>112</v>
      </c>
      <c r="E170" s="3">
        <v>16000000</v>
      </c>
      <c r="F170" s="19">
        <v>44089</v>
      </c>
      <c r="G170" s="3">
        <v>16000000</v>
      </c>
      <c r="H170" s="2">
        <v>5.0000000000000001E-3</v>
      </c>
      <c r="I170" s="19">
        <v>44105</v>
      </c>
      <c r="J170" s="19">
        <v>44135</v>
      </c>
      <c r="K170" s="3">
        <f t="shared" si="10"/>
        <v>31</v>
      </c>
      <c r="L170" s="3">
        <f t="shared" si="11"/>
        <v>6776</v>
      </c>
      <c r="M170" s="3">
        <v>16000000</v>
      </c>
    </row>
    <row r="171" spans="1:13" s="18" customFormat="1" outlineLevel="2">
      <c r="A171" s="19" t="s">
        <v>26</v>
      </c>
      <c r="B171" s="20" t="s">
        <v>194</v>
      </c>
      <c r="C171" s="21" t="s">
        <v>27</v>
      </c>
      <c r="D171" s="20" t="s">
        <v>28</v>
      </c>
      <c r="E171" s="3">
        <v>21600000</v>
      </c>
      <c r="F171" s="19">
        <v>44095</v>
      </c>
      <c r="G171" s="3">
        <v>21600000</v>
      </c>
      <c r="H171" s="2">
        <v>5.0000000000000001E-3</v>
      </c>
      <c r="I171" s="19">
        <v>44105</v>
      </c>
      <c r="J171" s="19">
        <v>44135</v>
      </c>
      <c r="K171" s="3">
        <f t="shared" si="10"/>
        <v>31</v>
      </c>
      <c r="L171" s="3">
        <f t="shared" si="11"/>
        <v>9148</v>
      </c>
      <c r="M171" s="3">
        <v>21600000</v>
      </c>
    </row>
    <row r="172" spans="1:13" s="18" customFormat="1" outlineLevel="2">
      <c r="A172" s="19" t="s">
        <v>26</v>
      </c>
      <c r="B172" s="20" t="s">
        <v>193</v>
      </c>
      <c r="C172" s="21" t="s">
        <v>192</v>
      </c>
      <c r="D172" s="20" t="s">
        <v>110</v>
      </c>
      <c r="E172" s="3">
        <v>40000000</v>
      </c>
      <c r="F172" s="19">
        <v>44100</v>
      </c>
      <c r="G172" s="3">
        <v>40000000</v>
      </c>
      <c r="H172" s="2">
        <v>5.0000000000000001E-3</v>
      </c>
      <c r="I172" s="19">
        <v>44105</v>
      </c>
      <c r="J172" s="19">
        <v>44135</v>
      </c>
      <c r="K172" s="3">
        <f t="shared" si="10"/>
        <v>31</v>
      </c>
      <c r="L172" s="3">
        <f t="shared" si="11"/>
        <v>16940</v>
      </c>
      <c r="M172" s="3">
        <v>40000000</v>
      </c>
    </row>
    <row r="173" spans="1:13" s="18" customFormat="1" outlineLevel="2">
      <c r="A173" s="19" t="s">
        <v>26</v>
      </c>
      <c r="B173" s="20" t="s">
        <v>191</v>
      </c>
      <c r="C173" s="21" t="s">
        <v>115</v>
      </c>
      <c r="D173" s="20" t="s">
        <v>114</v>
      </c>
      <c r="E173" s="3">
        <v>2000000</v>
      </c>
      <c r="F173" s="19">
        <v>44103</v>
      </c>
      <c r="G173" s="3">
        <v>2000000</v>
      </c>
      <c r="H173" s="2">
        <v>5.0000000000000001E-3</v>
      </c>
      <c r="I173" s="19">
        <v>44105</v>
      </c>
      <c r="J173" s="19">
        <v>44135</v>
      </c>
      <c r="K173" s="3">
        <f t="shared" si="10"/>
        <v>31</v>
      </c>
      <c r="L173" s="3">
        <f t="shared" si="11"/>
        <v>847</v>
      </c>
      <c r="M173" s="3">
        <v>2000000</v>
      </c>
    </row>
    <row r="174" spans="1:13" s="18" customFormat="1" outlineLevel="2">
      <c r="A174" s="19" t="s">
        <v>26</v>
      </c>
      <c r="B174" s="20" t="s">
        <v>223</v>
      </c>
      <c r="C174" s="21" t="s">
        <v>175</v>
      </c>
      <c r="D174" s="20" t="s">
        <v>174</v>
      </c>
      <c r="E174" s="3">
        <v>13200000</v>
      </c>
      <c r="F174" s="19">
        <v>44109</v>
      </c>
      <c r="G174" s="3">
        <v>13200000</v>
      </c>
      <c r="H174" s="2">
        <v>5.0000000000000001E-3</v>
      </c>
      <c r="I174" s="19">
        <v>44109</v>
      </c>
      <c r="J174" s="19">
        <v>44135</v>
      </c>
      <c r="K174" s="3">
        <f t="shared" si="10"/>
        <v>27</v>
      </c>
      <c r="L174" s="3">
        <f t="shared" si="11"/>
        <v>4869</v>
      </c>
      <c r="M174" s="3">
        <v>13200000</v>
      </c>
    </row>
    <row r="175" spans="1:13" s="18" customFormat="1" outlineLevel="2">
      <c r="A175" s="19" t="s">
        <v>26</v>
      </c>
      <c r="B175" s="20" t="s">
        <v>222</v>
      </c>
      <c r="C175" s="21" t="s">
        <v>175</v>
      </c>
      <c r="D175" s="20" t="s">
        <v>174</v>
      </c>
      <c r="E175" s="3">
        <v>3000000</v>
      </c>
      <c r="F175" s="19">
        <v>44116</v>
      </c>
      <c r="G175" s="3">
        <v>3000000</v>
      </c>
      <c r="H175" s="2">
        <v>5.0000000000000001E-3</v>
      </c>
      <c r="I175" s="19">
        <v>44116</v>
      </c>
      <c r="J175" s="19">
        <v>44135</v>
      </c>
      <c r="K175" s="3">
        <f t="shared" si="10"/>
        <v>20</v>
      </c>
      <c r="L175" s="3">
        <f t="shared" si="11"/>
        <v>820</v>
      </c>
      <c r="M175" s="3">
        <v>3000000</v>
      </c>
    </row>
    <row r="176" spans="1:13" s="18" customFormat="1" outlineLevel="2">
      <c r="A176" s="19" t="s">
        <v>26</v>
      </c>
      <c r="B176" s="20" t="s">
        <v>221</v>
      </c>
      <c r="C176" s="21" t="s">
        <v>33</v>
      </c>
      <c r="D176" s="20" t="s">
        <v>34</v>
      </c>
      <c r="E176" s="3">
        <v>8736000</v>
      </c>
      <c r="F176" s="19">
        <v>44109</v>
      </c>
      <c r="G176" s="3">
        <v>8736000</v>
      </c>
      <c r="H176" s="2">
        <v>5.0000000000000001E-3</v>
      </c>
      <c r="I176" s="19">
        <v>44109</v>
      </c>
      <c r="J176" s="19">
        <v>44135</v>
      </c>
      <c r="K176" s="3">
        <f t="shared" si="10"/>
        <v>27</v>
      </c>
      <c r="L176" s="3">
        <f t="shared" si="11"/>
        <v>3222</v>
      </c>
      <c r="M176" s="3">
        <v>8736000</v>
      </c>
    </row>
    <row r="177" spans="1:13" s="18" customFormat="1" outlineLevel="2">
      <c r="A177" s="19" t="s">
        <v>26</v>
      </c>
      <c r="B177" s="20" t="s">
        <v>220</v>
      </c>
      <c r="C177" s="21" t="s">
        <v>33</v>
      </c>
      <c r="D177" s="20" t="s">
        <v>34</v>
      </c>
      <c r="E177" s="3">
        <v>4273920</v>
      </c>
      <c r="F177" s="19">
        <v>44111</v>
      </c>
      <c r="G177" s="3">
        <v>4273920</v>
      </c>
      <c r="H177" s="2">
        <v>5.0000000000000001E-3</v>
      </c>
      <c r="I177" s="19">
        <v>44111</v>
      </c>
      <c r="J177" s="19">
        <v>44135</v>
      </c>
      <c r="K177" s="3">
        <f t="shared" si="10"/>
        <v>25</v>
      </c>
      <c r="L177" s="3">
        <f t="shared" si="11"/>
        <v>1460</v>
      </c>
      <c r="M177" s="3">
        <v>4273920</v>
      </c>
    </row>
    <row r="178" spans="1:13" s="18" customFormat="1" outlineLevel="2">
      <c r="A178" s="19" t="s">
        <v>26</v>
      </c>
      <c r="B178" s="20" t="s">
        <v>219</v>
      </c>
      <c r="C178" s="21" t="s">
        <v>33</v>
      </c>
      <c r="D178" s="20" t="s">
        <v>34</v>
      </c>
      <c r="E178" s="3">
        <v>4368000</v>
      </c>
      <c r="F178" s="19">
        <v>44132</v>
      </c>
      <c r="G178" s="3">
        <v>4368000</v>
      </c>
      <c r="H178" s="2">
        <v>5.0000000000000001E-3</v>
      </c>
      <c r="I178" s="19">
        <v>44132</v>
      </c>
      <c r="J178" s="19">
        <v>44135</v>
      </c>
      <c r="K178" s="3">
        <f t="shared" si="10"/>
        <v>4</v>
      </c>
      <c r="L178" s="3">
        <f t="shared" si="11"/>
        <v>239</v>
      </c>
      <c r="M178" s="3">
        <v>4368000</v>
      </c>
    </row>
    <row r="179" spans="1:13" s="18" customFormat="1" outlineLevel="2">
      <c r="A179" s="19" t="s">
        <v>26</v>
      </c>
      <c r="B179" s="20" t="s">
        <v>32</v>
      </c>
      <c r="C179" s="21" t="s">
        <v>33</v>
      </c>
      <c r="D179" s="20" t="s">
        <v>34</v>
      </c>
      <c r="E179" s="3">
        <v>96176976</v>
      </c>
      <c r="F179" s="19">
        <v>43861</v>
      </c>
      <c r="G179" s="3">
        <v>96176976</v>
      </c>
      <c r="H179" s="2">
        <v>5.0000000000000001E-3</v>
      </c>
      <c r="I179" s="19">
        <v>44105</v>
      </c>
      <c r="J179" s="19">
        <v>44135</v>
      </c>
      <c r="K179" s="3">
        <f t="shared" si="10"/>
        <v>31</v>
      </c>
      <c r="L179" s="3">
        <f t="shared" si="11"/>
        <v>40731</v>
      </c>
      <c r="M179" s="3">
        <v>96176976</v>
      </c>
    </row>
    <row r="180" spans="1:13" s="18" customFormat="1" outlineLevel="2">
      <c r="A180" s="19" t="s">
        <v>26</v>
      </c>
      <c r="B180" s="20" t="s">
        <v>218</v>
      </c>
      <c r="C180" s="21" t="s">
        <v>33</v>
      </c>
      <c r="D180" s="20" t="s">
        <v>34</v>
      </c>
      <c r="E180" s="3">
        <v>8064000</v>
      </c>
      <c r="F180" s="19">
        <v>44133</v>
      </c>
      <c r="G180" s="3">
        <v>8064000</v>
      </c>
      <c r="H180" s="2">
        <v>5.0000000000000001E-3</v>
      </c>
      <c r="I180" s="19">
        <v>44133</v>
      </c>
      <c r="J180" s="19">
        <v>44135</v>
      </c>
      <c r="K180" s="3">
        <f t="shared" si="10"/>
        <v>3</v>
      </c>
      <c r="L180" s="3">
        <f t="shared" si="11"/>
        <v>330</v>
      </c>
      <c r="M180" s="3">
        <v>8064000</v>
      </c>
    </row>
    <row r="181" spans="1:13" s="18" customFormat="1" outlineLevel="2">
      <c r="A181" s="19" t="s">
        <v>26</v>
      </c>
      <c r="B181" s="20" t="s">
        <v>217</v>
      </c>
      <c r="C181" s="21" t="s">
        <v>33</v>
      </c>
      <c r="D181" s="20" t="s">
        <v>34</v>
      </c>
      <c r="E181" s="3">
        <v>113400</v>
      </c>
      <c r="F181" s="19">
        <v>44133</v>
      </c>
      <c r="G181" s="3">
        <v>113400</v>
      </c>
      <c r="H181" s="2">
        <v>5.0000000000000001E-3</v>
      </c>
      <c r="I181" s="19">
        <v>44133</v>
      </c>
      <c r="J181" s="19">
        <v>44135</v>
      </c>
      <c r="K181" s="3">
        <f t="shared" si="10"/>
        <v>3</v>
      </c>
      <c r="L181" s="3">
        <f t="shared" si="11"/>
        <v>5</v>
      </c>
      <c r="M181" s="3">
        <v>113400</v>
      </c>
    </row>
    <row r="182" spans="1:13" s="18" customFormat="1" outlineLevel="2">
      <c r="A182" s="19" t="s">
        <v>26</v>
      </c>
      <c r="B182" s="20" t="s">
        <v>216</v>
      </c>
      <c r="C182" s="21" t="s">
        <v>214</v>
      </c>
      <c r="D182" s="20" t="s">
        <v>213</v>
      </c>
      <c r="E182" s="3">
        <v>93700000</v>
      </c>
      <c r="F182" s="19">
        <v>44109</v>
      </c>
      <c r="G182" s="3">
        <v>93700000</v>
      </c>
      <c r="H182" s="2">
        <v>5.0000000000000001E-3</v>
      </c>
      <c r="I182" s="19">
        <v>44109</v>
      </c>
      <c r="J182" s="19">
        <v>44135</v>
      </c>
      <c r="K182" s="3">
        <f t="shared" si="10"/>
        <v>27</v>
      </c>
      <c r="L182" s="3">
        <f t="shared" si="11"/>
        <v>34561</v>
      </c>
      <c r="M182" s="3">
        <v>93700000</v>
      </c>
    </row>
    <row r="183" spans="1:13" s="18" customFormat="1" outlineLevel="2">
      <c r="A183" s="19" t="s">
        <v>26</v>
      </c>
      <c r="B183" s="20" t="s">
        <v>215</v>
      </c>
      <c r="C183" s="21" t="s">
        <v>214</v>
      </c>
      <c r="D183" s="20" t="s">
        <v>213</v>
      </c>
      <c r="E183" s="3">
        <v>21400000</v>
      </c>
      <c r="F183" s="19">
        <v>44109</v>
      </c>
      <c r="G183" s="3">
        <v>21400000</v>
      </c>
      <c r="H183" s="2">
        <v>5.0000000000000001E-3</v>
      </c>
      <c r="I183" s="19">
        <v>44109</v>
      </c>
      <c r="J183" s="19">
        <v>44135</v>
      </c>
      <c r="K183" s="3">
        <f t="shared" si="10"/>
        <v>27</v>
      </c>
      <c r="L183" s="3">
        <f t="shared" si="11"/>
        <v>7893</v>
      </c>
      <c r="M183" s="3">
        <v>21400000</v>
      </c>
    </row>
    <row r="184" spans="1:13" s="18" customFormat="1" outlineLevel="2">
      <c r="A184" s="19" t="s">
        <v>26</v>
      </c>
      <c r="B184" s="20" t="s">
        <v>212</v>
      </c>
      <c r="C184" s="21" t="s">
        <v>27</v>
      </c>
      <c r="D184" s="20" t="s">
        <v>28</v>
      </c>
      <c r="E184" s="3">
        <v>7150000</v>
      </c>
      <c r="F184" s="19">
        <v>44119</v>
      </c>
      <c r="G184" s="3">
        <v>7150000</v>
      </c>
      <c r="H184" s="2">
        <v>5.0000000000000001E-3</v>
      </c>
      <c r="I184" s="19">
        <v>44119</v>
      </c>
      <c r="J184" s="19">
        <v>44135</v>
      </c>
      <c r="K184" s="3">
        <f t="shared" si="10"/>
        <v>17</v>
      </c>
      <c r="L184" s="3">
        <f t="shared" si="11"/>
        <v>1661</v>
      </c>
      <c r="M184" s="3">
        <v>7150000</v>
      </c>
    </row>
    <row r="185" spans="1:13" s="18" customFormat="1" outlineLevel="2">
      <c r="A185" s="19" t="s">
        <v>26</v>
      </c>
      <c r="B185" s="20" t="s">
        <v>211</v>
      </c>
      <c r="C185" s="21" t="s">
        <v>27</v>
      </c>
      <c r="D185" s="20" t="s">
        <v>28</v>
      </c>
      <c r="E185" s="3">
        <v>14400000</v>
      </c>
      <c r="F185" s="19">
        <v>44124</v>
      </c>
      <c r="G185" s="3">
        <v>14400000</v>
      </c>
      <c r="H185" s="2">
        <v>5.0000000000000001E-3</v>
      </c>
      <c r="I185" s="19">
        <v>44124</v>
      </c>
      <c r="J185" s="19">
        <v>44135</v>
      </c>
      <c r="K185" s="3">
        <f t="shared" si="10"/>
        <v>12</v>
      </c>
      <c r="L185" s="3">
        <f t="shared" si="11"/>
        <v>2361</v>
      </c>
      <c r="M185" s="3">
        <v>14400000</v>
      </c>
    </row>
    <row r="186" spans="1:13" s="18" customFormat="1" outlineLevel="2">
      <c r="A186" s="19" t="s">
        <v>26</v>
      </c>
      <c r="B186" s="20" t="s">
        <v>210</v>
      </c>
      <c r="C186" s="21" t="s">
        <v>115</v>
      </c>
      <c r="D186" s="20" t="s">
        <v>114</v>
      </c>
      <c r="E186" s="3">
        <v>24000000</v>
      </c>
      <c r="F186" s="19">
        <v>44120</v>
      </c>
      <c r="G186" s="3">
        <v>24000000</v>
      </c>
      <c r="H186" s="2">
        <v>5.0000000000000001E-3</v>
      </c>
      <c r="I186" s="19">
        <v>44120</v>
      </c>
      <c r="J186" s="19">
        <v>44135</v>
      </c>
      <c r="K186" s="3">
        <f t="shared" ref="K186:K191" si="12">J186-I186+1</f>
        <v>16</v>
      </c>
      <c r="L186" s="3">
        <f t="shared" ref="L186:L191" si="13">ROUND(G186*H186*K186/366,0)</f>
        <v>5246</v>
      </c>
      <c r="M186" s="3">
        <v>24000000</v>
      </c>
    </row>
    <row r="187" spans="1:13" s="18" customFormat="1" outlineLevel="2">
      <c r="A187" s="19" t="s">
        <v>26</v>
      </c>
      <c r="B187" s="20" t="s">
        <v>209</v>
      </c>
      <c r="C187" s="21" t="s">
        <v>115</v>
      </c>
      <c r="D187" s="20" t="s">
        <v>114</v>
      </c>
      <c r="E187" s="3">
        <v>24000000</v>
      </c>
      <c r="F187" s="19">
        <v>44127</v>
      </c>
      <c r="G187" s="3">
        <v>24000000</v>
      </c>
      <c r="H187" s="2">
        <v>5.0000000000000001E-3</v>
      </c>
      <c r="I187" s="19">
        <v>44127</v>
      </c>
      <c r="J187" s="19">
        <v>44135</v>
      </c>
      <c r="K187" s="3">
        <f t="shared" si="12"/>
        <v>9</v>
      </c>
      <c r="L187" s="3">
        <f t="shared" si="13"/>
        <v>2951</v>
      </c>
      <c r="M187" s="3">
        <v>24000000</v>
      </c>
    </row>
    <row r="188" spans="1:13" s="18" customFormat="1" outlineLevel="2">
      <c r="A188" s="19" t="s">
        <v>26</v>
      </c>
      <c r="B188" s="20" t="s">
        <v>208</v>
      </c>
      <c r="C188" s="21" t="s">
        <v>192</v>
      </c>
      <c r="D188" s="20" t="s">
        <v>110</v>
      </c>
      <c r="E188" s="3">
        <v>5000000</v>
      </c>
      <c r="F188" s="19">
        <v>44134</v>
      </c>
      <c r="G188" s="3">
        <v>5000000</v>
      </c>
      <c r="H188" s="2">
        <v>5.0000000000000001E-3</v>
      </c>
      <c r="I188" s="19">
        <v>44134</v>
      </c>
      <c r="J188" s="19">
        <v>44135</v>
      </c>
      <c r="K188" s="3">
        <f t="shared" si="12"/>
        <v>2</v>
      </c>
      <c r="L188" s="3">
        <f t="shared" si="13"/>
        <v>137</v>
      </c>
      <c r="M188" s="3">
        <v>5000000</v>
      </c>
    </row>
    <row r="189" spans="1:13" s="18" customFormat="1" outlineLevel="2">
      <c r="A189" s="19" t="s">
        <v>26</v>
      </c>
      <c r="B189" s="20" t="s">
        <v>48</v>
      </c>
      <c r="C189" s="21" t="s">
        <v>27</v>
      </c>
      <c r="D189" s="20" t="s">
        <v>28</v>
      </c>
      <c r="E189" s="3">
        <v>1800000</v>
      </c>
      <c r="F189" s="19">
        <v>43876</v>
      </c>
      <c r="G189" s="3">
        <v>1800000</v>
      </c>
      <c r="H189" s="2">
        <v>5.0000000000000001E-3</v>
      </c>
      <c r="I189" s="19">
        <v>44105</v>
      </c>
      <c r="J189" s="19">
        <v>44135</v>
      </c>
      <c r="K189" s="3">
        <f t="shared" si="12"/>
        <v>31</v>
      </c>
      <c r="L189" s="3">
        <f t="shared" si="13"/>
        <v>762</v>
      </c>
      <c r="M189" s="3">
        <v>1800000</v>
      </c>
    </row>
    <row r="190" spans="1:13" s="18" customFormat="1" outlineLevel="2">
      <c r="A190" s="19" t="s">
        <v>26</v>
      </c>
      <c r="B190" s="20" t="s">
        <v>59</v>
      </c>
      <c r="C190" s="21" t="s">
        <v>72</v>
      </c>
      <c r="D190" s="20" t="s">
        <v>71</v>
      </c>
      <c r="E190" s="3">
        <v>30000000</v>
      </c>
      <c r="F190" s="19">
        <v>43906</v>
      </c>
      <c r="G190" s="3">
        <v>30000000</v>
      </c>
      <c r="H190" s="2">
        <v>5.0000000000000001E-3</v>
      </c>
      <c r="I190" s="19">
        <v>44105</v>
      </c>
      <c r="J190" s="19">
        <v>44135</v>
      </c>
      <c r="K190" s="3">
        <f t="shared" si="12"/>
        <v>31</v>
      </c>
      <c r="L190" s="3">
        <f t="shared" si="13"/>
        <v>12705</v>
      </c>
      <c r="M190" s="3">
        <v>30000000</v>
      </c>
    </row>
    <row r="191" spans="1:13" s="18" customFormat="1" outlineLevel="2">
      <c r="A191" s="19" t="s">
        <v>26</v>
      </c>
      <c r="B191" s="20" t="s">
        <v>58</v>
      </c>
      <c r="C191" s="21" t="s">
        <v>72</v>
      </c>
      <c r="D191" s="20" t="s">
        <v>71</v>
      </c>
      <c r="E191" s="3">
        <v>50000000</v>
      </c>
      <c r="F191" s="19">
        <v>43908</v>
      </c>
      <c r="G191" s="3">
        <v>50000000</v>
      </c>
      <c r="H191" s="2">
        <v>5.0000000000000001E-3</v>
      </c>
      <c r="I191" s="19">
        <v>44105</v>
      </c>
      <c r="J191" s="19">
        <v>44135</v>
      </c>
      <c r="K191" s="3">
        <f t="shared" si="12"/>
        <v>31</v>
      </c>
      <c r="L191" s="3">
        <f t="shared" si="13"/>
        <v>21175</v>
      </c>
      <c r="M191" s="3">
        <v>50000000</v>
      </c>
    </row>
    <row r="192" spans="1:13" s="18" customFormat="1" ht="13.5" outlineLevel="1">
      <c r="A192" s="22" t="s">
        <v>35</v>
      </c>
      <c r="B192" s="23"/>
      <c r="C192" s="24"/>
      <c r="D192" s="23"/>
      <c r="E192" s="25">
        <f>SUBTOTAL(9,E122:E191)</f>
        <v>2637280296</v>
      </c>
      <c r="F192" s="26"/>
      <c r="G192" s="25"/>
      <c r="H192" s="27"/>
      <c r="I192" s="26"/>
      <c r="J192" s="26"/>
      <c r="K192" s="25"/>
      <c r="L192" s="25">
        <f>SUBTOTAL(9,L122:L191)</f>
        <v>1083954</v>
      </c>
      <c r="M192" s="25">
        <f>SUBTOTAL(9,M122:M191)</f>
        <v>2635375340</v>
      </c>
    </row>
    <row r="193" spans="1:13" s="18" customFormat="1" outlineLevel="2">
      <c r="A193" s="19" t="s">
        <v>170</v>
      </c>
      <c r="B193" s="20" t="s">
        <v>16</v>
      </c>
      <c r="C193" s="21" t="s">
        <v>72</v>
      </c>
      <c r="D193" s="20" t="s">
        <v>71</v>
      </c>
      <c r="E193" s="3">
        <v>1210000</v>
      </c>
      <c r="F193" s="19">
        <v>44061</v>
      </c>
      <c r="G193" s="3">
        <v>1210000</v>
      </c>
      <c r="H193" s="2">
        <v>5.0000000000000001E-3</v>
      </c>
      <c r="I193" s="19">
        <v>44105</v>
      </c>
      <c r="J193" s="19">
        <v>44135</v>
      </c>
      <c r="K193" s="3">
        <f>J193-I193+1</f>
        <v>31</v>
      </c>
      <c r="L193" s="3">
        <f>ROUND(G193*H193*K193/366,0)</f>
        <v>512</v>
      </c>
      <c r="M193" s="3">
        <v>1210000</v>
      </c>
    </row>
    <row r="194" spans="1:13" s="18" customFormat="1" ht="13.5" outlineLevel="1">
      <c r="A194" s="22" t="s">
        <v>169</v>
      </c>
      <c r="B194" s="23"/>
      <c r="C194" s="24"/>
      <c r="D194" s="23"/>
      <c r="E194" s="25">
        <f>SUBTOTAL(9,E193:E193)</f>
        <v>1210000</v>
      </c>
      <c r="F194" s="26"/>
      <c r="G194" s="25"/>
      <c r="H194" s="27"/>
      <c r="I194" s="26"/>
      <c r="J194" s="26"/>
      <c r="K194" s="25"/>
      <c r="L194" s="25">
        <f>SUBTOTAL(9,L193:L193)</f>
        <v>512</v>
      </c>
      <c r="M194" s="25">
        <f>SUBTOTAL(9,M193:M193)</f>
        <v>1210000</v>
      </c>
    </row>
    <row r="195" spans="1:13" s="18" customFormat="1" outlineLevel="2">
      <c r="A195" s="19" t="s">
        <v>36</v>
      </c>
      <c r="B195" s="20" t="s">
        <v>16</v>
      </c>
      <c r="C195" s="21" t="s">
        <v>17</v>
      </c>
      <c r="D195" s="20" t="s">
        <v>18</v>
      </c>
      <c r="E195" s="3">
        <v>150000000</v>
      </c>
      <c r="F195" s="19">
        <v>43829</v>
      </c>
      <c r="G195" s="3">
        <v>127500000</v>
      </c>
      <c r="H195" s="2">
        <v>5.0000000000000001E-3</v>
      </c>
      <c r="I195" s="19">
        <v>44105</v>
      </c>
      <c r="J195" s="19">
        <v>44118</v>
      </c>
      <c r="K195" s="3">
        <f t="shared" ref="K195:K214" si="14">J195-I195+1</f>
        <v>14</v>
      </c>
      <c r="L195" s="3">
        <f t="shared" ref="L195:L214" si="15">ROUND(G195*H195*K195/366,0)</f>
        <v>24385</v>
      </c>
      <c r="M195" s="3">
        <v>125000000</v>
      </c>
    </row>
    <row r="196" spans="1:13" s="18" customFormat="1" outlineLevel="2">
      <c r="A196" s="19" t="s">
        <v>36</v>
      </c>
      <c r="B196" s="20" t="s">
        <v>16</v>
      </c>
      <c r="C196" s="21" t="s">
        <v>17</v>
      </c>
      <c r="D196" s="20"/>
      <c r="E196" s="3"/>
      <c r="F196" s="19"/>
      <c r="G196" s="3">
        <v>125000000</v>
      </c>
      <c r="H196" s="2">
        <v>5.0000000000000001E-3</v>
      </c>
      <c r="I196" s="19">
        <v>44119</v>
      </c>
      <c r="J196" s="19">
        <v>44135</v>
      </c>
      <c r="K196" s="3">
        <f t="shared" si="14"/>
        <v>17</v>
      </c>
      <c r="L196" s="3">
        <f t="shared" si="15"/>
        <v>29030</v>
      </c>
      <c r="M196" s="3"/>
    </row>
    <row r="197" spans="1:13" s="18" customFormat="1" outlineLevel="2">
      <c r="A197" s="19" t="s">
        <v>36</v>
      </c>
      <c r="B197" s="20" t="s">
        <v>61</v>
      </c>
      <c r="C197" s="21" t="s">
        <v>17</v>
      </c>
      <c r="D197" s="20" t="s">
        <v>18</v>
      </c>
      <c r="E197" s="3">
        <v>9460000</v>
      </c>
      <c r="F197" s="19">
        <v>43990</v>
      </c>
      <c r="G197" s="3">
        <v>8772000</v>
      </c>
      <c r="H197" s="2">
        <v>5.0000000000000001E-3</v>
      </c>
      <c r="I197" s="19">
        <v>44105</v>
      </c>
      <c r="J197" s="19">
        <v>44118</v>
      </c>
      <c r="K197" s="3">
        <f t="shared" si="14"/>
        <v>14</v>
      </c>
      <c r="L197" s="3">
        <f t="shared" si="15"/>
        <v>1678</v>
      </c>
      <c r="M197" s="3">
        <v>8600000</v>
      </c>
    </row>
    <row r="198" spans="1:13" s="18" customFormat="1" outlineLevel="2">
      <c r="A198" s="19" t="s">
        <v>36</v>
      </c>
      <c r="B198" s="20" t="s">
        <v>61</v>
      </c>
      <c r="C198" s="21" t="s">
        <v>17</v>
      </c>
      <c r="D198" s="20"/>
      <c r="E198" s="3"/>
      <c r="F198" s="19"/>
      <c r="G198" s="3">
        <v>8600000</v>
      </c>
      <c r="H198" s="2">
        <v>5.0000000000000001E-3</v>
      </c>
      <c r="I198" s="19">
        <v>44119</v>
      </c>
      <c r="J198" s="19">
        <v>44135</v>
      </c>
      <c r="K198" s="3">
        <f t="shared" si="14"/>
        <v>17</v>
      </c>
      <c r="L198" s="3">
        <f t="shared" si="15"/>
        <v>1997</v>
      </c>
      <c r="M198" s="3"/>
    </row>
    <row r="199" spans="1:13" s="18" customFormat="1" outlineLevel="2">
      <c r="A199" s="19" t="s">
        <v>36</v>
      </c>
      <c r="B199" s="20" t="s">
        <v>60</v>
      </c>
      <c r="C199" s="21" t="s">
        <v>107</v>
      </c>
      <c r="D199" s="20" t="s">
        <v>106</v>
      </c>
      <c r="E199" s="3">
        <v>5000000</v>
      </c>
      <c r="F199" s="19">
        <v>44046</v>
      </c>
      <c r="G199" s="3">
        <v>5000000</v>
      </c>
      <c r="H199" s="2">
        <v>5.0000000000000001E-3</v>
      </c>
      <c r="I199" s="19">
        <v>44105</v>
      </c>
      <c r="J199" s="19">
        <v>44135</v>
      </c>
      <c r="K199" s="3">
        <f t="shared" si="14"/>
        <v>31</v>
      </c>
      <c r="L199" s="3">
        <f t="shared" si="15"/>
        <v>2117</v>
      </c>
      <c r="M199" s="3">
        <v>5000000</v>
      </c>
    </row>
    <row r="200" spans="1:13" s="18" customFormat="1" outlineLevel="2">
      <c r="A200" s="19" t="s">
        <v>36</v>
      </c>
      <c r="B200" s="20" t="s">
        <v>23</v>
      </c>
      <c r="C200" s="21" t="s">
        <v>17</v>
      </c>
      <c r="D200" s="20" t="s">
        <v>18</v>
      </c>
      <c r="E200" s="3">
        <v>32900000</v>
      </c>
      <c r="F200" s="19">
        <v>43829</v>
      </c>
      <c r="G200" s="3">
        <v>27965003</v>
      </c>
      <c r="H200" s="2">
        <v>5.0000000000000001E-3</v>
      </c>
      <c r="I200" s="19">
        <v>44105</v>
      </c>
      <c r="J200" s="19">
        <v>44118</v>
      </c>
      <c r="K200" s="3">
        <f t="shared" si="14"/>
        <v>14</v>
      </c>
      <c r="L200" s="3">
        <f t="shared" si="15"/>
        <v>5348</v>
      </c>
      <c r="M200" s="3">
        <v>27416670</v>
      </c>
    </row>
    <row r="201" spans="1:13" s="18" customFormat="1" outlineLevel="2">
      <c r="A201" s="19" t="s">
        <v>36</v>
      </c>
      <c r="B201" s="20" t="s">
        <v>23</v>
      </c>
      <c r="C201" s="21" t="s">
        <v>17</v>
      </c>
      <c r="D201" s="20"/>
      <c r="E201" s="3"/>
      <c r="F201" s="19"/>
      <c r="G201" s="3">
        <v>27416670</v>
      </c>
      <c r="H201" s="2">
        <v>5.0000000000000001E-3</v>
      </c>
      <c r="I201" s="19">
        <v>44119</v>
      </c>
      <c r="J201" s="19">
        <v>44135</v>
      </c>
      <c r="K201" s="3">
        <f t="shared" si="14"/>
        <v>17</v>
      </c>
      <c r="L201" s="3">
        <f t="shared" si="15"/>
        <v>6367</v>
      </c>
      <c r="M201" s="3"/>
    </row>
    <row r="202" spans="1:13" s="18" customFormat="1" outlineLevel="2">
      <c r="A202" s="19" t="s">
        <v>36</v>
      </c>
      <c r="B202" s="20" t="s">
        <v>29</v>
      </c>
      <c r="C202" s="21" t="s">
        <v>17</v>
      </c>
      <c r="D202" s="20" t="s">
        <v>18</v>
      </c>
      <c r="E202" s="3">
        <v>2790000</v>
      </c>
      <c r="F202" s="19">
        <v>43921</v>
      </c>
      <c r="G202" s="3">
        <v>2496318</v>
      </c>
      <c r="H202" s="2">
        <v>5.0000000000000001E-3</v>
      </c>
      <c r="I202" s="19">
        <v>44105</v>
      </c>
      <c r="J202" s="19">
        <v>44118</v>
      </c>
      <c r="K202" s="3">
        <f t="shared" si="14"/>
        <v>14</v>
      </c>
      <c r="L202" s="3">
        <f t="shared" si="15"/>
        <v>477</v>
      </c>
      <c r="M202" s="3">
        <v>2447371</v>
      </c>
    </row>
    <row r="203" spans="1:13" s="18" customFormat="1" outlineLevel="2">
      <c r="A203" s="19" t="s">
        <v>36</v>
      </c>
      <c r="B203" s="20" t="s">
        <v>29</v>
      </c>
      <c r="C203" s="21" t="s">
        <v>17</v>
      </c>
      <c r="D203" s="20"/>
      <c r="E203" s="3"/>
      <c r="F203" s="19"/>
      <c r="G203" s="3">
        <v>2447371</v>
      </c>
      <c r="H203" s="2">
        <v>5.0000000000000001E-3</v>
      </c>
      <c r="I203" s="19">
        <v>44119</v>
      </c>
      <c r="J203" s="19">
        <v>44135</v>
      </c>
      <c r="K203" s="3">
        <f t="shared" si="14"/>
        <v>17</v>
      </c>
      <c r="L203" s="3">
        <f t="shared" si="15"/>
        <v>568</v>
      </c>
      <c r="M203" s="3"/>
    </row>
    <row r="204" spans="1:13" s="18" customFormat="1" outlineLevel="2">
      <c r="A204" s="19" t="s">
        <v>36</v>
      </c>
      <c r="B204" s="20" t="s">
        <v>30</v>
      </c>
      <c r="C204" s="21" t="s">
        <v>57</v>
      </c>
      <c r="D204" s="20" t="s">
        <v>56</v>
      </c>
      <c r="E204" s="3">
        <v>12000000</v>
      </c>
      <c r="F204" s="19">
        <v>43948</v>
      </c>
      <c r="G204" s="3">
        <v>11000000</v>
      </c>
      <c r="H204" s="2">
        <v>5.0000000000000001E-3</v>
      </c>
      <c r="I204" s="19">
        <v>44105</v>
      </c>
      <c r="J204" s="19">
        <v>44118</v>
      </c>
      <c r="K204" s="3">
        <f t="shared" si="14"/>
        <v>14</v>
      </c>
      <c r="L204" s="3">
        <f t="shared" si="15"/>
        <v>2104</v>
      </c>
      <c r="M204" s="3">
        <v>10800000</v>
      </c>
    </row>
    <row r="205" spans="1:13" s="18" customFormat="1" outlineLevel="2">
      <c r="A205" s="19" t="s">
        <v>36</v>
      </c>
      <c r="B205" s="20" t="s">
        <v>30</v>
      </c>
      <c r="C205" s="21" t="s">
        <v>57</v>
      </c>
      <c r="D205" s="20"/>
      <c r="E205" s="3"/>
      <c r="F205" s="19"/>
      <c r="G205" s="3">
        <v>10800000</v>
      </c>
      <c r="H205" s="2">
        <v>5.0000000000000001E-3</v>
      </c>
      <c r="I205" s="19">
        <v>44119</v>
      </c>
      <c r="J205" s="19">
        <v>44135</v>
      </c>
      <c r="K205" s="3">
        <f t="shared" si="14"/>
        <v>17</v>
      </c>
      <c r="L205" s="3">
        <f t="shared" si="15"/>
        <v>2508</v>
      </c>
      <c r="M205" s="3"/>
    </row>
    <row r="206" spans="1:13" s="18" customFormat="1" outlineLevel="2">
      <c r="A206" s="19" t="s">
        <v>36</v>
      </c>
      <c r="B206" s="20" t="s">
        <v>31</v>
      </c>
      <c r="C206" s="21" t="s">
        <v>97</v>
      </c>
      <c r="D206" s="20" t="s">
        <v>96</v>
      </c>
      <c r="E206" s="3">
        <v>71750000</v>
      </c>
      <c r="F206" s="19">
        <v>43955</v>
      </c>
      <c r="G206" s="3">
        <v>71750000</v>
      </c>
      <c r="H206" s="2">
        <v>5.0000000000000001E-3</v>
      </c>
      <c r="I206" s="19">
        <v>44105</v>
      </c>
      <c r="J206" s="19">
        <v>44135</v>
      </c>
      <c r="K206" s="3">
        <f t="shared" si="14"/>
        <v>31</v>
      </c>
      <c r="L206" s="3">
        <f t="shared" si="15"/>
        <v>30386</v>
      </c>
      <c r="M206" s="3">
        <v>71750000</v>
      </c>
    </row>
    <row r="207" spans="1:13" s="18" customFormat="1" outlineLevel="2">
      <c r="A207" s="19" t="s">
        <v>36</v>
      </c>
      <c r="B207" s="20" t="s">
        <v>32</v>
      </c>
      <c r="C207" s="21" t="s">
        <v>57</v>
      </c>
      <c r="D207" s="20" t="s">
        <v>56</v>
      </c>
      <c r="E207" s="3">
        <v>10000000</v>
      </c>
      <c r="F207" s="19">
        <v>43963</v>
      </c>
      <c r="G207" s="3">
        <v>9166669</v>
      </c>
      <c r="H207" s="2">
        <v>5.0000000000000001E-3</v>
      </c>
      <c r="I207" s="19">
        <v>44105</v>
      </c>
      <c r="J207" s="19">
        <v>44118</v>
      </c>
      <c r="K207" s="3">
        <f t="shared" si="14"/>
        <v>14</v>
      </c>
      <c r="L207" s="3">
        <f t="shared" si="15"/>
        <v>1753</v>
      </c>
      <c r="M207" s="3">
        <v>9000003</v>
      </c>
    </row>
    <row r="208" spans="1:13" s="18" customFormat="1" outlineLevel="2">
      <c r="A208" s="19" t="s">
        <v>36</v>
      </c>
      <c r="B208" s="20" t="s">
        <v>32</v>
      </c>
      <c r="C208" s="21" t="s">
        <v>57</v>
      </c>
      <c r="D208" s="20"/>
      <c r="E208" s="3"/>
      <c r="F208" s="19"/>
      <c r="G208" s="3">
        <v>9000003</v>
      </c>
      <c r="H208" s="2">
        <v>5.0000000000000001E-3</v>
      </c>
      <c r="I208" s="19">
        <v>44119</v>
      </c>
      <c r="J208" s="19">
        <v>44135</v>
      </c>
      <c r="K208" s="3">
        <f t="shared" si="14"/>
        <v>17</v>
      </c>
      <c r="L208" s="3">
        <f t="shared" si="15"/>
        <v>2090</v>
      </c>
      <c r="M208" s="3"/>
    </row>
    <row r="209" spans="1:13" s="18" customFormat="1" outlineLevel="2">
      <c r="A209" s="19" t="s">
        <v>36</v>
      </c>
      <c r="B209" s="20" t="s">
        <v>48</v>
      </c>
      <c r="C209" s="21" t="s">
        <v>57</v>
      </c>
      <c r="D209" s="20" t="s">
        <v>56</v>
      </c>
      <c r="E209" s="3">
        <v>4000000</v>
      </c>
      <c r="F209" s="19">
        <v>43970</v>
      </c>
      <c r="G209" s="3">
        <v>3728816</v>
      </c>
      <c r="H209" s="2">
        <v>5.0000000000000001E-3</v>
      </c>
      <c r="I209" s="19">
        <v>44105</v>
      </c>
      <c r="J209" s="19">
        <v>44118</v>
      </c>
      <c r="K209" s="3">
        <f t="shared" si="14"/>
        <v>14</v>
      </c>
      <c r="L209" s="3">
        <f t="shared" si="15"/>
        <v>713</v>
      </c>
      <c r="M209" s="3">
        <v>3661020</v>
      </c>
    </row>
    <row r="210" spans="1:13" s="18" customFormat="1" outlineLevel="2">
      <c r="A210" s="19" t="s">
        <v>36</v>
      </c>
      <c r="B210" s="20" t="s">
        <v>48</v>
      </c>
      <c r="C210" s="21" t="s">
        <v>57</v>
      </c>
      <c r="D210" s="20"/>
      <c r="E210" s="3"/>
      <c r="F210" s="19"/>
      <c r="G210" s="3">
        <v>3661020</v>
      </c>
      <c r="H210" s="2">
        <v>5.0000000000000001E-3</v>
      </c>
      <c r="I210" s="19">
        <v>44119</v>
      </c>
      <c r="J210" s="19">
        <v>44135</v>
      </c>
      <c r="K210" s="3">
        <f t="shared" si="14"/>
        <v>17</v>
      </c>
      <c r="L210" s="3">
        <f t="shared" si="15"/>
        <v>850</v>
      </c>
      <c r="M210" s="3"/>
    </row>
    <row r="211" spans="1:13" s="18" customFormat="1" outlineLevel="2">
      <c r="A211" s="19" t="s">
        <v>36</v>
      </c>
      <c r="B211" s="20" t="s">
        <v>59</v>
      </c>
      <c r="C211" s="21" t="s">
        <v>57</v>
      </c>
      <c r="D211" s="20" t="s">
        <v>56</v>
      </c>
      <c r="E211" s="3">
        <v>18000000</v>
      </c>
      <c r="F211" s="19">
        <v>43977</v>
      </c>
      <c r="G211" s="3">
        <v>16779664</v>
      </c>
      <c r="H211" s="2">
        <v>5.0000000000000001E-3</v>
      </c>
      <c r="I211" s="19">
        <v>44105</v>
      </c>
      <c r="J211" s="19">
        <v>44118</v>
      </c>
      <c r="K211" s="3">
        <f t="shared" si="14"/>
        <v>14</v>
      </c>
      <c r="L211" s="3">
        <f t="shared" si="15"/>
        <v>3209</v>
      </c>
      <c r="M211" s="3">
        <v>16474580</v>
      </c>
    </row>
    <row r="212" spans="1:13" s="18" customFormat="1" outlineLevel="2">
      <c r="A212" s="19" t="s">
        <v>36</v>
      </c>
      <c r="B212" s="20" t="s">
        <v>59</v>
      </c>
      <c r="C212" s="21" t="s">
        <v>57</v>
      </c>
      <c r="D212" s="20"/>
      <c r="E212" s="3"/>
      <c r="F212" s="19"/>
      <c r="G212" s="3">
        <v>16474580</v>
      </c>
      <c r="H212" s="2">
        <v>5.0000000000000001E-3</v>
      </c>
      <c r="I212" s="19">
        <v>44119</v>
      </c>
      <c r="J212" s="19">
        <v>44135</v>
      </c>
      <c r="K212" s="3">
        <f t="shared" si="14"/>
        <v>17</v>
      </c>
      <c r="L212" s="3">
        <f t="shared" si="15"/>
        <v>3826</v>
      </c>
      <c r="M212" s="3"/>
    </row>
    <row r="213" spans="1:13" s="18" customFormat="1" outlineLevel="2">
      <c r="A213" s="19" t="s">
        <v>36</v>
      </c>
      <c r="B213" s="20" t="s">
        <v>58</v>
      </c>
      <c r="C213" s="21" t="s">
        <v>57</v>
      </c>
      <c r="D213" s="20" t="s">
        <v>56</v>
      </c>
      <c r="E213" s="3">
        <v>6000000</v>
      </c>
      <c r="F213" s="19">
        <v>43984</v>
      </c>
      <c r="G213" s="3">
        <v>5593224</v>
      </c>
      <c r="H213" s="2">
        <v>5.0000000000000001E-3</v>
      </c>
      <c r="I213" s="19">
        <v>44105</v>
      </c>
      <c r="J213" s="19">
        <v>44118</v>
      </c>
      <c r="K213" s="3">
        <f t="shared" si="14"/>
        <v>14</v>
      </c>
      <c r="L213" s="3">
        <f t="shared" si="15"/>
        <v>1070</v>
      </c>
      <c r="M213" s="3">
        <v>5491530</v>
      </c>
    </row>
    <row r="214" spans="1:13" s="18" customFormat="1" outlineLevel="2">
      <c r="A214" s="19" t="s">
        <v>36</v>
      </c>
      <c r="B214" s="20" t="s">
        <v>58</v>
      </c>
      <c r="C214" s="21" t="s">
        <v>57</v>
      </c>
      <c r="D214" s="20"/>
      <c r="E214" s="3"/>
      <c r="F214" s="19"/>
      <c r="G214" s="3">
        <v>5491530</v>
      </c>
      <c r="H214" s="2">
        <v>5.0000000000000001E-3</v>
      </c>
      <c r="I214" s="19">
        <v>44119</v>
      </c>
      <c r="J214" s="19">
        <v>44135</v>
      </c>
      <c r="K214" s="3">
        <f t="shared" si="14"/>
        <v>17</v>
      </c>
      <c r="L214" s="3">
        <f t="shared" si="15"/>
        <v>1275</v>
      </c>
      <c r="M214" s="3"/>
    </row>
    <row r="215" spans="1:13" s="18" customFormat="1" ht="13.5" outlineLevel="1">
      <c r="A215" s="22" t="s">
        <v>37</v>
      </c>
      <c r="B215" s="23"/>
      <c r="C215" s="24"/>
      <c r="D215" s="23"/>
      <c r="E215" s="25">
        <f>SUBTOTAL(9,E195:E214)</f>
        <v>321900000</v>
      </c>
      <c r="F215" s="26"/>
      <c r="G215" s="25"/>
      <c r="H215" s="27"/>
      <c r="I215" s="26"/>
      <c r="J215" s="26"/>
      <c r="K215" s="25"/>
      <c r="L215" s="25">
        <f>SUBTOTAL(9,L195:L214)</f>
        <v>121751</v>
      </c>
      <c r="M215" s="25">
        <f>SUBTOTAL(9,M195:M214)</f>
        <v>285641174</v>
      </c>
    </row>
    <row r="216" spans="1:13" s="18" customFormat="1" outlineLevel="2">
      <c r="A216" s="19" t="s">
        <v>38</v>
      </c>
      <c r="B216" s="20" t="s">
        <v>16</v>
      </c>
      <c r="C216" s="21" t="s">
        <v>17</v>
      </c>
      <c r="D216" s="20" t="s">
        <v>18</v>
      </c>
      <c r="E216" s="3">
        <v>50000000</v>
      </c>
      <c r="F216" s="19">
        <v>43829</v>
      </c>
      <c r="G216" s="3">
        <v>42499994</v>
      </c>
      <c r="H216" s="2">
        <v>5.0000000000000001E-3</v>
      </c>
      <c r="I216" s="19">
        <v>44105</v>
      </c>
      <c r="J216" s="19">
        <v>44118</v>
      </c>
      <c r="K216" s="3">
        <f t="shared" ref="K216:K225" si="16">J216-I216+1</f>
        <v>14</v>
      </c>
      <c r="L216" s="3">
        <f t="shared" ref="L216:L225" si="17">ROUND(G216*H216*K216/366,0)</f>
        <v>8128</v>
      </c>
      <c r="M216" s="3">
        <v>41666660</v>
      </c>
    </row>
    <row r="217" spans="1:13" s="18" customFormat="1" outlineLevel="2">
      <c r="A217" s="19" t="s">
        <v>38</v>
      </c>
      <c r="B217" s="20" t="s">
        <v>16</v>
      </c>
      <c r="C217" s="21" t="s">
        <v>17</v>
      </c>
      <c r="D217" s="20"/>
      <c r="E217" s="3"/>
      <c r="F217" s="19"/>
      <c r="G217" s="3">
        <v>41666660</v>
      </c>
      <c r="H217" s="2">
        <v>5.0000000000000001E-3</v>
      </c>
      <c r="I217" s="19">
        <v>44119</v>
      </c>
      <c r="J217" s="19">
        <v>44135</v>
      </c>
      <c r="K217" s="3">
        <f t="shared" si="16"/>
        <v>17</v>
      </c>
      <c r="L217" s="3">
        <f t="shared" si="17"/>
        <v>9677</v>
      </c>
      <c r="M217" s="3"/>
    </row>
    <row r="218" spans="1:13" s="18" customFormat="1" outlineLevel="2">
      <c r="A218" s="19" t="s">
        <v>38</v>
      </c>
      <c r="B218" s="20" t="s">
        <v>23</v>
      </c>
      <c r="C218" s="21" t="s">
        <v>17</v>
      </c>
      <c r="D218" s="20" t="s">
        <v>18</v>
      </c>
      <c r="E218" s="3">
        <v>25200000</v>
      </c>
      <c r="F218" s="19">
        <v>43829</v>
      </c>
      <c r="G218" s="3">
        <v>21420000</v>
      </c>
      <c r="H218" s="2">
        <v>5.0000000000000001E-3</v>
      </c>
      <c r="I218" s="19">
        <v>44105</v>
      </c>
      <c r="J218" s="19">
        <v>44118</v>
      </c>
      <c r="K218" s="3">
        <f t="shared" si="16"/>
        <v>14</v>
      </c>
      <c r="L218" s="3">
        <f t="shared" si="17"/>
        <v>4097</v>
      </c>
      <c r="M218" s="3">
        <v>21000000</v>
      </c>
    </row>
    <row r="219" spans="1:13" s="18" customFormat="1" outlineLevel="2">
      <c r="A219" s="19" t="s">
        <v>38</v>
      </c>
      <c r="B219" s="20" t="s">
        <v>23</v>
      </c>
      <c r="C219" s="21" t="s">
        <v>17</v>
      </c>
      <c r="D219" s="20"/>
      <c r="E219" s="3"/>
      <c r="F219" s="19"/>
      <c r="G219" s="3">
        <v>21000000</v>
      </c>
      <c r="H219" s="2">
        <v>5.0000000000000001E-3</v>
      </c>
      <c r="I219" s="19">
        <v>44119</v>
      </c>
      <c r="J219" s="19">
        <v>44135</v>
      </c>
      <c r="K219" s="3">
        <f t="shared" si="16"/>
        <v>17</v>
      </c>
      <c r="L219" s="3">
        <f t="shared" si="17"/>
        <v>4877</v>
      </c>
      <c r="M219" s="3"/>
    </row>
    <row r="220" spans="1:13" s="18" customFormat="1" outlineLevel="2">
      <c r="A220" s="19" t="s">
        <v>38</v>
      </c>
      <c r="B220" s="20" t="s">
        <v>29</v>
      </c>
      <c r="C220" s="21" t="s">
        <v>17</v>
      </c>
      <c r="D220" s="20" t="s">
        <v>18</v>
      </c>
      <c r="E220" s="3">
        <v>11310000</v>
      </c>
      <c r="F220" s="19">
        <v>43920</v>
      </c>
      <c r="G220" s="3">
        <v>10119474</v>
      </c>
      <c r="H220" s="2">
        <v>5.0000000000000001E-3</v>
      </c>
      <c r="I220" s="19">
        <v>44105</v>
      </c>
      <c r="J220" s="19">
        <v>44118</v>
      </c>
      <c r="K220" s="3">
        <f t="shared" si="16"/>
        <v>14</v>
      </c>
      <c r="L220" s="3">
        <f t="shared" si="17"/>
        <v>1935</v>
      </c>
      <c r="M220" s="3">
        <v>9921053</v>
      </c>
    </row>
    <row r="221" spans="1:13" s="18" customFormat="1" outlineLevel="2">
      <c r="A221" s="19" t="s">
        <v>38</v>
      </c>
      <c r="B221" s="20" t="s">
        <v>29</v>
      </c>
      <c r="C221" s="21" t="s">
        <v>17</v>
      </c>
      <c r="D221" s="20"/>
      <c r="E221" s="3"/>
      <c r="F221" s="19"/>
      <c r="G221" s="3">
        <v>9921053</v>
      </c>
      <c r="H221" s="2">
        <v>5.0000000000000001E-3</v>
      </c>
      <c r="I221" s="19">
        <v>44119</v>
      </c>
      <c r="J221" s="19">
        <v>44135</v>
      </c>
      <c r="K221" s="3">
        <f t="shared" si="16"/>
        <v>17</v>
      </c>
      <c r="L221" s="3">
        <f t="shared" si="17"/>
        <v>2304</v>
      </c>
      <c r="M221" s="3"/>
    </row>
    <row r="222" spans="1:13" s="18" customFormat="1" outlineLevel="2">
      <c r="A222" s="19" t="s">
        <v>38</v>
      </c>
      <c r="B222" s="20" t="s">
        <v>30</v>
      </c>
      <c r="C222" s="21" t="s">
        <v>17</v>
      </c>
      <c r="D222" s="20" t="s">
        <v>18</v>
      </c>
      <c r="E222" s="3">
        <v>6050000</v>
      </c>
      <c r="F222" s="19">
        <v>43990</v>
      </c>
      <c r="G222" s="3">
        <v>5610000</v>
      </c>
      <c r="H222" s="2">
        <v>5.0000000000000001E-3</v>
      </c>
      <c r="I222" s="19">
        <v>44105</v>
      </c>
      <c r="J222" s="19">
        <v>44118</v>
      </c>
      <c r="K222" s="3">
        <f t="shared" si="16"/>
        <v>14</v>
      </c>
      <c r="L222" s="3">
        <f t="shared" si="17"/>
        <v>1073</v>
      </c>
      <c r="M222" s="3">
        <v>5500000</v>
      </c>
    </row>
    <row r="223" spans="1:13" s="18" customFormat="1" outlineLevel="2">
      <c r="A223" s="19" t="s">
        <v>38</v>
      </c>
      <c r="B223" s="20" t="s">
        <v>30</v>
      </c>
      <c r="C223" s="21" t="s">
        <v>17</v>
      </c>
      <c r="D223" s="20"/>
      <c r="E223" s="3"/>
      <c r="F223" s="19"/>
      <c r="G223" s="3">
        <v>5500000</v>
      </c>
      <c r="H223" s="2">
        <v>5.0000000000000001E-3</v>
      </c>
      <c r="I223" s="19">
        <v>44119</v>
      </c>
      <c r="J223" s="19">
        <v>44135</v>
      </c>
      <c r="K223" s="3">
        <f t="shared" si="16"/>
        <v>17</v>
      </c>
      <c r="L223" s="3">
        <f t="shared" si="17"/>
        <v>1277</v>
      </c>
      <c r="M223" s="3"/>
    </row>
    <row r="224" spans="1:13" s="18" customFormat="1" outlineLevel="2">
      <c r="A224" s="19" t="s">
        <v>38</v>
      </c>
      <c r="B224" s="20" t="s">
        <v>31</v>
      </c>
      <c r="C224" s="21" t="s">
        <v>17</v>
      </c>
      <c r="D224" s="20" t="s">
        <v>18</v>
      </c>
      <c r="E224" s="3">
        <v>7541000</v>
      </c>
      <c r="F224" s="19">
        <v>44074</v>
      </c>
      <c r="G224" s="3">
        <v>7395981</v>
      </c>
      <c r="H224" s="2">
        <v>5.0000000000000001E-3</v>
      </c>
      <c r="I224" s="19">
        <v>44105</v>
      </c>
      <c r="J224" s="19">
        <v>44118</v>
      </c>
      <c r="K224" s="3">
        <f t="shared" si="16"/>
        <v>14</v>
      </c>
      <c r="L224" s="3">
        <f t="shared" si="17"/>
        <v>1415</v>
      </c>
      <c r="M224" s="3">
        <v>7250962</v>
      </c>
    </row>
    <row r="225" spans="1:13" s="18" customFormat="1" outlineLevel="2">
      <c r="A225" s="19" t="s">
        <v>38</v>
      </c>
      <c r="B225" s="20" t="s">
        <v>31</v>
      </c>
      <c r="C225" s="21" t="s">
        <v>17</v>
      </c>
      <c r="D225" s="20"/>
      <c r="E225" s="3"/>
      <c r="F225" s="19"/>
      <c r="G225" s="3">
        <v>7250962</v>
      </c>
      <c r="H225" s="2">
        <v>5.0000000000000001E-3</v>
      </c>
      <c r="I225" s="19">
        <v>44119</v>
      </c>
      <c r="J225" s="19">
        <v>44135</v>
      </c>
      <c r="K225" s="3">
        <f t="shared" si="16"/>
        <v>17</v>
      </c>
      <c r="L225" s="3">
        <f t="shared" si="17"/>
        <v>1684</v>
      </c>
      <c r="M225" s="3"/>
    </row>
    <row r="226" spans="1:13" s="18" customFormat="1" ht="13.5" outlineLevel="1">
      <c r="A226" s="22" t="s">
        <v>39</v>
      </c>
      <c r="B226" s="23"/>
      <c r="C226" s="24"/>
      <c r="D226" s="23"/>
      <c r="E226" s="25">
        <f>SUBTOTAL(9,E216:E225)</f>
        <v>100101000</v>
      </c>
      <c r="F226" s="26"/>
      <c r="G226" s="25"/>
      <c r="H226" s="27"/>
      <c r="I226" s="26"/>
      <c r="J226" s="26"/>
      <c r="K226" s="25"/>
      <c r="L226" s="25">
        <f>SUBTOTAL(9,L216:L225)</f>
        <v>36467</v>
      </c>
      <c r="M226" s="25">
        <f>SUBTOTAL(9,M216:M225)</f>
        <v>85338675</v>
      </c>
    </row>
    <row r="227" spans="1:13" s="18" customFormat="1" outlineLevel="2">
      <c r="A227" s="19" t="s">
        <v>108</v>
      </c>
      <c r="B227" s="20" t="s">
        <v>16</v>
      </c>
      <c r="C227" s="21" t="s">
        <v>107</v>
      </c>
      <c r="D227" s="20" t="s">
        <v>106</v>
      </c>
      <c r="E227" s="3">
        <v>4300000</v>
      </c>
      <c r="F227" s="19">
        <v>43966</v>
      </c>
      <c r="G227" s="3">
        <v>4300000</v>
      </c>
      <c r="H227" s="2">
        <v>5.0000000000000001E-3</v>
      </c>
      <c r="I227" s="19">
        <v>44105</v>
      </c>
      <c r="J227" s="19">
        <v>44135</v>
      </c>
      <c r="K227" s="3">
        <f>J227-I227+1</f>
        <v>31</v>
      </c>
      <c r="L227" s="3">
        <f>ROUND(G227*H227*K227/366,0)</f>
        <v>1821</v>
      </c>
      <c r="M227" s="3">
        <v>4300000</v>
      </c>
    </row>
    <row r="228" spans="1:13" s="18" customFormat="1" outlineLevel="2">
      <c r="A228" s="19" t="s">
        <v>108</v>
      </c>
      <c r="B228" s="20" t="s">
        <v>23</v>
      </c>
      <c r="C228" s="21" t="s">
        <v>113</v>
      </c>
      <c r="D228" s="20" t="s">
        <v>112</v>
      </c>
      <c r="E228" s="3">
        <v>120000000</v>
      </c>
      <c r="F228" s="19">
        <v>44060</v>
      </c>
      <c r="G228" s="3">
        <v>120000000</v>
      </c>
      <c r="H228" s="2">
        <v>5.0000000000000001E-3</v>
      </c>
      <c r="I228" s="19">
        <v>44105</v>
      </c>
      <c r="J228" s="19">
        <v>44135</v>
      </c>
      <c r="K228" s="3">
        <f>J228-I228+1</f>
        <v>31</v>
      </c>
      <c r="L228" s="3">
        <f>ROUND(G228*H228*K228/366,0)</f>
        <v>50820</v>
      </c>
      <c r="M228" s="3">
        <v>120000000</v>
      </c>
    </row>
    <row r="229" spans="1:13" s="18" customFormat="1" ht="13.5" outlineLevel="1">
      <c r="A229" s="22" t="s">
        <v>105</v>
      </c>
      <c r="B229" s="23"/>
      <c r="C229" s="24"/>
      <c r="D229" s="23"/>
      <c r="E229" s="25">
        <f>SUBTOTAL(9,E227:E228)</f>
        <v>124300000</v>
      </c>
      <c r="F229" s="26"/>
      <c r="G229" s="25"/>
      <c r="H229" s="27"/>
      <c r="I229" s="26"/>
      <c r="J229" s="26"/>
      <c r="K229" s="25"/>
      <c r="L229" s="25">
        <f>SUBTOTAL(9,L227:L228)</f>
        <v>52641</v>
      </c>
      <c r="M229" s="25">
        <f>SUBTOTAL(9,M227:M228)</f>
        <v>124300000</v>
      </c>
    </row>
    <row r="230" spans="1:13" s="18" customFormat="1" outlineLevel="2">
      <c r="A230" s="19" t="s">
        <v>124</v>
      </c>
      <c r="B230" s="20" t="s">
        <v>16</v>
      </c>
      <c r="C230" s="21" t="s">
        <v>77</v>
      </c>
      <c r="D230" s="20" t="s">
        <v>76</v>
      </c>
      <c r="E230" s="3">
        <v>38650000</v>
      </c>
      <c r="F230" s="19">
        <v>43986</v>
      </c>
      <c r="G230" s="3">
        <v>38650000</v>
      </c>
      <c r="H230" s="2">
        <v>5.0000000000000001E-3</v>
      </c>
      <c r="I230" s="19">
        <v>44105</v>
      </c>
      <c r="J230" s="19">
        <v>44135</v>
      </c>
      <c r="K230" s="3">
        <f t="shared" ref="K230:K236" si="18">J230-I230+1</f>
        <v>31</v>
      </c>
      <c r="L230" s="3">
        <f t="shared" ref="L230:L236" si="19">ROUND(G230*H230*K230/366,0)</f>
        <v>16368</v>
      </c>
      <c r="M230" s="3">
        <v>38650000</v>
      </c>
    </row>
    <row r="231" spans="1:13" s="18" customFormat="1" outlineLevel="2">
      <c r="A231" s="19" t="s">
        <v>124</v>
      </c>
      <c r="B231" s="20" t="s">
        <v>23</v>
      </c>
      <c r="C231" s="21" t="s">
        <v>104</v>
      </c>
      <c r="D231" s="20" t="s">
        <v>103</v>
      </c>
      <c r="E231" s="3">
        <v>23530000</v>
      </c>
      <c r="F231" s="19">
        <v>44013</v>
      </c>
      <c r="G231" s="3">
        <v>23530000</v>
      </c>
      <c r="H231" s="2">
        <v>5.0000000000000001E-3</v>
      </c>
      <c r="I231" s="19">
        <v>44105</v>
      </c>
      <c r="J231" s="19">
        <v>44135</v>
      </c>
      <c r="K231" s="3">
        <f t="shared" si="18"/>
        <v>31</v>
      </c>
      <c r="L231" s="3">
        <f t="shared" si="19"/>
        <v>9965</v>
      </c>
      <c r="M231" s="3">
        <v>23530000</v>
      </c>
    </row>
    <row r="232" spans="1:13" s="18" customFormat="1" outlineLevel="2">
      <c r="A232" s="19" t="s">
        <v>124</v>
      </c>
      <c r="B232" s="20" t="s">
        <v>29</v>
      </c>
      <c r="C232" s="21" t="s">
        <v>104</v>
      </c>
      <c r="D232" s="20" t="s">
        <v>103</v>
      </c>
      <c r="E232" s="3">
        <v>47470000</v>
      </c>
      <c r="F232" s="19">
        <v>44013</v>
      </c>
      <c r="G232" s="3">
        <v>47470000</v>
      </c>
      <c r="H232" s="2">
        <v>5.0000000000000001E-3</v>
      </c>
      <c r="I232" s="19">
        <v>44105</v>
      </c>
      <c r="J232" s="19">
        <v>44135</v>
      </c>
      <c r="K232" s="3">
        <f t="shared" si="18"/>
        <v>31</v>
      </c>
      <c r="L232" s="3">
        <f t="shared" si="19"/>
        <v>20103</v>
      </c>
      <c r="M232" s="3">
        <v>47470000</v>
      </c>
    </row>
    <row r="233" spans="1:13" s="18" customFormat="1" outlineLevel="2">
      <c r="A233" s="19" t="s">
        <v>124</v>
      </c>
      <c r="B233" s="20" t="s">
        <v>30</v>
      </c>
      <c r="C233" s="21" t="s">
        <v>149</v>
      </c>
      <c r="D233" s="20" t="s">
        <v>148</v>
      </c>
      <c r="E233" s="3">
        <v>6665394</v>
      </c>
      <c r="F233" s="19">
        <v>44029</v>
      </c>
      <c r="G233" s="3">
        <v>6665394</v>
      </c>
      <c r="H233" s="2">
        <v>5.0000000000000001E-3</v>
      </c>
      <c r="I233" s="19">
        <v>44105</v>
      </c>
      <c r="J233" s="19">
        <v>44135</v>
      </c>
      <c r="K233" s="3">
        <f t="shared" si="18"/>
        <v>31</v>
      </c>
      <c r="L233" s="3">
        <f t="shared" si="19"/>
        <v>2823</v>
      </c>
      <c r="M233" s="3">
        <v>6665394</v>
      </c>
    </row>
    <row r="234" spans="1:13" s="18" customFormat="1" outlineLevel="2">
      <c r="A234" s="19" t="s">
        <v>124</v>
      </c>
      <c r="B234" s="20" t="s">
        <v>31</v>
      </c>
      <c r="C234" s="21" t="s">
        <v>149</v>
      </c>
      <c r="D234" s="20" t="s">
        <v>148</v>
      </c>
      <c r="E234" s="3">
        <v>12334606</v>
      </c>
      <c r="F234" s="19">
        <v>44029</v>
      </c>
      <c r="G234" s="3">
        <v>12334606</v>
      </c>
      <c r="H234" s="2">
        <v>5.0000000000000001E-3</v>
      </c>
      <c r="I234" s="19">
        <v>44105</v>
      </c>
      <c r="J234" s="19">
        <v>44135</v>
      </c>
      <c r="K234" s="3">
        <f t="shared" si="18"/>
        <v>31</v>
      </c>
      <c r="L234" s="3">
        <f t="shared" si="19"/>
        <v>5224</v>
      </c>
      <c r="M234" s="3">
        <v>12334606</v>
      </c>
    </row>
    <row r="235" spans="1:13" s="18" customFormat="1" outlineLevel="2">
      <c r="A235" s="19" t="s">
        <v>124</v>
      </c>
      <c r="B235" s="20" t="s">
        <v>32</v>
      </c>
      <c r="C235" s="21" t="s">
        <v>164</v>
      </c>
      <c r="D235" s="20" t="s">
        <v>163</v>
      </c>
      <c r="E235" s="3">
        <v>131500000</v>
      </c>
      <c r="F235" s="19">
        <v>44089</v>
      </c>
      <c r="G235" s="3">
        <v>131500000</v>
      </c>
      <c r="H235" s="2">
        <v>5.0000000000000001E-3</v>
      </c>
      <c r="I235" s="19">
        <v>44105</v>
      </c>
      <c r="J235" s="19">
        <v>44135</v>
      </c>
      <c r="K235" s="3">
        <f t="shared" si="18"/>
        <v>31</v>
      </c>
      <c r="L235" s="3">
        <f t="shared" si="19"/>
        <v>55690</v>
      </c>
      <c r="M235" s="3">
        <v>131500000</v>
      </c>
    </row>
    <row r="236" spans="1:13" s="18" customFormat="1" outlineLevel="2">
      <c r="A236" s="19" t="s">
        <v>124</v>
      </c>
      <c r="B236" s="20" t="s">
        <v>48</v>
      </c>
      <c r="C236" s="21" t="s">
        <v>77</v>
      </c>
      <c r="D236" s="20" t="s">
        <v>76</v>
      </c>
      <c r="E236" s="3">
        <v>10400000</v>
      </c>
      <c r="F236" s="19">
        <v>44096</v>
      </c>
      <c r="G236" s="3">
        <v>10400000</v>
      </c>
      <c r="H236" s="2">
        <v>5.0000000000000001E-3</v>
      </c>
      <c r="I236" s="19">
        <v>44105</v>
      </c>
      <c r="J236" s="19">
        <v>44135</v>
      </c>
      <c r="K236" s="3">
        <f t="shared" si="18"/>
        <v>31</v>
      </c>
      <c r="L236" s="3">
        <f t="shared" si="19"/>
        <v>4404</v>
      </c>
      <c r="M236" s="3">
        <v>10400000</v>
      </c>
    </row>
    <row r="237" spans="1:13" s="18" customFormat="1" ht="13.5" outlineLevel="1">
      <c r="A237" s="22" t="s">
        <v>123</v>
      </c>
      <c r="B237" s="23"/>
      <c r="C237" s="24"/>
      <c r="D237" s="23"/>
      <c r="E237" s="25">
        <f>SUBTOTAL(9,E230:E236)</f>
        <v>270550000</v>
      </c>
      <c r="F237" s="26"/>
      <c r="G237" s="25"/>
      <c r="H237" s="27"/>
      <c r="I237" s="26"/>
      <c r="J237" s="26"/>
      <c r="K237" s="25"/>
      <c r="L237" s="25">
        <f>SUBTOTAL(9,L230:L236)</f>
        <v>114577</v>
      </c>
      <c r="M237" s="25">
        <f>SUBTOTAL(9,M230:M236)</f>
        <v>270550000</v>
      </c>
    </row>
    <row r="238" spans="1:13" s="18" customFormat="1" outlineLevel="2">
      <c r="A238" s="19" t="s">
        <v>70</v>
      </c>
      <c r="B238" s="20" t="s">
        <v>16</v>
      </c>
      <c r="C238" s="21" t="s">
        <v>69</v>
      </c>
      <c r="D238" s="20" t="s">
        <v>68</v>
      </c>
      <c r="E238" s="3">
        <v>330000000</v>
      </c>
      <c r="F238" s="19">
        <v>43915</v>
      </c>
      <c r="G238" s="3">
        <v>330000000</v>
      </c>
      <c r="H238" s="2">
        <v>5.0000000000000001E-3</v>
      </c>
      <c r="I238" s="19">
        <v>44105</v>
      </c>
      <c r="J238" s="19">
        <v>44135</v>
      </c>
      <c r="K238" s="3">
        <f>J238-I238+1</f>
        <v>31</v>
      </c>
      <c r="L238" s="3">
        <f>ROUND(G238*H238*K238/366,0)</f>
        <v>139754</v>
      </c>
      <c r="M238" s="3">
        <v>330000000</v>
      </c>
    </row>
    <row r="239" spans="1:13" s="18" customFormat="1" outlineLevel="2">
      <c r="A239" s="19" t="s">
        <v>70</v>
      </c>
      <c r="B239" s="20" t="s">
        <v>23</v>
      </c>
      <c r="C239" s="21" t="s">
        <v>69</v>
      </c>
      <c r="D239" s="20" t="s">
        <v>68</v>
      </c>
      <c r="E239" s="3">
        <v>93600000</v>
      </c>
      <c r="F239" s="19">
        <v>43955</v>
      </c>
      <c r="G239" s="3">
        <v>93600000</v>
      </c>
      <c r="H239" s="2">
        <v>5.0000000000000001E-3</v>
      </c>
      <c r="I239" s="19">
        <v>44105</v>
      </c>
      <c r="J239" s="19">
        <v>44135</v>
      </c>
      <c r="K239" s="3">
        <f>J239-I239+1</f>
        <v>31</v>
      </c>
      <c r="L239" s="3">
        <f>ROUND(G239*H239*K239/366,0)</f>
        <v>39639</v>
      </c>
      <c r="M239" s="3">
        <v>93600000</v>
      </c>
    </row>
    <row r="240" spans="1:13" s="18" customFormat="1" outlineLevel="2">
      <c r="A240" s="19" t="s">
        <v>70</v>
      </c>
      <c r="B240" s="20" t="s">
        <v>29</v>
      </c>
      <c r="C240" s="21" t="s">
        <v>69</v>
      </c>
      <c r="D240" s="20" t="s">
        <v>68</v>
      </c>
      <c r="E240" s="3">
        <v>576400000</v>
      </c>
      <c r="F240" s="19">
        <v>44013</v>
      </c>
      <c r="G240" s="3">
        <v>576400000</v>
      </c>
      <c r="H240" s="2">
        <v>5.0000000000000001E-3</v>
      </c>
      <c r="I240" s="19">
        <v>44105</v>
      </c>
      <c r="J240" s="19">
        <v>44135</v>
      </c>
      <c r="K240" s="3">
        <f>J240-I240+1</f>
        <v>31</v>
      </c>
      <c r="L240" s="3">
        <f>ROUND(G240*H240*K240/366,0)</f>
        <v>244104</v>
      </c>
      <c r="M240" s="3">
        <v>576400000</v>
      </c>
    </row>
    <row r="241" spans="1:13" s="18" customFormat="1" ht="13.5" outlineLevel="1">
      <c r="A241" s="22" t="s">
        <v>67</v>
      </c>
      <c r="B241" s="23"/>
      <c r="C241" s="24"/>
      <c r="D241" s="23"/>
      <c r="E241" s="25">
        <f>SUBTOTAL(9,E238:E240)</f>
        <v>1000000000</v>
      </c>
      <c r="F241" s="26"/>
      <c r="G241" s="25"/>
      <c r="H241" s="27"/>
      <c r="I241" s="26"/>
      <c r="J241" s="26"/>
      <c r="K241" s="25"/>
      <c r="L241" s="25">
        <f>SUBTOTAL(9,L238:L240)</f>
        <v>423497</v>
      </c>
      <c r="M241" s="25">
        <f>SUBTOTAL(9,M238:M240)</f>
        <v>1000000000</v>
      </c>
    </row>
    <row r="242" spans="1:13" s="18" customFormat="1" outlineLevel="2">
      <c r="A242" s="19" t="s">
        <v>91</v>
      </c>
      <c r="B242" s="20" t="s">
        <v>16</v>
      </c>
      <c r="C242" s="21" t="s">
        <v>90</v>
      </c>
      <c r="D242" s="20" t="s">
        <v>89</v>
      </c>
      <c r="E242" s="3">
        <v>3400000</v>
      </c>
      <c r="F242" s="19">
        <v>43927</v>
      </c>
      <c r="G242" s="3">
        <v>3400000</v>
      </c>
      <c r="H242" s="2">
        <v>5.0000000000000001E-3</v>
      </c>
      <c r="I242" s="19">
        <v>44105</v>
      </c>
      <c r="J242" s="19">
        <v>44135</v>
      </c>
      <c r="K242" s="3">
        <f t="shared" ref="K242:K250" si="20">J242-I242+1</f>
        <v>31</v>
      </c>
      <c r="L242" s="3">
        <f t="shared" ref="L242:L250" si="21">ROUND(G242*H242*K242/366,0)</f>
        <v>1440</v>
      </c>
      <c r="M242" s="3">
        <v>3400000</v>
      </c>
    </row>
    <row r="243" spans="1:13" s="18" customFormat="1" outlineLevel="2">
      <c r="A243" s="19" t="s">
        <v>91</v>
      </c>
      <c r="B243" s="20" t="s">
        <v>23</v>
      </c>
      <c r="C243" s="21" t="s">
        <v>90</v>
      </c>
      <c r="D243" s="20" t="s">
        <v>89</v>
      </c>
      <c r="E243" s="3">
        <v>70440000</v>
      </c>
      <c r="F243" s="19">
        <v>43951</v>
      </c>
      <c r="G243" s="3">
        <v>70440000</v>
      </c>
      <c r="H243" s="2">
        <v>5.0000000000000001E-3</v>
      </c>
      <c r="I243" s="19">
        <v>44105</v>
      </c>
      <c r="J243" s="19">
        <v>44135</v>
      </c>
      <c r="K243" s="3">
        <f t="shared" si="20"/>
        <v>31</v>
      </c>
      <c r="L243" s="3">
        <f t="shared" si="21"/>
        <v>29831</v>
      </c>
      <c r="M243" s="3">
        <v>70440000</v>
      </c>
    </row>
    <row r="244" spans="1:13" s="18" customFormat="1" outlineLevel="2">
      <c r="A244" s="19" t="s">
        <v>91</v>
      </c>
      <c r="B244" s="20" t="s">
        <v>29</v>
      </c>
      <c r="C244" s="21" t="s">
        <v>104</v>
      </c>
      <c r="D244" s="20" t="s">
        <v>103</v>
      </c>
      <c r="E244" s="3">
        <v>182300000</v>
      </c>
      <c r="F244" s="19">
        <v>43959</v>
      </c>
      <c r="G244" s="3">
        <v>182300000</v>
      </c>
      <c r="H244" s="2">
        <v>5.0000000000000001E-3</v>
      </c>
      <c r="I244" s="19">
        <v>44105</v>
      </c>
      <c r="J244" s="19">
        <v>44135</v>
      </c>
      <c r="K244" s="3">
        <f t="shared" si="20"/>
        <v>31</v>
      </c>
      <c r="L244" s="3">
        <f t="shared" si="21"/>
        <v>77204</v>
      </c>
      <c r="M244" s="3">
        <v>182300000</v>
      </c>
    </row>
    <row r="245" spans="1:13" s="18" customFormat="1" outlineLevel="2">
      <c r="A245" s="19" t="s">
        <v>91</v>
      </c>
      <c r="B245" s="20" t="s">
        <v>30</v>
      </c>
      <c r="C245" s="21" t="s">
        <v>189</v>
      </c>
      <c r="D245" s="20" t="s">
        <v>190</v>
      </c>
      <c r="E245" s="3">
        <v>610000</v>
      </c>
      <c r="F245" s="19">
        <v>44085</v>
      </c>
      <c r="G245" s="3">
        <v>590000</v>
      </c>
      <c r="H245" s="2">
        <v>5.0000000000000001E-3</v>
      </c>
      <c r="I245" s="19">
        <v>44105</v>
      </c>
      <c r="J245" s="19">
        <v>44118</v>
      </c>
      <c r="K245" s="3">
        <f t="shared" si="20"/>
        <v>14</v>
      </c>
      <c r="L245" s="3">
        <f t="shared" si="21"/>
        <v>113</v>
      </c>
      <c r="M245" s="3">
        <v>580000</v>
      </c>
    </row>
    <row r="246" spans="1:13" s="18" customFormat="1" outlineLevel="2">
      <c r="A246" s="19" t="s">
        <v>91</v>
      </c>
      <c r="B246" s="20" t="s">
        <v>30</v>
      </c>
      <c r="C246" s="21" t="s">
        <v>189</v>
      </c>
      <c r="D246" s="20"/>
      <c r="E246" s="3"/>
      <c r="F246" s="19"/>
      <c r="G246" s="3">
        <v>580000</v>
      </c>
      <c r="H246" s="2">
        <v>5.0000000000000001E-3</v>
      </c>
      <c r="I246" s="19">
        <v>44119</v>
      </c>
      <c r="J246" s="19">
        <v>44135</v>
      </c>
      <c r="K246" s="3">
        <f t="shared" si="20"/>
        <v>17</v>
      </c>
      <c r="L246" s="3">
        <f t="shared" si="21"/>
        <v>135</v>
      </c>
      <c r="M246" s="3"/>
    </row>
    <row r="247" spans="1:13" s="18" customFormat="1" outlineLevel="2">
      <c r="A247" s="19" t="s">
        <v>91</v>
      </c>
      <c r="B247" s="20" t="s">
        <v>31</v>
      </c>
      <c r="C247" s="21" t="s">
        <v>188</v>
      </c>
      <c r="D247" s="20" t="s">
        <v>89</v>
      </c>
      <c r="E247" s="3">
        <v>18080000</v>
      </c>
      <c r="F247" s="19">
        <v>44102</v>
      </c>
      <c r="G247" s="3">
        <v>18080000</v>
      </c>
      <c r="H247" s="2">
        <v>5.0000000000000001E-3</v>
      </c>
      <c r="I247" s="19">
        <v>44105</v>
      </c>
      <c r="J247" s="19">
        <v>44135</v>
      </c>
      <c r="K247" s="3">
        <f t="shared" si="20"/>
        <v>31</v>
      </c>
      <c r="L247" s="3">
        <f t="shared" si="21"/>
        <v>7657</v>
      </c>
      <c r="M247" s="3">
        <v>18080000</v>
      </c>
    </row>
    <row r="248" spans="1:13" s="18" customFormat="1" outlineLevel="2">
      <c r="A248" s="19" t="s">
        <v>91</v>
      </c>
      <c r="B248" s="20" t="s">
        <v>32</v>
      </c>
      <c r="C248" s="21" t="s">
        <v>188</v>
      </c>
      <c r="D248" s="20" t="s">
        <v>89</v>
      </c>
      <c r="E248" s="3">
        <v>50630000</v>
      </c>
      <c r="F248" s="19">
        <v>44131</v>
      </c>
      <c r="G248" s="3">
        <v>50630000</v>
      </c>
      <c r="H248" s="2">
        <v>5.0000000000000001E-3</v>
      </c>
      <c r="I248" s="19">
        <v>44131</v>
      </c>
      <c r="J248" s="19">
        <v>44135</v>
      </c>
      <c r="K248" s="3">
        <f t="shared" si="20"/>
        <v>5</v>
      </c>
      <c r="L248" s="3">
        <f t="shared" si="21"/>
        <v>3458</v>
      </c>
      <c r="M248" s="3">
        <v>50630000</v>
      </c>
    </row>
    <row r="249" spans="1:13" s="18" customFormat="1" outlineLevel="2">
      <c r="A249" s="19" t="s">
        <v>91</v>
      </c>
      <c r="B249" s="20" t="s">
        <v>48</v>
      </c>
      <c r="C249" s="21" t="s">
        <v>189</v>
      </c>
      <c r="D249" s="20" t="s">
        <v>190</v>
      </c>
      <c r="E249" s="3">
        <v>710000</v>
      </c>
      <c r="F249" s="19">
        <v>44110</v>
      </c>
      <c r="G249" s="3">
        <v>710000</v>
      </c>
      <c r="H249" s="2">
        <v>5.0000000000000001E-3</v>
      </c>
      <c r="I249" s="19">
        <v>44110</v>
      </c>
      <c r="J249" s="19">
        <v>44118</v>
      </c>
      <c r="K249" s="3">
        <f t="shared" si="20"/>
        <v>9</v>
      </c>
      <c r="L249" s="3">
        <f t="shared" si="21"/>
        <v>87</v>
      </c>
      <c r="M249" s="3">
        <v>696000</v>
      </c>
    </row>
    <row r="250" spans="1:13" s="18" customFormat="1" outlineLevel="2">
      <c r="A250" s="19" t="s">
        <v>91</v>
      </c>
      <c r="B250" s="20" t="s">
        <v>48</v>
      </c>
      <c r="C250" s="21" t="s">
        <v>189</v>
      </c>
      <c r="D250" s="20"/>
      <c r="E250" s="3"/>
      <c r="F250" s="19"/>
      <c r="G250" s="3">
        <v>696000</v>
      </c>
      <c r="H250" s="2">
        <v>5.0000000000000001E-3</v>
      </c>
      <c r="I250" s="19">
        <v>44119</v>
      </c>
      <c r="J250" s="19">
        <v>44135</v>
      </c>
      <c r="K250" s="3">
        <f t="shared" si="20"/>
        <v>17</v>
      </c>
      <c r="L250" s="3">
        <f t="shared" si="21"/>
        <v>162</v>
      </c>
      <c r="M250" s="3"/>
    </row>
    <row r="251" spans="1:13" s="18" customFormat="1" ht="13.5" outlineLevel="1">
      <c r="A251" s="22" t="s">
        <v>88</v>
      </c>
      <c r="B251" s="23"/>
      <c r="C251" s="24"/>
      <c r="D251" s="23"/>
      <c r="E251" s="25">
        <f>SUBTOTAL(9,E242:E250)</f>
        <v>326170000</v>
      </c>
      <c r="F251" s="26"/>
      <c r="G251" s="25"/>
      <c r="H251" s="27"/>
      <c r="I251" s="26"/>
      <c r="J251" s="26"/>
      <c r="K251" s="25"/>
      <c r="L251" s="25">
        <f>SUBTOTAL(9,L242:L250)</f>
        <v>120087</v>
      </c>
      <c r="M251" s="25">
        <f>SUBTOTAL(9,M242:M250)</f>
        <v>326126000</v>
      </c>
    </row>
    <row r="252" spans="1:13" s="18" customFormat="1" outlineLevel="2">
      <c r="A252" s="19" t="s">
        <v>207</v>
      </c>
      <c r="B252" s="20" t="s">
        <v>16</v>
      </c>
      <c r="C252" s="21" t="s">
        <v>203</v>
      </c>
      <c r="D252" s="20" t="s">
        <v>202</v>
      </c>
      <c r="E252" s="3">
        <v>50000000</v>
      </c>
      <c r="F252" s="19">
        <v>44099</v>
      </c>
      <c r="G252" s="3">
        <v>50000000</v>
      </c>
      <c r="H252" s="2">
        <v>5.0000000000000001E-3</v>
      </c>
      <c r="I252" s="19">
        <v>44099</v>
      </c>
      <c r="J252" s="19">
        <v>44135</v>
      </c>
      <c r="K252" s="3">
        <f>J252-I252+1</f>
        <v>37</v>
      </c>
      <c r="L252" s="3">
        <f>ROUND(G252*H252*K252/366,0)</f>
        <v>25273</v>
      </c>
      <c r="M252" s="3">
        <v>50000000</v>
      </c>
    </row>
    <row r="253" spans="1:13" s="18" customFormat="1" ht="13.5" outlineLevel="1">
      <c r="A253" s="22" t="s">
        <v>206</v>
      </c>
      <c r="B253" s="23"/>
      <c r="C253" s="24"/>
      <c r="D253" s="23"/>
      <c r="E253" s="25">
        <f>SUBTOTAL(9,E252:E252)</f>
        <v>50000000</v>
      </c>
      <c r="F253" s="26"/>
      <c r="G253" s="25"/>
      <c r="H253" s="27"/>
      <c r="I253" s="26"/>
      <c r="J253" s="26"/>
      <c r="K253" s="25"/>
      <c r="L253" s="25">
        <f>SUBTOTAL(9,L252:L252)</f>
        <v>25273</v>
      </c>
      <c r="M253" s="25">
        <f>SUBTOTAL(9,M252:M252)</f>
        <v>50000000</v>
      </c>
    </row>
    <row r="254" spans="1:13" s="18" customFormat="1" outlineLevel="2">
      <c r="A254" s="19" t="s">
        <v>87</v>
      </c>
      <c r="B254" s="20" t="s">
        <v>16</v>
      </c>
      <c r="C254" s="21" t="s">
        <v>69</v>
      </c>
      <c r="D254" s="20" t="s">
        <v>68</v>
      </c>
      <c r="E254" s="3">
        <v>43200000</v>
      </c>
      <c r="F254" s="19">
        <v>43937</v>
      </c>
      <c r="G254" s="3">
        <v>43200000</v>
      </c>
      <c r="H254" s="2">
        <v>3.0000000000000001E-3</v>
      </c>
      <c r="I254" s="19">
        <v>44105</v>
      </c>
      <c r="J254" s="19">
        <v>44135</v>
      </c>
      <c r="K254" s="3">
        <f>J254-I254+1</f>
        <v>31</v>
      </c>
      <c r="L254" s="3">
        <f>ROUND(G254*H254*K254/366,0)</f>
        <v>10977</v>
      </c>
      <c r="M254" s="3">
        <v>43200000</v>
      </c>
    </row>
    <row r="255" spans="1:13" s="18" customFormat="1" outlineLevel="2">
      <c r="A255" s="19" t="s">
        <v>87</v>
      </c>
      <c r="B255" s="20" t="s">
        <v>23</v>
      </c>
      <c r="C255" s="21" t="s">
        <v>69</v>
      </c>
      <c r="D255" s="20" t="s">
        <v>68</v>
      </c>
      <c r="E255" s="3">
        <v>330000000</v>
      </c>
      <c r="F255" s="19">
        <v>44013</v>
      </c>
      <c r="G255" s="3">
        <v>330000000</v>
      </c>
      <c r="H255" s="2">
        <v>3.0000000000000001E-3</v>
      </c>
      <c r="I255" s="19">
        <v>44105</v>
      </c>
      <c r="J255" s="19">
        <v>44135</v>
      </c>
      <c r="K255" s="3">
        <f>J255-I255+1</f>
        <v>31</v>
      </c>
      <c r="L255" s="3">
        <f>ROUND(G255*H255*K255/366,0)</f>
        <v>83852</v>
      </c>
      <c r="M255" s="3">
        <v>330000000</v>
      </c>
    </row>
    <row r="256" spans="1:13" s="18" customFormat="1" outlineLevel="2">
      <c r="A256" s="19" t="s">
        <v>87</v>
      </c>
      <c r="B256" s="20" t="s">
        <v>29</v>
      </c>
      <c r="C256" s="21" t="s">
        <v>69</v>
      </c>
      <c r="D256" s="20" t="s">
        <v>68</v>
      </c>
      <c r="E256" s="3">
        <v>120000000</v>
      </c>
      <c r="F256" s="19">
        <v>44049</v>
      </c>
      <c r="G256" s="3">
        <v>120000000</v>
      </c>
      <c r="H256" s="2">
        <v>3.0000000000000001E-3</v>
      </c>
      <c r="I256" s="19">
        <v>44105</v>
      </c>
      <c r="J256" s="19">
        <v>44135</v>
      </c>
      <c r="K256" s="3">
        <f>J256-I256+1</f>
        <v>31</v>
      </c>
      <c r="L256" s="3">
        <f>ROUND(G256*H256*K256/366,0)</f>
        <v>30492</v>
      </c>
      <c r="M256" s="3">
        <v>120000000</v>
      </c>
    </row>
    <row r="257" spans="1:13" s="18" customFormat="1" outlineLevel="2">
      <c r="A257" s="19" t="s">
        <v>87</v>
      </c>
      <c r="B257" s="20" t="s">
        <v>30</v>
      </c>
      <c r="C257" s="21" t="s">
        <v>69</v>
      </c>
      <c r="D257" s="20" t="s">
        <v>68</v>
      </c>
      <c r="E257" s="3">
        <v>39840000</v>
      </c>
      <c r="F257" s="19">
        <v>44111</v>
      </c>
      <c r="G257" s="3">
        <v>39840000</v>
      </c>
      <c r="H257" s="2">
        <v>3.0000000000000001E-3</v>
      </c>
      <c r="I257" s="19">
        <v>44111</v>
      </c>
      <c r="J257" s="19">
        <v>44135</v>
      </c>
      <c r="K257" s="3">
        <f>J257-I257+1</f>
        <v>25</v>
      </c>
      <c r="L257" s="3">
        <f>ROUND(G257*H257*K257/366,0)</f>
        <v>8164</v>
      </c>
      <c r="M257" s="3">
        <v>39840000</v>
      </c>
    </row>
    <row r="258" spans="1:13" s="18" customFormat="1" ht="13.5" outlineLevel="1">
      <c r="A258" s="22" t="s">
        <v>86</v>
      </c>
      <c r="B258" s="23"/>
      <c r="C258" s="24"/>
      <c r="D258" s="23"/>
      <c r="E258" s="25">
        <f>SUBTOTAL(9,E254:E257)</f>
        <v>533040000</v>
      </c>
      <c r="F258" s="26"/>
      <c r="G258" s="25"/>
      <c r="H258" s="27"/>
      <c r="I258" s="26"/>
      <c r="J258" s="26"/>
      <c r="K258" s="25"/>
      <c r="L258" s="25">
        <f>SUBTOTAL(9,L254:L257)</f>
        <v>133485</v>
      </c>
      <c r="M258" s="25">
        <f>SUBTOTAL(9,M254:M257)</f>
        <v>533040000</v>
      </c>
    </row>
    <row r="259" spans="1:13" s="18" customFormat="1" outlineLevel="2">
      <c r="A259" s="19" t="s">
        <v>40</v>
      </c>
      <c r="B259" s="20" t="s">
        <v>16</v>
      </c>
      <c r="C259" s="21" t="s">
        <v>41</v>
      </c>
      <c r="D259" s="20" t="s">
        <v>42</v>
      </c>
      <c r="E259" s="3">
        <v>126000000</v>
      </c>
      <c r="F259" s="19">
        <v>43804</v>
      </c>
      <c r="G259" s="3">
        <v>126000000</v>
      </c>
      <c r="H259" s="2">
        <v>5.0000000000000001E-3</v>
      </c>
      <c r="I259" s="19">
        <v>44105</v>
      </c>
      <c r="J259" s="19">
        <v>44135</v>
      </c>
      <c r="K259" s="3">
        <f t="shared" ref="K259:K306" si="22">J259-I259+1</f>
        <v>31</v>
      </c>
      <c r="L259" s="3">
        <f t="shared" ref="L259:L306" si="23">ROUND(G259*H259*K259/366,0)</f>
        <v>53361</v>
      </c>
      <c r="M259" s="3">
        <v>126000000</v>
      </c>
    </row>
    <row r="260" spans="1:13" s="18" customFormat="1" outlineLevel="2">
      <c r="A260" s="19" t="s">
        <v>40</v>
      </c>
      <c r="B260" s="20" t="s">
        <v>61</v>
      </c>
      <c r="C260" s="21" t="s">
        <v>47</v>
      </c>
      <c r="D260" s="20" t="s">
        <v>42</v>
      </c>
      <c r="E260" s="3">
        <v>46600000</v>
      </c>
      <c r="F260" s="19">
        <v>43866</v>
      </c>
      <c r="G260" s="3">
        <v>46600000</v>
      </c>
      <c r="H260" s="2">
        <v>5.0000000000000001E-3</v>
      </c>
      <c r="I260" s="19">
        <v>44105</v>
      </c>
      <c r="J260" s="19">
        <v>44135</v>
      </c>
      <c r="K260" s="3">
        <f t="shared" si="22"/>
        <v>31</v>
      </c>
      <c r="L260" s="3">
        <f t="shared" si="23"/>
        <v>19735</v>
      </c>
      <c r="M260" s="3">
        <v>46600000</v>
      </c>
    </row>
    <row r="261" spans="1:13" s="18" customFormat="1" outlineLevel="2">
      <c r="A261" s="19" t="s">
        <v>40</v>
      </c>
      <c r="B261" s="20" t="s">
        <v>60</v>
      </c>
      <c r="C261" s="21" t="s">
        <v>47</v>
      </c>
      <c r="D261" s="20" t="s">
        <v>42</v>
      </c>
      <c r="E261" s="3">
        <v>1300000</v>
      </c>
      <c r="F261" s="19">
        <v>43866</v>
      </c>
      <c r="G261" s="3">
        <v>1300000</v>
      </c>
      <c r="H261" s="2">
        <v>5.0000000000000001E-3</v>
      </c>
      <c r="I261" s="19">
        <v>44105</v>
      </c>
      <c r="J261" s="19">
        <v>44135</v>
      </c>
      <c r="K261" s="3">
        <f t="shared" si="22"/>
        <v>31</v>
      </c>
      <c r="L261" s="3">
        <f t="shared" si="23"/>
        <v>551</v>
      </c>
      <c r="M261" s="3">
        <v>1300000</v>
      </c>
    </row>
    <row r="262" spans="1:13" s="18" customFormat="1" outlineLevel="2">
      <c r="A262" s="19" t="s">
        <v>40</v>
      </c>
      <c r="B262" s="20" t="s">
        <v>66</v>
      </c>
      <c r="C262" s="21" t="s">
        <v>43</v>
      </c>
      <c r="D262" s="20" t="s">
        <v>44</v>
      </c>
      <c r="E262" s="3">
        <v>9087600</v>
      </c>
      <c r="F262" s="19">
        <v>43901</v>
      </c>
      <c r="G262" s="3">
        <v>9087600</v>
      </c>
      <c r="H262" s="2">
        <v>5.0000000000000001E-3</v>
      </c>
      <c r="I262" s="19">
        <v>44105</v>
      </c>
      <c r="J262" s="19">
        <v>44135</v>
      </c>
      <c r="K262" s="3">
        <f t="shared" si="22"/>
        <v>31</v>
      </c>
      <c r="L262" s="3">
        <f t="shared" si="23"/>
        <v>3849</v>
      </c>
      <c r="M262" s="3">
        <v>9087600</v>
      </c>
    </row>
    <row r="263" spans="1:13" s="18" customFormat="1" outlineLevel="2">
      <c r="A263" s="19" t="s">
        <v>40</v>
      </c>
      <c r="B263" s="20" t="s">
        <v>65</v>
      </c>
      <c r="C263" s="21" t="s">
        <v>43</v>
      </c>
      <c r="D263" s="20" t="s">
        <v>44</v>
      </c>
      <c r="E263" s="3">
        <v>7270080</v>
      </c>
      <c r="F263" s="19">
        <v>43901</v>
      </c>
      <c r="G263" s="3">
        <v>7270080</v>
      </c>
      <c r="H263" s="2">
        <v>5.0000000000000001E-3</v>
      </c>
      <c r="I263" s="19">
        <v>44105</v>
      </c>
      <c r="J263" s="19">
        <v>44135</v>
      </c>
      <c r="K263" s="3">
        <f t="shared" si="22"/>
        <v>31</v>
      </c>
      <c r="L263" s="3">
        <f t="shared" si="23"/>
        <v>3079</v>
      </c>
      <c r="M263" s="3">
        <v>7270080</v>
      </c>
    </row>
    <row r="264" spans="1:13" s="18" customFormat="1" outlineLevel="2">
      <c r="A264" s="19" t="s">
        <v>40</v>
      </c>
      <c r="B264" s="20" t="s">
        <v>64</v>
      </c>
      <c r="C264" s="21" t="s">
        <v>47</v>
      </c>
      <c r="D264" s="20" t="s">
        <v>42</v>
      </c>
      <c r="E264" s="3">
        <v>99400000</v>
      </c>
      <c r="F264" s="19">
        <v>43917</v>
      </c>
      <c r="G264" s="3">
        <v>99400000</v>
      </c>
      <c r="H264" s="2">
        <v>5.0000000000000001E-3</v>
      </c>
      <c r="I264" s="19">
        <v>44105</v>
      </c>
      <c r="J264" s="19">
        <v>44135</v>
      </c>
      <c r="K264" s="3">
        <f t="shared" si="22"/>
        <v>31</v>
      </c>
      <c r="L264" s="3">
        <f t="shared" si="23"/>
        <v>42096</v>
      </c>
      <c r="M264" s="3">
        <v>99400000</v>
      </c>
    </row>
    <row r="265" spans="1:13" s="18" customFormat="1" outlineLevel="2">
      <c r="A265" s="19" t="s">
        <v>40</v>
      </c>
      <c r="B265" s="20" t="s">
        <v>85</v>
      </c>
      <c r="C265" s="21" t="s">
        <v>43</v>
      </c>
      <c r="D265" s="20" t="s">
        <v>44</v>
      </c>
      <c r="E265" s="3">
        <v>9087600</v>
      </c>
      <c r="F265" s="19">
        <v>43929</v>
      </c>
      <c r="G265" s="3">
        <v>9087600</v>
      </c>
      <c r="H265" s="2">
        <v>5.0000000000000001E-3</v>
      </c>
      <c r="I265" s="19">
        <v>44105</v>
      </c>
      <c r="J265" s="19">
        <v>44135</v>
      </c>
      <c r="K265" s="3">
        <f t="shared" si="22"/>
        <v>31</v>
      </c>
      <c r="L265" s="3">
        <f t="shared" si="23"/>
        <v>3849</v>
      </c>
      <c r="M265" s="3">
        <v>9087600</v>
      </c>
    </row>
    <row r="266" spans="1:13" s="18" customFormat="1" outlineLevel="2">
      <c r="A266" s="19" t="s">
        <v>40</v>
      </c>
      <c r="B266" s="20" t="s">
        <v>84</v>
      </c>
      <c r="C266" s="21" t="s">
        <v>43</v>
      </c>
      <c r="D266" s="20" t="s">
        <v>44</v>
      </c>
      <c r="E266" s="3">
        <v>13007640</v>
      </c>
      <c r="F266" s="19">
        <v>43929</v>
      </c>
      <c r="G266" s="3">
        <v>13007640</v>
      </c>
      <c r="H266" s="2">
        <v>5.0000000000000001E-3</v>
      </c>
      <c r="I266" s="19">
        <v>44105</v>
      </c>
      <c r="J266" s="19">
        <v>44135</v>
      </c>
      <c r="K266" s="3">
        <f t="shared" si="22"/>
        <v>31</v>
      </c>
      <c r="L266" s="3">
        <f t="shared" si="23"/>
        <v>5509</v>
      </c>
      <c r="M266" s="3">
        <v>13007640</v>
      </c>
    </row>
    <row r="267" spans="1:13" s="18" customFormat="1" outlineLevel="2">
      <c r="A267" s="19" t="s">
        <v>40</v>
      </c>
      <c r="B267" s="20" t="s">
        <v>83</v>
      </c>
      <c r="C267" s="21" t="s">
        <v>82</v>
      </c>
      <c r="D267" s="20" t="s">
        <v>81</v>
      </c>
      <c r="E267" s="3">
        <v>61668037</v>
      </c>
      <c r="F267" s="19">
        <v>43949</v>
      </c>
      <c r="G267" s="3">
        <v>61668037</v>
      </c>
      <c r="H267" s="2">
        <v>5.0000000000000001E-3</v>
      </c>
      <c r="I267" s="19">
        <v>44105</v>
      </c>
      <c r="J267" s="19">
        <v>44135</v>
      </c>
      <c r="K267" s="3">
        <f t="shared" si="22"/>
        <v>31</v>
      </c>
      <c r="L267" s="3">
        <f t="shared" si="23"/>
        <v>26116</v>
      </c>
      <c r="M267" s="3">
        <v>61668037</v>
      </c>
    </row>
    <row r="268" spans="1:13" s="18" customFormat="1" outlineLevel="2">
      <c r="A268" s="19" t="s">
        <v>40</v>
      </c>
      <c r="B268" s="20" t="s">
        <v>102</v>
      </c>
      <c r="C268" s="21" t="s">
        <v>43</v>
      </c>
      <c r="D268" s="20" t="s">
        <v>44</v>
      </c>
      <c r="E268" s="3">
        <v>13007640</v>
      </c>
      <c r="F268" s="19">
        <v>43964</v>
      </c>
      <c r="G268" s="3">
        <v>13007640</v>
      </c>
      <c r="H268" s="2">
        <v>5.0000000000000001E-3</v>
      </c>
      <c r="I268" s="19">
        <v>44105</v>
      </c>
      <c r="J268" s="19">
        <v>44135</v>
      </c>
      <c r="K268" s="3">
        <f t="shared" si="22"/>
        <v>31</v>
      </c>
      <c r="L268" s="3">
        <f t="shared" si="23"/>
        <v>5509</v>
      </c>
      <c r="M268" s="3">
        <v>13007640</v>
      </c>
    </row>
    <row r="269" spans="1:13" s="18" customFormat="1" outlineLevel="2">
      <c r="A269" s="19" t="s">
        <v>40</v>
      </c>
      <c r="B269" s="20" t="s">
        <v>101</v>
      </c>
      <c r="C269" s="21" t="s">
        <v>43</v>
      </c>
      <c r="D269" s="20" t="s">
        <v>44</v>
      </c>
      <c r="E269" s="3">
        <v>6361320</v>
      </c>
      <c r="F269" s="19">
        <v>43964</v>
      </c>
      <c r="G269" s="3">
        <v>6361320</v>
      </c>
      <c r="H269" s="2">
        <v>5.0000000000000001E-3</v>
      </c>
      <c r="I269" s="19">
        <v>44105</v>
      </c>
      <c r="J269" s="19">
        <v>44135</v>
      </c>
      <c r="K269" s="3">
        <f t="shared" si="22"/>
        <v>31</v>
      </c>
      <c r="L269" s="3">
        <f t="shared" si="23"/>
        <v>2694</v>
      </c>
      <c r="M269" s="3">
        <v>6361320</v>
      </c>
    </row>
    <row r="270" spans="1:13" s="18" customFormat="1" outlineLevel="2">
      <c r="A270" s="19" t="s">
        <v>40</v>
      </c>
      <c r="B270" s="20" t="s">
        <v>23</v>
      </c>
      <c r="C270" s="21" t="s">
        <v>43</v>
      </c>
      <c r="D270" s="20" t="s">
        <v>44</v>
      </c>
      <c r="E270" s="3">
        <v>5452560</v>
      </c>
      <c r="F270" s="19">
        <v>43810</v>
      </c>
      <c r="G270" s="3">
        <v>5452560</v>
      </c>
      <c r="H270" s="2">
        <v>5.0000000000000001E-3</v>
      </c>
      <c r="I270" s="19">
        <v>44105</v>
      </c>
      <c r="J270" s="19">
        <v>44135</v>
      </c>
      <c r="K270" s="3">
        <f t="shared" si="22"/>
        <v>31</v>
      </c>
      <c r="L270" s="3">
        <f t="shared" si="23"/>
        <v>2309</v>
      </c>
      <c r="M270" s="3">
        <v>5452560</v>
      </c>
    </row>
    <row r="271" spans="1:13" s="18" customFormat="1" outlineLevel="2">
      <c r="A271" s="19" t="s">
        <v>40</v>
      </c>
      <c r="B271" s="20" t="s">
        <v>100</v>
      </c>
      <c r="C271" s="21" t="s">
        <v>47</v>
      </c>
      <c r="D271" s="20" t="s">
        <v>42</v>
      </c>
      <c r="E271" s="3">
        <v>69800000</v>
      </c>
      <c r="F271" s="19">
        <v>43956</v>
      </c>
      <c r="G271" s="3">
        <v>69800000</v>
      </c>
      <c r="H271" s="2">
        <v>5.0000000000000001E-3</v>
      </c>
      <c r="I271" s="19">
        <v>44105</v>
      </c>
      <c r="J271" s="19">
        <v>44135</v>
      </c>
      <c r="K271" s="3">
        <f t="shared" si="22"/>
        <v>31</v>
      </c>
      <c r="L271" s="3">
        <f t="shared" si="23"/>
        <v>29560</v>
      </c>
      <c r="M271" s="3">
        <v>69800000</v>
      </c>
    </row>
    <row r="272" spans="1:13" s="18" customFormat="1" outlineLevel="2">
      <c r="A272" s="19" t="s">
        <v>40</v>
      </c>
      <c r="B272" s="20" t="s">
        <v>99</v>
      </c>
      <c r="C272" s="21" t="s">
        <v>47</v>
      </c>
      <c r="D272" s="20" t="s">
        <v>42</v>
      </c>
      <c r="E272" s="3">
        <v>1500000</v>
      </c>
      <c r="F272" s="19">
        <v>43956</v>
      </c>
      <c r="G272" s="3">
        <v>1500000</v>
      </c>
      <c r="H272" s="2">
        <v>5.0000000000000001E-3</v>
      </c>
      <c r="I272" s="19">
        <v>44105</v>
      </c>
      <c r="J272" s="19">
        <v>44135</v>
      </c>
      <c r="K272" s="3">
        <f t="shared" si="22"/>
        <v>31</v>
      </c>
      <c r="L272" s="3">
        <f t="shared" si="23"/>
        <v>635</v>
      </c>
      <c r="M272" s="3">
        <v>1500000</v>
      </c>
    </row>
    <row r="273" spans="1:13" s="18" customFormat="1" outlineLevel="2">
      <c r="A273" s="19" t="s">
        <v>40</v>
      </c>
      <c r="B273" s="20" t="s">
        <v>98</v>
      </c>
      <c r="C273" s="21" t="s">
        <v>97</v>
      </c>
      <c r="D273" s="20" t="s">
        <v>96</v>
      </c>
      <c r="E273" s="3">
        <v>50000000</v>
      </c>
      <c r="F273" s="19">
        <v>43976</v>
      </c>
      <c r="G273" s="3">
        <v>50000000</v>
      </c>
      <c r="H273" s="2">
        <v>5.0000000000000001E-3</v>
      </c>
      <c r="I273" s="19">
        <v>44105</v>
      </c>
      <c r="J273" s="19">
        <v>44135</v>
      </c>
      <c r="K273" s="3">
        <f t="shared" si="22"/>
        <v>31</v>
      </c>
      <c r="L273" s="3">
        <f t="shared" si="23"/>
        <v>21175</v>
      </c>
      <c r="M273" s="3">
        <v>50000000</v>
      </c>
    </row>
    <row r="274" spans="1:13" s="18" customFormat="1" outlineLevel="2">
      <c r="A274" s="19" t="s">
        <v>40</v>
      </c>
      <c r="B274" s="20" t="s">
        <v>122</v>
      </c>
      <c r="C274" s="21" t="s">
        <v>43</v>
      </c>
      <c r="D274" s="20" t="s">
        <v>44</v>
      </c>
      <c r="E274" s="3">
        <v>6657720</v>
      </c>
      <c r="F274" s="19">
        <v>43992</v>
      </c>
      <c r="G274" s="3">
        <v>6657720</v>
      </c>
      <c r="H274" s="2">
        <v>5.0000000000000001E-3</v>
      </c>
      <c r="I274" s="19">
        <v>44105</v>
      </c>
      <c r="J274" s="19">
        <v>44135</v>
      </c>
      <c r="K274" s="3">
        <f t="shared" si="22"/>
        <v>31</v>
      </c>
      <c r="L274" s="3">
        <f t="shared" si="23"/>
        <v>2820</v>
      </c>
      <c r="M274" s="3">
        <v>6657720</v>
      </c>
    </row>
    <row r="275" spans="1:13" s="18" customFormat="1" outlineLevel="2">
      <c r="A275" s="19" t="s">
        <v>40</v>
      </c>
      <c r="B275" s="20" t="s">
        <v>121</v>
      </c>
      <c r="C275" s="21" t="s">
        <v>43</v>
      </c>
      <c r="D275" s="20" t="s">
        <v>44</v>
      </c>
      <c r="E275" s="3">
        <v>6361320</v>
      </c>
      <c r="F275" s="19">
        <v>43992</v>
      </c>
      <c r="G275" s="3">
        <v>6361320</v>
      </c>
      <c r="H275" s="2">
        <v>5.0000000000000001E-3</v>
      </c>
      <c r="I275" s="19">
        <v>44105</v>
      </c>
      <c r="J275" s="19">
        <v>44135</v>
      </c>
      <c r="K275" s="3">
        <f t="shared" si="22"/>
        <v>31</v>
      </c>
      <c r="L275" s="3">
        <f t="shared" si="23"/>
        <v>2694</v>
      </c>
      <c r="M275" s="3">
        <v>6361320</v>
      </c>
    </row>
    <row r="276" spans="1:13" s="18" customFormat="1" outlineLevel="2">
      <c r="A276" s="19" t="s">
        <v>40</v>
      </c>
      <c r="B276" s="20" t="s">
        <v>120</v>
      </c>
      <c r="C276" s="21" t="s">
        <v>47</v>
      </c>
      <c r="D276" s="20" t="s">
        <v>42</v>
      </c>
      <c r="E276" s="3">
        <v>41200000</v>
      </c>
      <c r="F276" s="19">
        <v>43987</v>
      </c>
      <c r="G276" s="3">
        <v>41200000</v>
      </c>
      <c r="H276" s="2">
        <v>5.0000000000000001E-3</v>
      </c>
      <c r="I276" s="19">
        <v>44105</v>
      </c>
      <c r="J276" s="19">
        <v>44135</v>
      </c>
      <c r="K276" s="3">
        <f t="shared" si="22"/>
        <v>31</v>
      </c>
      <c r="L276" s="3">
        <f t="shared" si="23"/>
        <v>17448</v>
      </c>
      <c r="M276" s="3">
        <v>41200000</v>
      </c>
    </row>
    <row r="277" spans="1:13" s="18" customFormat="1" outlineLevel="2">
      <c r="A277" s="19" t="s">
        <v>40</v>
      </c>
      <c r="B277" s="20" t="s">
        <v>147</v>
      </c>
      <c r="C277" s="21" t="s">
        <v>43</v>
      </c>
      <c r="D277" s="20" t="s">
        <v>44</v>
      </c>
      <c r="E277" s="3">
        <v>6657720</v>
      </c>
      <c r="F277" s="19">
        <v>44020</v>
      </c>
      <c r="G277" s="3">
        <v>6657720</v>
      </c>
      <c r="H277" s="2">
        <v>5.0000000000000001E-3</v>
      </c>
      <c r="I277" s="19">
        <v>44105</v>
      </c>
      <c r="J277" s="19">
        <v>44135</v>
      </c>
      <c r="K277" s="3">
        <f t="shared" si="22"/>
        <v>31</v>
      </c>
      <c r="L277" s="3">
        <f t="shared" si="23"/>
        <v>2820</v>
      </c>
      <c r="M277" s="3">
        <v>6657720</v>
      </c>
    </row>
    <row r="278" spans="1:13" s="18" customFormat="1" outlineLevel="2">
      <c r="A278" s="19" t="s">
        <v>40</v>
      </c>
      <c r="B278" s="20" t="s">
        <v>146</v>
      </c>
      <c r="C278" s="21" t="s">
        <v>43</v>
      </c>
      <c r="D278" s="20" t="s">
        <v>44</v>
      </c>
      <c r="E278" s="3">
        <v>6657720</v>
      </c>
      <c r="F278" s="19">
        <v>44020</v>
      </c>
      <c r="G278" s="3">
        <v>6657720</v>
      </c>
      <c r="H278" s="2">
        <v>5.0000000000000001E-3</v>
      </c>
      <c r="I278" s="19">
        <v>44105</v>
      </c>
      <c r="J278" s="19">
        <v>44135</v>
      </c>
      <c r="K278" s="3">
        <f t="shared" si="22"/>
        <v>31</v>
      </c>
      <c r="L278" s="3">
        <f t="shared" si="23"/>
        <v>2820</v>
      </c>
      <c r="M278" s="3">
        <v>6657720</v>
      </c>
    </row>
    <row r="279" spans="1:13" s="18" customFormat="1" outlineLevel="2">
      <c r="A279" s="19" t="s">
        <v>40</v>
      </c>
      <c r="B279" s="20" t="s">
        <v>145</v>
      </c>
      <c r="C279" s="21" t="s">
        <v>47</v>
      </c>
      <c r="D279" s="20" t="s">
        <v>42</v>
      </c>
      <c r="E279" s="3">
        <v>11800000</v>
      </c>
      <c r="F279" s="19">
        <v>44015</v>
      </c>
      <c r="G279" s="3">
        <v>11800000</v>
      </c>
      <c r="H279" s="2">
        <v>5.0000000000000001E-3</v>
      </c>
      <c r="I279" s="19">
        <v>44105</v>
      </c>
      <c r="J279" s="19">
        <v>44135</v>
      </c>
      <c r="K279" s="3">
        <f t="shared" si="22"/>
        <v>31</v>
      </c>
      <c r="L279" s="3">
        <f t="shared" si="23"/>
        <v>4997</v>
      </c>
      <c r="M279" s="3">
        <v>11800000</v>
      </c>
    </row>
    <row r="280" spans="1:13" s="18" customFormat="1" outlineLevel="2">
      <c r="A280" s="19" t="s">
        <v>40</v>
      </c>
      <c r="B280" s="20" t="s">
        <v>144</v>
      </c>
      <c r="C280" s="21" t="s">
        <v>47</v>
      </c>
      <c r="D280" s="20" t="s">
        <v>42</v>
      </c>
      <c r="E280" s="3">
        <v>2600000</v>
      </c>
      <c r="F280" s="19">
        <v>44015</v>
      </c>
      <c r="G280" s="3">
        <v>2600000</v>
      </c>
      <c r="H280" s="2">
        <v>5.0000000000000001E-3</v>
      </c>
      <c r="I280" s="19">
        <v>44105</v>
      </c>
      <c r="J280" s="19">
        <v>44135</v>
      </c>
      <c r="K280" s="3">
        <f t="shared" si="22"/>
        <v>31</v>
      </c>
      <c r="L280" s="3">
        <f t="shared" si="23"/>
        <v>1101</v>
      </c>
      <c r="M280" s="3">
        <v>2600000</v>
      </c>
    </row>
    <row r="281" spans="1:13" s="18" customFormat="1" outlineLevel="2">
      <c r="A281" s="19" t="s">
        <v>40</v>
      </c>
      <c r="B281" s="20" t="s">
        <v>29</v>
      </c>
      <c r="C281" s="21" t="s">
        <v>45</v>
      </c>
      <c r="D281" s="20" t="s">
        <v>46</v>
      </c>
      <c r="E281" s="3">
        <v>220000000</v>
      </c>
      <c r="F281" s="19">
        <v>43815</v>
      </c>
      <c r="G281" s="3">
        <v>220000000</v>
      </c>
      <c r="H281" s="2">
        <v>5.0000000000000001E-3</v>
      </c>
      <c r="I281" s="19">
        <v>44105</v>
      </c>
      <c r="J281" s="19">
        <v>44135</v>
      </c>
      <c r="K281" s="3">
        <f t="shared" si="22"/>
        <v>31</v>
      </c>
      <c r="L281" s="3">
        <f t="shared" si="23"/>
        <v>93169</v>
      </c>
      <c r="M281" s="3">
        <v>220000000</v>
      </c>
    </row>
    <row r="282" spans="1:13" s="18" customFormat="1" outlineLevel="2">
      <c r="A282" s="19" t="s">
        <v>40</v>
      </c>
      <c r="B282" s="20" t="s">
        <v>143</v>
      </c>
      <c r="C282" s="21" t="s">
        <v>27</v>
      </c>
      <c r="D282" s="20" t="s">
        <v>28</v>
      </c>
      <c r="E282" s="3">
        <v>10400000</v>
      </c>
      <c r="F282" s="19">
        <v>44033</v>
      </c>
      <c r="G282" s="3">
        <v>10400000</v>
      </c>
      <c r="H282" s="2">
        <v>5.0000000000000001E-3</v>
      </c>
      <c r="I282" s="19">
        <v>44105</v>
      </c>
      <c r="J282" s="19">
        <v>44135</v>
      </c>
      <c r="K282" s="3">
        <f t="shared" si="22"/>
        <v>31</v>
      </c>
      <c r="L282" s="3">
        <f t="shared" si="23"/>
        <v>4404</v>
      </c>
      <c r="M282" s="3">
        <v>10400000</v>
      </c>
    </row>
    <row r="283" spans="1:13" s="18" customFormat="1" outlineLevel="2">
      <c r="A283" s="19" t="s">
        <v>40</v>
      </c>
      <c r="B283" s="20" t="s">
        <v>142</v>
      </c>
      <c r="C283" s="21" t="s">
        <v>141</v>
      </c>
      <c r="D283" s="20" t="s">
        <v>140</v>
      </c>
      <c r="E283" s="3">
        <v>28200000</v>
      </c>
      <c r="F283" s="19">
        <v>44027</v>
      </c>
      <c r="G283" s="3">
        <v>28200000</v>
      </c>
      <c r="H283" s="2">
        <v>5.0000000000000001E-3</v>
      </c>
      <c r="I283" s="19">
        <v>44105</v>
      </c>
      <c r="J283" s="19">
        <v>44135</v>
      </c>
      <c r="K283" s="3">
        <f t="shared" si="22"/>
        <v>31</v>
      </c>
      <c r="L283" s="3">
        <f t="shared" si="23"/>
        <v>11943</v>
      </c>
      <c r="M283" s="3">
        <v>28200000</v>
      </c>
    </row>
    <row r="284" spans="1:13" s="18" customFormat="1" outlineLevel="2">
      <c r="A284" s="19" t="s">
        <v>40</v>
      </c>
      <c r="B284" s="20" t="s">
        <v>152</v>
      </c>
      <c r="C284" s="21" t="s">
        <v>43</v>
      </c>
      <c r="D284" s="20" t="s">
        <v>44</v>
      </c>
      <c r="E284" s="3">
        <v>6657720</v>
      </c>
      <c r="F284" s="19">
        <v>44055</v>
      </c>
      <c r="G284" s="3">
        <v>6657720</v>
      </c>
      <c r="H284" s="2">
        <v>5.0000000000000001E-3</v>
      </c>
      <c r="I284" s="19">
        <v>44105</v>
      </c>
      <c r="J284" s="19">
        <v>44135</v>
      </c>
      <c r="K284" s="3">
        <f t="shared" si="22"/>
        <v>31</v>
      </c>
      <c r="L284" s="3">
        <f t="shared" si="23"/>
        <v>2820</v>
      </c>
      <c r="M284" s="3">
        <v>6657720</v>
      </c>
    </row>
    <row r="285" spans="1:13" s="18" customFormat="1" outlineLevel="2">
      <c r="A285" s="19" t="s">
        <v>40</v>
      </c>
      <c r="B285" s="20" t="s">
        <v>168</v>
      </c>
      <c r="C285" s="21" t="s">
        <v>43</v>
      </c>
      <c r="D285" s="20" t="s">
        <v>44</v>
      </c>
      <c r="E285" s="3">
        <v>6714720</v>
      </c>
      <c r="F285" s="19">
        <v>44055</v>
      </c>
      <c r="G285" s="3">
        <v>6714720</v>
      </c>
      <c r="H285" s="2">
        <v>5.0000000000000001E-3</v>
      </c>
      <c r="I285" s="19">
        <v>44105</v>
      </c>
      <c r="J285" s="19">
        <v>44135</v>
      </c>
      <c r="K285" s="3">
        <f t="shared" si="22"/>
        <v>31</v>
      </c>
      <c r="L285" s="3">
        <f t="shared" si="23"/>
        <v>2844</v>
      </c>
      <c r="M285" s="3">
        <v>6714720</v>
      </c>
    </row>
    <row r="286" spans="1:13" s="18" customFormat="1" outlineLevel="2">
      <c r="A286" s="19" t="s">
        <v>40</v>
      </c>
      <c r="B286" s="20" t="s">
        <v>167</v>
      </c>
      <c r="C286" s="21" t="s">
        <v>47</v>
      </c>
      <c r="D286" s="20" t="s">
        <v>42</v>
      </c>
      <c r="E286" s="3">
        <v>47630000</v>
      </c>
      <c r="F286" s="19">
        <v>44048</v>
      </c>
      <c r="G286" s="3">
        <v>47630000</v>
      </c>
      <c r="H286" s="2">
        <v>5.0000000000000001E-3</v>
      </c>
      <c r="I286" s="19">
        <v>44105</v>
      </c>
      <c r="J286" s="19">
        <v>44135</v>
      </c>
      <c r="K286" s="3">
        <f t="shared" si="22"/>
        <v>31</v>
      </c>
      <c r="L286" s="3">
        <f t="shared" si="23"/>
        <v>20171</v>
      </c>
      <c r="M286" s="3">
        <v>47630000</v>
      </c>
    </row>
    <row r="287" spans="1:13" s="18" customFormat="1" outlineLevel="2">
      <c r="A287" s="19" t="s">
        <v>40</v>
      </c>
      <c r="B287" s="20" t="s">
        <v>166</v>
      </c>
      <c r="C287" s="21" t="s">
        <v>47</v>
      </c>
      <c r="D287" s="20" t="s">
        <v>42</v>
      </c>
      <c r="E287" s="3">
        <v>1970000</v>
      </c>
      <c r="F287" s="19">
        <v>44048</v>
      </c>
      <c r="G287" s="3">
        <v>1970000</v>
      </c>
      <c r="H287" s="2">
        <v>5.0000000000000001E-3</v>
      </c>
      <c r="I287" s="19">
        <v>44105</v>
      </c>
      <c r="J287" s="19">
        <v>44135</v>
      </c>
      <c r="K287" s="3">
        <f t="shared" si="22"/>
        <v>31</v>
      </c>
      <c r="L287" s="3">
        <f t="shared" si="23"/>
        <v>834</v>
      </c>
      <c r="M287" s="3">
        <v>1970000</v>
      </c>
    </row>
    <row r="288" spans="1:13" s="18" customFormat="1" outlineLevel="2">
      <c r="A288" s="19" t="s">
        <v>40</v>
      </c>
      <c r="B288" s="20" t="s">
        <v>165</v>
      </c>
      <c r="C288" s="21" t="s">
        <v>164</v>
      </c>
      <c r="D288" s="20" t="s">
        <v>163</v>
      </c>
      <c r="E288" s="3">
        <v>27700000</v>
      </c>
      <c r="F288" s="19">
        <v>44071</v>
      </c>
      <c r="G288" s="3">
        <v>27700000</v>
      </c>
      <c r="H288" s="2">
        <v>5.0000000000000001E-3</v>
      </c>
      <c r="I288" s="19">
        <v>44105</v>
      </c>
      <c r="J288" s="19">
        <v>44135</v>
      </c>
      <c r="K288" s="3">
        <f t="shared" si="22"/>
        <v>31</v>
      </c>
      <c r="L288" s="3">
        <f t="shared" si="23"/>
        <v>11731</v>
      </c>
      <c r="M288" s="3">
        <v>27700000</v>
      </c>
    </row>
    <row r="289" spans="1:13" s="18" customFormat="1" outlineLevel="2">
      <c r="A289" s="19" t="s">
        <v>40</v>
      </c>
      <c r="B289" s="20" t="s">
        <v>180</v>
      </c>
      <c r="C289" s="21" t="s">
        <v>43</v>
      </c>
      <c r="D289" s="20" t="s">
        <v>44</v>
      </c>
      <c r="E289" s="3">
        <v>6714720</v>
      </c>
      <c r="F289" s="19">
        <v>44083</v>
      </c>
      <c r="G289" s="3">
        <v>6714720</v>
      </c>
      <c r="H289" s="2">
        <v>5.0000000000000001E-3</v>
      </c>
      <c r="I289" s="19">
        <v>44105</v>
      </c>
      <c r="J289" s="19">
        <v>44135</v>
      </c>
      <c r="K289" s="3">
        <f t="shared" si="22"/>
        <v>31</v>
      </c>
      <c r="L289" s="3">
        <f t="shared" si="23"/>
        <v>2844</v>
      </c>
      <c r="M289" s="3">
        <v>6714720</v>
      </c>
    </row>
    <row r="290" spans="1:13" s="18" customFormat="1" outlineLevel="2">
      <c r="A290" s="19" t="s">
        <v>40</v>
      </c>
      <c r="B290" s="20" t="s">
        <v>179</v>
      </c>
      <c r="C290" s="21" t="s">
        <v>43</v>
      </c>
      <c r="D290" s="20" t="s">
        <v>44</v>
      </c>
      <c r="E290" s="3">
        <v>5805960</v>
      </c>
      <c r="F290" s="19">
        <v>44083</v>
      </c>
      <c r="G290" s="3">
        <v>5805960</v>
      </c>
      <c r="H290" s="2">
        <v>5.0000000000000001E-3</v>
      </c>
      <c r="I290" s="19">
        <v>44105</v>
      </c>
      <c r="J290" s="19">
        <v>44135</v>
      </c>
      <c r="K290" s="3">
        <f t="shared" si="22"/>
        <v>31</v>
      </c>
      <c r="L290" s="3">
        <f t="shared" si="23"/>
        <v>2459</v>
      </c>
      <c r="M290" s="3">
        <v>5805960</v>
      </c>
    </row>
    <row r="291" spans="1:13" s="18" customFormat="1" outlineLevel="2">
      <c r="A291" s="19" t="s">
        <v>40</v>
      </c>
      <c r="B291" s="20" t="s">
        <v>178</v>
      </c>
      <c r="C291" s="21" t="s">
        <v>47</v>
      </c>
      <c r="D291" s="20" t="s">
        <v>42</v>
      </c>
      <c r="E291" s="3">
        <v>19100000</v>
      </c>
      <c r="F291" s="19">
        <v>44078</v>
      </c>
      <c r="G291" s="3">
        <v>19100000</v>
      </c>
      <c r="H291" s="2">
        <v>5.0000000000000001E-3</v>
      </c>
      <c r="I291" s="19">
        <v>44105</v>
      </c>
      <c r="J291" s="19">
        <v>44135</v>
      </c>
      <c r="K291" s="3">
        <f t="shared" si="22"/>
        <v>31</v>
      </c>
      <c r="L291" s="3">
        <f t="shared" si="23"/>
        <v>8089</v>
      </c>
      <c r="M291" s="3">
        <v>19100000</v>
      </c>
    </row>
    <row r="292" spans="1:13" s="18" customFormat="1" outlineLevel="2">
      <c r="A292" s="19" t="s">
        <v>40</v>
      </c>
      <c r="B292" s="20" t="s">
        <v>30</v>
      </c>
      <c r="C292" s="21" t="s">
        <v>43</v>
      </c>
      <c r="D292" s="20" t="s">
        <v>44</v>
      </c>
      <c r="E292" s="3">
        <v>5452560</v>
      </c>
      <c r="F292" s="19">
        <v>43838</v>
      </c>
      <c r="G292" s="3">
        <v>5452560</v>
      </c>
      <c r="H292" s="2">
        <v>5.0000000000000001E-3</v>
      </c>
      <c r="I292" s="19">
        <v>44105</v>
      </c>
      <c r="J292" s="19">
        <v>44135</v>
      </c>
      <c r="K292" s="3">
        <f t="shared" si="22"/>
        <v>31</v>
      </c>
      <c r="L292" s="3">
        <f t="shared" si="23"/>
        <v>2309</v>
      </c>
      <c r="M292" s="3">
        <v>5452560</v>
      </c>
    </row>
    <row r="293" spans="1:13" s="18" customFormat="1" outlineLevel="2">
      <c r="A293" s="19" t="s">
        <v>40</v>
      </c>
      <c r="B293" s="20" t="s">
        <v>177</v>
      </c>
      <c r="C293" s="21" t="s">
        <v>97</v>
      </c>
      <c r="D293" s="20" t="s">
        <v>96</v>
      </c>
      <c r="E293" s="3">
        <v>31000000</v>
      </c>
      <c r="F293" s="19">
        <v>44102</v>
      </c>
      <c r="G293" s="3">
        <v>31000000</v>
      </c>
      <c r="H293" s="2">
        <v>5.0000000000000001E-3</v>
      </c>
      <c r="I293" s="19">
        <v>44105</v>
      </c>
      <c r="J293" s="19">
        <v>44135</v>
      </c>
      <c r="K293" s="3">
        <f t="shared" si="22"/>
        <v>31</v>
      </c>
      <c r="L293" s="3">
        <f t="shared" si="23"/>
        <v>13128</v>
      </c>
      <c r="M293" s="3">
        <v>31000000</v>
      </c>
    </row>
    <row r="294" spans="1:13" s="18" customFormat="1" outlineLevel="2">
      <c r="A294" s="19" t="s">
        <v>40</v>
      </c>
      <c r="B294" s="20" t="s">
        <v>176</v>
      </c>
      <c r="C294" s="21" t="s">
        <v>27</v>
      </c>
      <c r="D294" s="20" t="s">
        <v>28</v>
      </c>
      <c r="E294" s="3">
        <v>10700000</v>
      </c>
      <c r="F294" s="19">
        <v>44104</v>
      </c>
      <c r="G294" s="3">
        <v>10700000</v>
      </c>
      <c r="H294" s="2">
        <v>5.0000000000000001E-3</v>
      </c>
      <c r="I294" s="19">
        <v>44105</v>
      </c>
      <c r="J294" s="19">
        <v>44135</v>
      </c>
      <c r="K294" s="3">
        <f t="shared" si="22"/>
        <v>31</v>
      </c>
      <c r="L294" s="3">
        <f t="shared" si="23"/>
        <v>4531</v>
      </c>
      <c r="M294" s="3">
        <v>10700000</v>
      </c>
    </row>
    <row r="295" spans="1:13" s="18" customFormat="1" outlineLevel="2">
      <c r="A295" s="19" t="s">
        <v>40</v>
      </c>
      <c r="B295" s="20" t="s">
        <v>173</v>
      </c>
      <c r="C295" s="21" t="s">
        <v>187</v>
      </c>
      <c r="D295" s="20" t="s">
        <v>186</v>
      </c>
      <c r="E295" s="3">
        <v>1000000000</v>
      </c>
      <c r="F295" s="19">
        <v>44102</v>
      </c>
      <c r="G295" s="3">
        <v>1000000000</v>
      </c>
      <c r="H295" s="2">
        <v>5.0000000000000001E-3</v>
      </c>
      <c r="I295" s="19">
        <v>44105</v>
      </c>
      <c r="J295" s="19">
        <v>44135</v>
      </c>
      <c r="K295" s="3">
        <f t="shared" si="22"/>
        <v>31</v>
      </c>
      <c r="L295" s="3">
        <f t="shared" si="23"/>
        <v>423497</v>
      </c>
      <c r="M295" s="3">
        <v>1000000000</v>
      </c>
    </row>
    <row r="296" spans="1:13" s="18" customFormat="1" outlineLevel="2">
      <c r="A296" s="19" t="s">
        <v>40</v>
      </c>
      <c r="B296" s="20" t="s">
        <v>172</v>
      </c>
      <c r="C296" s="21" t="s">
        <v>43</v>
      </c>
      <c r="D296" s="20" t="s">
        <v>44</v>
      </c>
      <c r="E296" s="3">
        <v>5805960</v>
      </c>
      <c r="F296" s="19">
        <v>44111</v>
      </c>
      <c r="G296" s="3">
        <v>5805960</v>
      </c>
      <c r="H296" s="2">
        <v>5.0000000000000001E-3</v>
      </c>
      <c r="I296" s="19">
        <v>44111</v>
      </c>
      <c r="J296" s="19">
        <v>44135</v>
      </c>
      <c r="K296" s="3">
        <f t="shared" si="22"/>
        <v>25</v>
      </c>
      <c r="L296" s="3">
        <f t="shared" si="23"/>
        <v>1983</v>
      </c>
      <c r="M296" s="3">
        <v>5805960</v>
      </c>
    </row>
    <row r="297" spans="1:13" s="18" customFormat="1" outlineLevel="2">
      <c r="A297" s="19" t="s">
        <v>40</v>
      </c>
      <c r="B297" s="20" t="s">
        <v>171</v>
      </c>
      <c r="C297" s="21" t="s">
        <v>43</v>
      </c>
      <c r="D297" s="20" t="s">
        <v>44</v>
      </c>
      <c r="E297" s="3">
        <v>5805960</v>
      </c>
      <c r="F297" s="19">
        <v>44111</v>
      </c>
      <c r="G297" s="3">
        <v>5805960</v>
      </c>
      <c r="H297" s="2">
        <v>5.0000000000000001E-3</v>
      </c>
      <c r="I297" s="19">
        <v>44111</v>
      </c>
      <c r="J297" s="19">
        <v>44135</v>
      </c>
      <c r="K297" s="3">
        <f t="shared" si="22"/>
        <v>25</v>
      </c>
      <c r="L297" s="3">
        <f t="shared" si="23"/>
        <v>1983</v>
      </c>
      <c r="M297" s="3">
        <v>5805960</v>
      </c>
    </row>
    <row r="298" spans="1:13" s="18" customFormat="1" outlineLevel="2">
      <c r="A298" s="19" t="s">
        <v>40</v>
      </c>
      <c r="B298" s="20" t="s">
        <v>201</v>
      </c>
      <c r="C298" s="21" t="s">
        <v>47</v>
      </c>
      <c r="D298" s="20" t="s">
        <v>42</v>
      </c>
      <c r="E298" s="3">
        <v>18400000</v>
      </c>
      <c r="F298" s="19">
        <v>44109</v>
      </c>
      <c r="G298" s="3">
        <v>18400000</v>
      </c>
      <c r="H298" s="2">
        <v>5.0000000000000001E-3</v>
      </c>
      <c r="I298" s="19">
        <v>44109</v>
      </c>
      <c r="J298" s="19">
        <v>44135</v>
      </c>
      <c r="K298" s="3">
        <f t="shared" si="22"/>
        <v>27</v>
      </c>
      <c r="L298" s="3">
        <f t="shared" si="23"/>
        <v>6787</v>
      </c>
      <c r="M298" s="3">
        <v>18400000</v>
      </c>
    </row>
    <row r="299" spans="1:13" s="18" customFormat="1" outlineLevel="2">
      <c r="A299" s="19" t="s">
        <v>40</v>
      </c>
      <c r="B299" s="20" t="s">
        <v>200</v>
      </c>
      <c r="C299" s="21" t="s">
        <v>47</v>
      </c>
      <c r="D299" s="20" t="s">
        <v>42</v>
      </c>
      <c r="E299" s="3">
        <v>1500000</v>
      </c>
      <c r="F299" s="19">
        <v>44109</v>
      </c>
      <c r="G299" s="3">
        <v>1500000</v>
      </c>
      <c r="H299" s="2">
        <v>5.0000000000000001E-3</v>
      </c>
      <c r="I299" s="19">
        <v>44109</v>
      </c>
      <c r="J299" s="19">
        <v>44135</v>
      </c>
      <c r="K299" s="3">
        <f t="shared" si="22"/>
        <v>27</v>
      </c>
      <c r="L299" s="3">
        <f t="shared" si="23"/>
        <v>553</v>
      </c>
      <c r="M299" s="3">
        <v>1500000</v>
      </c>
    </row>
    <row r="300" spans="1:13" s="18" customFormat="1" outlineLevel="2">
      <c r="A300" s="19" t="s">
        <v>40</v>
      </c>
      <c r="B300" s="20" t="s">
        <v>199</v>
      </c>
      <c r="C300" s="21" t="s">
        <v>115</v>
      </c>
      <c r="D300" s="20" t="s">
        <v>114</v>
      </c>
      <c r="E300" s="3">
        <v>3480000</v>
      </c>
      <c r="F300" s="19">
        <v>44125</v>
      </c>
      <c r="G300" s="3">
        <v>3480000</v>
      </c>
      <c r="H300" s="2">
        <v>5.0000000000000001E-3</v>
      </c>
      <c r="I300" s="19">
        <v>44125</v>
      </c>
      <c r="J300" s="19">
        <v>44135</v>
      </c>
      <c r="K300" s="3">
        <f t="shared" si="22"/>
        <v>11</v>
      </c>
      <c r="L300" s="3">
        <f t="shared" si="23"/>
        <v>523</v>
      </c>
      <c r="M300" s="3">
        <v>3480000</v>
      </c>
    </row>
    <row r="301" spans="1:13" s="18" customFormat="1" outlineLevel="2">
      <c r="A301" s="19" t="s">
        <v>40</v>
      </c>
      <c r="B301" s="20" t="s">
        <v>198</v>
      </c>
      <c r="C301" s="21" t="s">
        <v>82</v>
      </c>
      <c r="D301" s="20" t="s">
        <v>81</v>
      </c>
      <c r="E301" s="3">
        <v>32000000</v>
      </c>
      <c r="F301" s="19">
        <v>44133</v>
      </c>
      <c r="G301" s="3">
        <v>32000000</v>
      </c>
      <c r="H301" s="2">
        <v>5.0000000000000001E-3</v>
      </c>
      <c r="I301" s="19">
        <v>44133</v>
      </c>
      <c r="J301" s="19">
        <v>44135</v>
      </c>
      <c r="K301" s="3">
        <f t="shared" si="22"/>
        <v>3</v>
      </c>
      <c r="L301" s="3">
        <f t="shared" si="23"/>
        <v>1311</v>
      </c>
      <c r="M301" s="3">
        <v>32000000</v>
      </c>
    </row>
    <row r="302" spans="1:13" s="18" customFormat="1" outlineLevel="2">
      <c r="A302" s="19" t="s">
        <v>40</v>
      </c>
      <c r="B302" s="20" t="s">
        <v>31</v>
      </c>
      <c r="C302" s="21" t="s">
        <v>43</v>
      </c>
      <c r="D302" s="20" t="s">
        <v>44</v>
      </c>
      <c r="E302" s="3">
        <v>5452560</v>
      </c>
      <c r="F302" s="19">
        <v>43838</v>
      </c>
      <c r="G302" s="3">
        <v>5452560</v>
      </c>
      <c r="H302" s="2">
        <v>5.0000000000000001E-3</v>
      </c>
      <c r="I302" s="19">
        <v>44105</v>
      </c>
      <c r="J302" s="19">
        <v>44135</v>
      </c>
      <c r="K302" s="3">
        <f t="shared" si="22"/>
        <v>31</v>
      </c>
      <c r="L302" s="3">
        <f t="shared" si="23"/>
        <v>2309</v>
      </c>
      <c r="M302" s="3">
        <v>5452560</v>
      </c>
    </row>
    <row r="303" spans="1:13" s="18" customFormat="1" outlineLevel="2">
      <c r="A303" s="19" t="s">
        <v>40</v>
      </c>
      <c r="B303" s="20" t="s">
        <v>32</v>
      </c>
      <c r="C303" s="21" t="s">
        <v>47</v>
      </c>
      <c r="D303" s="20" t="s">
        <v>42</v>
      </c>
      <c r="E303" s="3">
        <v>55600000</v>
      </c>
      <c r="F303" s="19">
        <v>43833</v>
      </c>
      <c r="G303" s="3">
        <v>55600000</v>
      </c>
      <c r="H303" s="2">
        <v>5.0000000000000001E-3</v>
      </c>
      <c r="I303" s="19">
        <v>44105</v>
      </c>
      <c r="J303" s="19">
        <v>44135</v>
      </c>
      <c r="K303" s="3">
        <f t="shared" si="22"/>
        <v>31</v>
      </c>
      <c r="L303" s="3">
        <f t="shared" si="23"/>
        <v>23546</v>
      </c>
      <c r="M303" s="3">
        <v>55600000</v>
      </c>
    </row>
    <row r="304" spans="1:13" s="18" customFormat="1" outlineLevel="2">
      <c r="A304" s="19" t="s">
        <v>40</v>
      </c>
      <c r="B304" s="20" t="s">
        <v>48</v>
      </c>
      <c r="C304" s="21" t="s">
        <v>47</v>
      </c>
      <c r="D304" s="20" t="s">
        <v>42</v>
      </c>
      <c r="E304" s="3">
        <v>28400000</v>
      </c>
      <c r="F304" s="19">
        <v>43833</v>
      </c>
      <c r="G304" s="3">
        <v>28400000</v>
      </c>
      <c r="H304" s="2">
        <v>5.0000000000000001E-3</v>
      </c>
      <c r="I304" s="19">
        <v>44105</v>
      </c>
      <c r="J304" s="19">
        <v>44135</v>
      </c>
      <c r="K304" s="3">
        <f t="shared" si="22"/>
        <v>31</v>
      </c>
      <c r="L304" s="3">
        <f t="shared" si="23"/>
        <v>12027</v>
      </c>
      <c r="M304" s="3">
        <v>28400000</v>
      </c>
    </row>
    <row r="305" spans="1:13" s="18" customFormat="1" outlineLevel="2">
      <c r="A305" s="19" t="s">
        <v>40</v>
      </c>
      <c r="B305" s="20" t="s">
        <v>59</v>
      </c>
      <c r="C305" s="21" t="s">
        <v>43</v>
      </c>
      <c r="D305" s="20" t="s">
        <v>44</v>
      </c>
      <c r="E305" s="3">
        <v>5452560</v>
      </c>
      <c r="F305" s="19">
        <v>43873</v>
      </c>
      <c r="G305" s="3">
        <v>5452560</v>
      </c>
      <c r="H305" s="2">
        <v>5.0000000000000001E-3</v>
      </c>
      <c r="I305" s="19">
        <v>44105</v>
      </c>
      <c r="J305" s="19">
        <v>44135</v>
      </c>
      <c r="K305" s="3">
        <f t="shared" si="22"/>
        <v>31</v>
      </c>
      <c r="L305" s="3">
        <f t="shared" si="23"/>
        <v>2309</v>
      </c>
      <c r="M305" s="3">
        <v>5452560</v>
      </c>
    </row>
    <row r="306" spans="1:13" s="18" customFormat="1" outlineLevel="2">
      <c r="A306" s="19" t="s">
        <v>40</v>
      </c>
      <c r="B306" s="20" t="s">
        <v>58</v>
      </c>
      <c r="C306" s="21" t="s">
        <v>43</v>
      </c>
      <c r="D306" s="20" t="s">
        <v>44</v>
      </c>
      <c r="E306" s="3">
        <v>7270080</v>
      </c>
      <c r="F306" s="19">
        <v>43873</v>
      </c>
      <c r="G306" s="3">
        <v>7270080</v>
      </c>
      <c r="H306" s="2">
        <v>5.0000000000000001E-3</v>
      </c>
      <c r="I306" s="19">
        <v>44105</v>
      </c>
      <c r="J306" s="19">
        <v>44135</v>
      </c>
      <c r="K306" s="3">
        <f t="shared" si="22"/>
        <v>31</v>
      </c>
      <c r="L306" s="3">
        <f t="shared" si="23"/>
        <v>3079</v>
      </c>
      <c r="M306" s="3">
        <v>7270080</v>
      </c>
    </row>
    <row r="307" spans="1:13" s="18" customFormat="1" ht="13.5" outlineLevel="1">
      <c r="A307" s="22" t="s">
        <v>49</v>
      </c>
      <c r="B307" s="23"/>
      <c r="C307" s="24"/>
      <c r="D307" s="23"/>
      <c r="E307" s="25">
        <f>SUBTOTAL(9,E259:E306)</f>
        <v>2198689757</v>
      </c>
      <c r="F307" s="26"/>
      <c r="G307" s="25"/>
      <c r="H307" s="27"/>
      <c r="I307" s="26"/>
      <c r="J307" s="26"/>
      <c r="K307" s="25"/>
      <c r="L307" s="25">
        <f>SUBTOTAL(9,L259:L306)</f>
        <v>915910</v>
      </c>
      <c r="M307" s="25">
        <f>SUBTOTAL(9,M259:M306)</f>
        <v>2198689757</v>
      </c>
    </row>
    <row r="308" spans="1:13" s="18" customFormat="1" outlineLevel="2">
      <c r="A308" s="19" t="s">
        <v>119</v>
      </c>
      <c r="B308" s="20" t="s">
        <v>16</v>
      </c>
      <c r="C308" s="21" t="s">
        <v>97</v>
      </c>
      <c r="D308" s="20" t="s">
        <v>96</v>
      </c>
      <c r="E308" s="3">
        <v>20000000</v>
      </c>
      <c r="F308" s="19">
        <v>43985</v>
      </c>
      <c r="G308" s="3">
        <v>20000000</v>
      </c>
      <c r="H308" s="2">
        <v>5.0000000000000001E-3</v>
      </c>
      <c r="I308" s="19">
        <v>44105</v>
      </c>
      <c r="J308" s="19">
        <v>44135</v>
      </c>
      <c r="K308" s="3">
        <f>J308-I308+1</f>
        <v>31</v>
      </c>
      <c r="L308" s="3">
        <f>ROUND(G308*H308*K308/366,0)</f>
        <v>8470</v>
      </c>
      <c r="M308" s="3">
        <v>20000000</v>
      </c>
    </row>
    <row r="309" spans="1:13" s="18" customFormat="1" outlineLevel="2">
      <c r="A309" s="19" t="s">
        <v>119</v>
      </c>
      <c r="B309" s="20" t="s">
        <v>23</v>
      </c>
      <c r="C309" s="21" t="s">
        <v>97</v>
      </c>
      <c r="D309" s="20" t="s">
        <v>96</v>
      </c>
      <c r="E309" s="3">
        <v>13800000</v>
      </c>
      <c r="F309" s="19">
        <v>44034</v>
      </c>
      <c r="G309" s="3">
        <v>13800000</v>
      </c>
      <c r="H309" s="2">
        <v>5.0000000000000001E-3</v>
      </c>
      <c r="I309" s="19">
        <v>44105</v>
      </c>
      <c r="J309" s="19">
        <v>44135</v>
      </c>
      <c r="K309" s="3">
        <f>J309-I309+1</f>
        <v>31</v>
      </c>
      <c r="L309" s="3">
        <f>ROUND(G309*H309*K309/366,0)</f>
        <v>5844</v>
      </c>
      <c r="M309" s="3">
        <v>13800000</v>
      </c>
    </row>
    <row r="310" spans="1:13" s="18" customFormat="1" outlineLevel="2">
      <c r="A310" s="19" t="s">
        <v>119</v>
      </c>
      <c r="B310" s="20" t="s">
        <v>29</v>
      </c>
      <c r="C310" s="21" t="s">
        <v>97</v>
      </c>
      <c r="D310" s="20" t="s">
        <v>96</v>
      </c>
      <c r="E310" s="3">
        <v>25000000</v>
      </c>
      <c r="F310" s="19">
        <v>44102</v>
      </c>
      <c r="G310" s="3">
        <v>25000000</v>
      </c>
      <c r="H310" s="2">
        <v>5.0000000000000001E-3</v>
      </c>
      <c r="I310" s="19">
        <v>44105</v>
      </c>
      <c r="J310" s="19">
        <v>44135</v>
      </c>
      <c r="K310" s="3">
        <f>J310-I310+1</f>
        <v>31</v>
      </c>
      <c r="L310" s="3">
        <f>ROUND(G310*H310*K310/366,0)</f>
        <v>10587</v>
      </c>
      <c r="M310" s="3">
        <v>25000000</v>
      </c>
    </row>
    <row r="311" spans="1:13" s="18" customFormat="1" outlineLevel="2">
      <c r="A311" s="19" t="s">
        <v>119</v>
      </c>
      <c r="B311" s="20" t="s">
        <v>30</v>
      </c>
      <c r="C311" s="21" t="s">
        <v>97</v>
      </c>
      <c r="D311" s="20" t="s">
        <v>96</v>
      </c>
      <c r="E311" s="3">
        <v>5600000</v>
      </c>
      <c r="F311" s="19">
        <v>44103</v>
      </c>
      <c r="G311" s="3">
        <v>5600000</v>
      </c>
      <c r="H311" s="2">
        <v>5.0000000000000001E-3</v>
      </c>
      <c r="I311" s="19">
        <v>44105</v>
      </c>
      <c r="J311" s="19">
        <v>44135</v>
      </c>
      <c r="K311" s="3">
        <f>J311-I311+1</f>
        <v>31</v>
      </c>
      <c r="L311" s="3">
        <f>ROUND(G311*H311*K311/366,0)</f>
        <v>2372</v>
      </c>
      <c r="M311" s="3">
        <v>5600000</v>
      </c>
    </row>
    <row r="312" spans="1:13" s="18" customFormat="1" ht="13.5" outlineLevel="1">
      <c r="A312" s="22" t="s">
        <v>118</v>
      </c>
      <c r="B312" s="23"/>
      <c r="C312" s="24"/>
      <c r="D312" s="23"/>
      <c r="E312" s="25">
        <f>SUBTOTAL(9,E308:E311)</f>
        <v>64400000</v>
      </c>
      <c r="F312" s="26"/>
      <c r="G312" s="25"/>
      <c r="H312" s="27"/>
      <c r="I312" s="26"/>
      <c r="J312" s="26"/>
      <c r="K312" s="25"/>
      <c r="L312" s="25">
        <f>SUBTOTAL(9,L308:L311)</f>
        <v>27273</v>
      </c>
      <c r="M312" s="25">
        <f>SUBTOTAL(9,M308:M311)</f>
        <v>64400000</v>
      </c>
    </row>
    <row r="313" spans="1:13" s="18" customFormat="1" outlineLevel="2">
      <c r="A313" s="19" t="s">
        <v>63</v>
      </c>
      <c r="B313" s="20" t="s">
        <v>16</v>
      </c>
      <c r="C313" s="21" t="s">
        <v>21</v>
      </c>
      <c r="D313" s="20" t="s">
        <v>22</v>
      </c>
      <c r="E313" s="3">
        <v>72000000</v>
      </c>
      <c r="F313" s="19">
        <v>43917</v>
      </c>
      <c r="G313" s="3">
        <v>72000000</v>
      </c>
      <c r="H313" s="2">
        <v>5.0000000000000001E-3</v>
      </c>
      <c r="I313" s="19">
        <v>44105</v>
      </c>
      <c r="J313" s="19">
        <v>44135</v>
      </c>
      <c r="K313" s="3">
        <f t="shared" ref="K313:K318" si="24">J313-I313+1</f>
        <v>31</v>
      </c>
      <c r="L313" s="3">
        <f t="shared" ref="L313:L318" si="25">ROUND(G313*H313*K313/366,0)</f>
        <v>30492</v>
      </c>
      <c r="M313" s="3">
        <v>72000000</v>
      </c>
    </row>
    <row r="314" spans="1:13" s="18" customFormat="1" outlineLevel="2">
      <c r="A314" s="19" t="s">
        <v>63</v>
      </c>
      <c r="B314" s="20" t="s">
        <v>23</v>
      </c>
      <c r="C314" s="21" t="s">
        <v>21</v>
      </c>
      <c r="D314" s="20" t="s">
        <v>22</v>
      </c>
      <c r="E314" s="3">
        <v>144000000</v>
      </c>
      <c r="F314" s="19">
        <v>44018</v>
      </c>
      <c r="G314" s="3">
        <v>144000000</v>
      </c>
      <c r="H314" s="2">
        <v>5.0000000000000001E-3</v>
      </c>
      <c r="I314" s="19">
        <v>44105</v>
      </c>
      <c r="J314" s="19">
        <v>44135</v>
      </c>
      <c r="K314" s="3">
        <f t="shared" si="24"/>
        <v>31</v>
      </c>
      <c r="L314" s="3">
        <f t="shared" si="25"/>
        <v>60984</v>
      </c>
      <c r="M314" s="3">
        <v>144000000</v>
      </c>
    </row>
    <row r="315" spans="1:13" s="18" customFormat="1" outlineLevel="2">
      <c r="A315" s="19" t="s">
        <v>63</v>
      </c>
      <c r="B315" s="20" t="s">
        <v>29</v>
      </c>
      <c r="C315" s="21" t="s">
        <v>185</v>
      </c>
      <c r="D315" s="20" t="s">
        <v>184</v>
      </c>
      <c r="E315" s="3">
        <v>6820000</v>
      </c>
      <c r="F315" s="19">
        <v>44092</v>
      </c>
      <c r="G315" s="3">
        <v>6820000</v>
      </c>
      <c r="H315" s="2">
        <v>5.0000000000000001E-3</v>
      </c>
      <c r="I315" s="19">
        <v>44105</v>
      </c>
      <c r="J315" s="19">
        <v>44118</v>
      </c>
      <c r="K315" s="3">
        <f t="shared" si="24"/>
        <v>14</v>
      </c>
      <c r="L315" s="3">
        <f t="shared" si="25"/>
        <v>1304</v>
      </c>
      <c r="M315" s="3">
        <v>6706333</v>
      </c>
    </row>
    <row r="316" spans="1:13" s="18" customFormat="1" outlineLevel="2">
      <c r="A316" s="19" t="s">
        <v>63</v>
      </c>
      <c r="B316" s="20" t="s">
        <v>29</v>
      </c>
      <c r="C316" s="21" t="s">
        <v>185</v>
      </c>
      <c r="D316" s="20"/>
      <c r="E316" s="3"/>
      <c r="F316" s="19"/>
      <c r="G316" s="3">
        <v>6706333</v>
      </c>
      <c r="H316" s="2">
        <v>5.0000000000000001E-3</v>
      </c>
      <c r="I316" s="19">
        <v>44119</v>
      </c>
      <c r="J316" s="19">
        <v>44135</v>
      </c>
      <c r="K316" s="3">
        <f t="shared" si="24"/>
        <v>17</v>
      </c>
      <c r="L316" s="3">
        <f t="shared" si="25"/>
        <v>1557</v>
      </c>
      <c r="M316" s="3"/>
    </row>
    <row r="317" spans="1:13" s="18" customFormat="1" outlineLevel="2">
      <c r="A317" s="19" t="s">
        <v>63</v>
      </c>
      <c r="B317" s="20" t="s">
        <v>30</v>
      </c>
      <c r="C317" s="21" t="s">
        <v>185</v>
      </c>
      <c r="D317" s="20" t="s">
        <v>184</v>
      </c>
      <c r="E317" s="3">
        <v>17380000</v>
      </c>
      <c r="F317" s="19">
        <v>44092</v>
      </c>
      <c r="G317" s="3">
        <v>17380000</v>
      </c>
      <c r="H317" s="2">
        <v>5.0000000000000001E-3</v>
      </c>
      <c r="I317" s="19">
        <v>44105</v>
      </c>
      <c r="J317" s="19">
        <v>44118</v>
      </c>
      <c r="K317" s="3">
        <f t="shared" si="24"/>
        <v>14</v>
      </c>
      <c r="L317" s="3">
        <f t="shared" si="25"/>
        <v>3324</v>
      </c>
      <c r="M317" s="3">
        <v>16897222</v>
      </c>
    </row>
    <row r="318" spans="1:13" s="18" customFormat="1" outlineLevel="2">
      <c r="A318" s="19" t="s">
        <v>63</v>
      </c>
      <c r="B318" s="20" t="s">
        <v>30</v>
      </c>
      <c r="C318" s="21" t="s">
        <v>185</v>
      </c>
      <c r="D318" s="20"/>
      <c r="E318" s="3"/>
      <c r="F318" s="19"/>
      <c r="G318" s="3">
        <v>16897222</v>
      </c>
      <c r="H318" s="2">
        <v>5.0000000000000001E-3</v>
      </c>
      <c r="I318" s="19">
        <v>44119</v>
      </c>
      <c r="J318" s="19">
        <v>44135</v>
      </c>
      <c r="K318" s="3">
        <f t="shared" si="24"/>
        <v>17</v>
      </c>
      <c r="L318" s="3">
        <f t="shared" si="25"/>
        <v>3924</v>
      </c>
      <c r="M318" s="3"/>
    </row>
    <row r="319" spans="1:13" s="18" customFormat="1" ht="13.5" outlineLevel="1">
      <c r="A319" s="22" t="s">
        <v>62</v>
      </c>
      <c r="B319" s="23"/>
      <c r="C319" s="24"/>
      <c r="D319" s="23"/>
      <c r="E319" s="25">
        <f>SUBTOTAL(9,E313:E318)</f>
        <v>240200000</v>
      </c>
      <c r="F319" s="26"/>
      <c r="G319" s="25"/>
      <c r="H319" s="27"/>
      <c r="I319" s="26"/>
      <c r="J319" s="26"/>
      <c r="K319" s="25"/>
      <c r="L319" s="25">
        <f>SUBTOTAL(9,L313:L318)</f>
        <v>101585</v>
      </c>
      <c r="M319" s="25">
        <f>SUBTOTAL(9,M313:M318)</f>
        <v>239603555</v>
      </c>
    </row>
    <row r="320" spans="1:13" s="18" customFormat="1" outlineLevel="2">
      <c r="A320" s="19" t="s">
        <v>50</v>
      </c>
      <c r="B320" s="20" t="s">
        <v>16</v>
      </c>
      <c r="C320" s="21" t="s">
        <v>21</v>
      </c>
      <c r="D320" s="20" t="s">
        <v>22</v>
      </c>
      <c r="E320" s="3">
        <v>190000000</v>
      </c>
      <c r="F320" s="19">
        <v>43797</v>
      </c>
      <c r="G320" s="3">
        <v>190000000</v>
      </c>
      <c r="H320" s="2">
        <v>5.0000000000000001E-3</v>
      </c>
      <c r="I320" s="19">
        <v>44105</v>
      </c>
      <c r="J320" s="19">
        <v>44135</v>
      </c>
      <c r="K320" s="3">
        <f t="shared" ref="K320:K337" si="26">J320-I320+1</f>
        <v>31</v>
      </c>
      <c r="L320" s="3">
        <f t="shared" ref="L320:L337" si="27">ROUND(G320*H320*K320/366,0)</f>
        <v>80464</v>
      </c>
      <c r="M320" s="3">
        <v>190000000</v>
      </c>
    </row>
    <row r="321" spans="1:13" s="18" customFormat="1" outlineLevel="2">
      <c r="A321" s="19" t="s">
        <v>50</v>
      </c>
      <c r="B321" s="20" t="s">
        <v>61</v>
      </c>
      <c r="C321" s="21" t="s">
        <v>57</v>
      </c>
      <c r="D321" s="20" t="s">
        <v>56</v>
      </c>
      <c r="E321" s="3">
        <v>1310400</v>
      </c>
      <c r="F321" s="19">
        <v>44043</v>
      </c>
      <c r="G321" s="3">
        <v>1262750</v>
      </c>
      <c r="H321" s="2">
        <v>5.0000000000000001E-3</v>
      </c>
      <c r="I321" s="19">
        <v>44105</v>
      </c>
      <c r="J321" s="19">
        <v>44118</v>
      </c>
      <c r="K321" s="3">
        <f t="shared" si="26"/>
        <v>14</v>
      </c>
      <c r="L321" s="3">
        <f t="shared" si="27"/>
        <v>242</v>
      </c>
      <c r="M321" s="3">
        <v>1238925</v>
      </c>
    </row>
    <row r="322" spans="1:13" s="18" customFormat="1" outlineLevel="2">
      <c r="A322" s="19" t="s">
        <v>50</v>
      </c>
      <c r="B322" s="20" t="s">
        <v>61</v>
      </c>
      <c r="C322" s="21" t="s">
        <v>57</v>
      </c>
      <c r="D322" s="20"/>
      <c r="E322" s="3"/>
      <c r="F322" s="19"/>
      <c r="G322" s="3">
        <v>1238925</v>
      </c>
      <c r="H322" s="2">
        <v>5.0000000000000001E-3</v>
      </c>
      <c r="I322" s="19">
        <v>44119</v>
      </c>
      <c r="J322" s="19">
        <v>44135</v>
      </c>
      <c r="K322" s="3">
        <f t="shared" si="26"/>
        <v>17</v>
      </c>
      <c r="L322" s="3">
        <f t="shared" si="27"/>
        <v>288</v>
      </c>
      <c r="M322" s="3"/>
    </row>
    <row r="323" spans="1:13" s="18" customFormat="1" outlineLevel="2">
      <c r="A323" s="19" t="s">
        <v>50</v>
      </c>
      <c r="B323" s="20" t="s">
        <v>60</v>
      </c>
      <c r="C323" s="21" t="s">
        <v>69</v>
      </c>
      <c r="D323" s="20" t="s">
        <v>68</v>
      </c>
      <c r="E323" s="3">
        <v>201600000</v>
      </c>
      <c r="F323" s="19">
        <v>44028</v>
      </c>
      <c r="G323" s="3">
        <v>201600000</v>
      </c>
      <c r="H323" s="2">
        <v>3.0000000000000001E-3</v>
      </c>
      <c r="I323" s="19">
        <v>44105</v>
      </c>
      <c r="J323" s="19">
        <v>44135</v>
      </c>
      <c r="K323" s="3">
        <f t="shared" si="26"/>
        <v>31</v>
      </c>
      <c r="L323" s="3">
        <f t="shared" si="27"/>
        <v>51226</v>
      </c>
      <c r="M323" s="3">
        <v>201600000</v>
      </c>
    </row>
    <row r="324" spans="1:13" s="18" customFormat="1" outlineLevel="2">
      <c r="A324" s="19" t="s">
        <v>50</v>
      </c>
      <c r="B324" s="20" t="s">
        <v>66</v>
      </c>
      <c r="C324" s="21" t="s">
        <v>117</v>
      </c>
      <c r="D324" s="20" t="s">
        <v>116</v>
      </c>
      <c r="E324" s="3">
        <v>67678400</v>
      </c>
      <c r="F324" s="19">
        <v>44041</v>
      </c>
      <c r="G324" s="3">
        <v>67678400</v>
      </c>
      <c r="H324" s="2">
        <v>5.0000000000000001E-3</v>
      </c>
      <c r="I324" s="19">
        <v>44105</v>
      </c>
      <c r="J324" s="19">
        <v>44135</v>
      </c>
      <c r="K324" s="3">
        <f t="shared" si="26"/>
        <v>31</v>
      </c>
      <c r="L324" s="3">
        <f t="shared" si="27"/>
        <v>28662</v>
      </c>
      <c r="M324" s="3">
        <v>67678400</v>
      </c>
    </row>
    <row r="325" spans="1:13" s="18" customFormat="1" outlineLevel="2">
      <c r="A325" s="19" t="s">
        <v>50</v>
      </c>
      <c r="B325" s="20" t="s">
        <v>65</v>
      </c>
      <c r="C325" s="21" t="s">
        <v>117</v>
      </c>
      <c r="D325" s="20" t="s">
        <v>116</v>
      </c>
      <c r="E325" s="3">
        <v>56400000</v>
      </c>
      <c r="F325" s="19">
        <v>44060</v>
      </c>
      <c r="G325" s="3">
        <v>56400000</v>
      </c>
      <c r="H325" s="2">
        <v>5.0000000000000001E-3</v>
      </c>
      <c r="I325" s="19">
        <v>44105</v>
      </c>
      <c r="J325" s="19">
        <v>44135</v>
      </c>
      <c r="K325" s="3">
        <f t="shared" si="26"/>
        <v>31</v>
      </c>
      <c r="L325" s="3">
        <f t="shared" si="27"/>
        <v>23885</v>
      </c>
      <c r="M325" s="3">
        <v>56400000</v>
      </c>
    </row>
    <row r="326" spans="1:13" s="18" customFormat="1" outlineLevel="2">
      <c r="A326" s="19" t="s">
        <v>50</v>
      </c>
      <c r="B326" s="20" t="s">
        <v>64</v>
      </c>
      <c r="C326" s="21" t="s">
        <v>117</v>
      </c>
      <c r="D326" s="20" t="s">
        <v>116</v>
      </c>
      <c r="E326" s="3">
        <v>56400000</v>
      </c>
      <c r="F326" s="19">
        <v>44089</v>
      </c>
      <c r="G326" s="3">
        <v>56400000</v>
      </c>
      <c r="H326" s="2">
        <v>5.0000000000000001E-3</v>
      </c>
      <c r="I326" s="19">
        <v>44105</v>
      </c>
      <c r="J326" s="19">
        <v>44135</v>
      </c>
      <c r="K326" s="3">
        <f t="shared" si="26"/>
        <v>31</v>
      </c>
      <c r="L326" s="3">
        <f t="shared" si="27"/>
        <v>23885</v>
      </c>
      <c r="M326" s="3">
        <v>56400000</v>
      </c>
    </row>
    <row r="327" spans="1:13" s="18" customFormat="1" outlineLevel="2">
      <c r="A327" s="19" t="s">
        <v>50</v>
      </c>
      <c r="B327" s="20" t="s">
        <v>85</v>
      </c>
      <c r="C327" s="21" t="s">
        <v>117</v>
      </c>
      <c r="D327" s="20" t="s">
        <v>116</v>
      </c>
      <c r="E327" s="3">
        <v>56400000</v>
      </c>
      <c r="F327" s="19">
        <v>44119</v>
      </c>
      <c r="G327" s="3">
        <v>56400000</v>
      </c>
      <c r="H327" s="2">
        <v>5.0000000000000001E-3</v>
      </c>
      <c r="I327" s="19">
        <v>44119</v>
      </c>
      <c r="J327" s="19">
        <v>44135</v>
      </c>
      <c r="K327" s="3">
        <f t="shared" si="26"/>
        <v>17</v>
      </c>
      <c r="L327" s="3">
        <f t="shared" si="27"/>
        <v>13098</v>
      </c>
      <c r="M327" s="3">
        <v>56400000</v>
      </c>
    </row>
    <row r="328" spans="1:13" s="18" customFormat="1" outlineLevel="2">
      <c r="A328" s="19" t="s">
        <v>50</v>
      </c>
      <c r="B328" s="20" t="s">
        <v>84</v>
      </c>
      <c r="C328" s="21" t="s">
        <v>57</v>
      </c>
      <c r="D328" s="20" t="s">
        <v>56</v>
      </c>
      <c r="E328" s="3">
        <v>1169666</v>
      </c>
      <c r="F328" s="19">
        <v>44134</v>
      </c>
      <c r="G328" s="3">
        <v>1169666</v>
      </c>
      <c r="H328" s="2">
        <v>5.0000000000000001E-3</v>
      </c>
      <c r="I328" s="19">
        <v>44134</v>
      </c>
      <c r="J328" s="19">
        <v>44135</v>
      </c>
      <c r="K328" s="3">
        <f t="shared" si="26"/>
        <v>2</v>
      </c>
      <c r="L328" s="3">
        <f t="shared" si="27"/>
        <v>32</v>
      </c>
      <c r="M328" s="3">
        <v>1169666</v>
      </c>
    </row>
    <row r="329" spans="1:13" s="18" customFormat="1" outlineLevel="2">
      <c r="A329" s="19" t="s">
        <v>50</v>
      </c>
      <c r="B329" s="20" t="s">
        <v>23</v>
      </c>
      <c r="C329" s="21" t="s">
        <v>21</v>
      </c>
      <c r="D329" s="20" t="s">
        <v>22</v>
      </c>
      <c r="E329" s="3">
        <v>37000000</v>
      </c>
      <c r="F329" s="19">
        <v>43829</v>
      </c>
      <c r="G329" s="3">
        <v>37000000</v>
      </c>
      <c r="H329" s="2">
        <v>5.0000000000000001E-3</v>
      </c>
      <c r="I329" s="19">
        <v>44105</v>
      </c>
      <c r="J329" s="19">
        <v>44135</v>
      </c>
      <c r="K329" s="3">
        <f t="shared" si="26"/>
        <v>31</v>
      </c>
      <c r="L329" s="3">
        <f t="shared" si="27"/>
        <v>15669</v>
      </c>
      <c r="M329" s="3">
        <v>37000000</v>
      </c>
    </row>
    <row r="330" spans="1:13" s="18" customFormat="1" outlineLevel="2">
      <c r="A330" s="19" t="s">
        <v>50</v>
      </c>
      <c r="B330" s="20" t="s">
        <v>29</v>
      </c>
      <c r="C330" s="21" t="s">
        <v>57</v>
      </c>
      <c r="D330" s="20" t="s">
        <v>56</v>
      </c>
      <c r="E330" s="3">
        <v>17276700</v>
      </c>
      <c r="F330" s="19">
        <v>43878</v>
      </c>
      <c r="G330" s="3">
        <v>15261085</v>
      </c>
      <c r="H330" s="2">
        <v>5.0000000000000001E-3</v>
      </c>
      <c r="I330" s="19">
        <v>44105</v>
      </c>
      <c r="J330" s="19">
        <v>44118</v>
      </c>
      <c r="K330" s="3">
        <f t="shared" si="26"/>
        <v>14</v>
      </c>
      <c r="L330" s="3">
        <f t="shared" si="27"/>
        <v>2919</v>
      </c>
      <c r="M330" s="3">
        <v>14973140</v>
      </c>
    </row>
    <row r="331" spans="1:13" s="18" customFormat="1" outlineLevel="2">
      <c r="A331" s="19" t="s">
        <v>50</v>
      </c>
      <c r="B331" s="20" t="s">
        <v>29</v>
      </c>
      <c r="C331" s="21" t="s">
        <v>57</v>
      </c>
      <c r="D331" s="20"/>
      <c r="E331" s="3"/>
      <c r="F331" s="19"/>
      <c r="G331" s="3">
        <v>14973140</v>
      </c>
      <c r="H331" s="2">
        <v>5.0000000000000001E-3</v>
      </c>
      <c r="I331" s="19">
        <v>44119</v>
      </c>
      <c r="J331" s="19">
        <v>44135</v>
      </c>
      <c r="K331" s="3">
        <f t="shared" si="26"/>
        <v>17</v>
      </c>
      <c r="L331" s="3">
        <f t="shared" si="27"/>
        <v>3477</v>
      </c>
      <c r="M331" s="3"/>
    </row>
    <row r="332" spans="1:13" s="18" customFormat="1" outlineLevel="2">
      <c r="A332" s="19" t="s">
        <v>50</v>
      </c>
      <c r="B332" s="20" t="s">
        <v>30</v>
      </c>
      <c r="C332" s="21" t="s">
        <v>21</v>
      </c>
      <c r="D332" s="20" t="s">
        <v>22</v>
      </c>
      <c r="E332" s="3">
        <v>73000000</v>
      </c>
      <c r="F332" s="19">
        <v>43896</v>
      </c>
      <c r="G332" s="3">
        <v>73000000</v>
      </c>
      <c r="H332" s="2">
        <v>5.0000000000000001E-3</v>
      </c>
      <c r="I332" s="19">
        <v>44105</v>
      </c>
      <c r="J332" s="19">
        <v>44135</v>
      </c>
      <c r="K332" s="3">
        <f t="shared" si="26"/>
        <v>31</v>
      </c>
      <c r="L332" s="3">
        <f t="shared" si="27"/>
        <v>30915</v>
      </c>
      <c r="M332" s="3">
        <v>73000000</v>
      </c>
    </row>
    <row r="333" spans="1:13" s="18" customFormat="1" outlineLevel="2">
      <c r="A333" s="19" t="s">
        <v>50</v>
      </c>
      <c r="B333" s="20" t="s">
        <v>31</v>
      </c>
      <c r="C333" s="21" t="s">
        <v>57</v>
      </c>
      <c r="D333" s="20" t="s">
        <v>56</v>
      </c>
      <c r="E333" s="3">
        <v>19997321</v>
      </c>
      <c r="F333" s="19">
        <v>43948</v>
      </c>
      <c r="G333" s="3">
        <v>19997321</v>
      </c>
      <c r="H333" s="2">
        <v>5.0000000000000001E-3</v>
      </c>
      <c r="I333" s="19">
        <v>44105</v>
      </c>
      <c r="J333" s="19">
        <v>44135</v>
      </c>
      <c r="K333" s="3">
        <f t="shared" si="26"/>
        <v>31</v>
      </c>
      <c r="L333" s="3">
        <f t="shared" si="27"/>
        <v>8469</v>
      </c>
      <c r="M333" s="3">
        <v>19997321</v>
      </c>
    </row>
    <row r="334" spans="1:13" s="18" customFormat="1" outlineLevel="2">
      <c r="A334" s="19" t="s">
        <v>50</v>
      </c>
      <c r="B334" s="20" t="s">
        <v>32</v>
      </c>
      <c r="C334" s="21" t="s">
        <v>69</v>
      </c>
      <c r="D334" s="20" t="s">
        <v>68</v>
      </c>
      <c r="E334" s="3">
        <v>242400000</v>
      </c>
      <c r="F334" s="19">
        <v>43930</v>
      </c>
      <c r="G334" s="3">
        <v>242400000</v>
      </c>
      <c r="H334" s="2">
        <v>3.0000000000000001E-3</v>
      </c>
      <c r="I334" s="19">
        <v>44105</v>
      </c>
      <c r="J334" s="19">
        <v>44135</v>
      </c>
      <c r="K334" s="3">
        <f t="shared" si="26"/>
        <v>31</v>
      </c>
      <c r="L334" s="3">
        <f t="shared" si="27"/>
        <v>61593</v>
      </c>
      <c r="M334" s="3">
        <v>242400000</v>
      </c>
    </row>
    <row r="335" spans="1:13" s="18" customFormat="1" outlineLevel="2">
      <c r="A335" s="19" t="s">
        <v>50</v>
      </c>
      <c r="B335" s="20" t="s">
        <v>48</v>
      </c>
      <c r="C335" s="21" t="s">
        <v>69</v>
      </c>
      <c r="D335" s="20" t="s">
        <v>68</v>
      </c>
      <c r="E335" s="3">
        <v>156000000</v>
      </c>
      <c r="F335" s="19">
        <v>43958</v>
      </c>
      <c r="G335" s="3">
        <v>156000000</v>
      </c>
      <c r="H335" s="2">
        <v>3.0000000000000001E-3</v>
      </c>
      <c r="I335" s="19">
        <v>44105</v>
      </c>
      <c r="J335" s="19">
        <v>44135</v>
      </c>
      <c r="K335" s="3">
        <f t="shared" si="26"/>
        <v>31</v>
      </c>
      <c r="L335" s="3">
        <f t="shared" si="27"/>
        <v>39639</v>
      </c>
      <c r="M335" s="3">
        <v>156000000</v>
      </c>
    </row>
    <row r="336" spans="1:13" s="18" customFormat="1" outlineLevel="2">
      <c r="A336" s="19" t="s">
        <v>50</v>
      </c>
      <c r="B336" s="20" t="s">
        <v>59</v>
      </c>
      <c r="C336" s="21" t="s">
        <v>117</v>
      </c>
      <c r="D336" s="20" t="s">
        <v>116</v>
      </c>
      <c r="E336" s="3">
        <v>33840000</v>
      </c>
      <c r="F336" s="19">
        <v>43986</v>
      </c>
      <c r="G336" s="3">
        <v>33840000</v>
      </c>
      <c r="H336" s="2">
        <v>5.0000000000000001E-3</v>
      </c>
      <c r="I336" s="19">
        <v>44105</v>
      </c>
      <c r="J336" s="19">
        <v>44135</v>
      </c>
      <c r="K336" s="3">
        <f t="shared" si="26"/>
        <v>31</v>
      </c>
      <c r="L336" s="3">
        <f t="shared" si="27"/>
        <v>14331</v>
      </c>
      <c r="M336" s="3">
        <v>33840000</v>
      </c>
    </row>
    <row r="337" spans="1:16" s="18" customFormat="1" outlineLevel="2">
      <c r="A337" s="19" t="s">
        <v>50</v>
      </c>
      <c r="B337" s="20" t="s">
        <v>58</v>
      </c>
      <c r="C337" s="21" t="s">
        <v>117</v>
      </c>
      <c r="D337" s="20" t="s">
        <v>116</v>
      </c>
      <c r="E337" s="3">
        <v>134396612</v>
      </c>
      <c r="F337" s="19">
        <v>43986</v>
      </c>
      <c r="G337" s="3">
        <v>134396612</v>
      </c>
      <c r="H337" s="2">
        <v>5.0000000000000001E-3</v>
      </c>
      <c r="I337" s="19">
        <v>44105</v>
      </c>
      <c r="J337" s="19">
        <v>44135</v>
      </c>
      <c r="K337" s="3">
        <f t="shared" si="26"/>
        <v>31</v>
      </c>
      <c r="L337" s="3">
        <f t="shared" si="27"/>
        <v>56917</v>
      </c>
      <c r="M337" s="3">
        <v>134396612</v>
      </c>
    </row>
    <row r="338" spans="1:16" s="18" customFormat="1" ht="13.5" outlineLevel="1">
      <c r="A338" s="22" t="s">
        <v>51</v>
      </c>
      <c r="B338" s="23"/>
      <c r="C338" s="24"/>
      <c r="D338" s="23"/>
      <c r="E338" s="25">
        <f>SUBTOTAL(9,E320:E337)</f>
        <v>1344869099</v>
      </c>
      <c r="F338" s="26"/>
      <c r="G338" s="25"/>
      <c r="H338" s="27"/>
      <c r="I338" s="26"/>
      <c r="J338" s="26"/>
      <c r="K338" s="25"/>
      <c r="L338" s="25">
        <f>SUBTOTAL(9,L320:L337)</f>
        <v>455711</v>
      </c>
      <c r="M338" s="25">
        <f>SUBTOTAL(9,M320:M337)</f>
        <v>1342494064</v>
      </c>
    </row>
    <row r="339" spans="1:16" s="34" customFormat="1" ht="13.5" outlineLevel="1">
      <c r="A339" s="28"/>
      <c r="B339" s="44"/>
      <c r="C339" s="45"/>
      <c r="D339" s="44"/>
      <c r="E339" s="46"/>
      <c r="F339" s="47"/>
      <c r="G339" s="46"/>
      <c r="H339" s="48"/>
      <c r="I339" s="47"/>
      <c r="J339" s="47"/>
      <c r="K339" s="46"/>
      <c r="L339" s="46"/>
      <c r="M339" s="46"/>
    </row>
    <row r="340" spans="1:16" s="49" customFormat="1" ht="13.5">
      <c r="A340" s="26" t="s">
        <v>52</v>
      </c>
      <c r="B340" s="23"/>
      <c r="C340" s="24"/>
      <c r="D340" s="23"/>
      <c r="E340" s="25">
        <f>SUBTOTAL(9,E4:E337)</f>
        <v>15200038538</v>
      </c>
      <c r="F340" s="26"/>
      <c r="G340" s="25"/>
      <c r="H340" s="27"/>
      <c r="I340" s="26"/>
      <c r="J340" s="26"/>
      <c r="K340" s="25"/>
      <c r="L340" s="25">
        <f>SUBTOTAL(9,L4:L337)</f>
        <v>5852310</v>
      </c>
      <c r="M340" s="25">
        <f>SUBTOTAL(9,M4:M337)</f>
        <v>15087131728</v>
      </c>
    </row>
    <row r="341" spans="1:16" s="18" customForma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</row>
    <row r="342" spans="1:16">
      <c r="A342" s="35" t="s">
        <v>53</v>
      </c>
      <c r="B342" s="35"/>
      <c r="E342" s="36" t="s">
        <v>55</v>
      </c>
      <c r="G342" s="6"/>
      <c r="H342" s="38" t="s">
        <v>54</v>
      </c>
      <c r="I342" s="37"/>
    </row>
    <row r="343" spans="1:16" s="18" customForma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</row>
    <row r="344" spans="1:16" s="18" customForma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</row>
    <row r="345" spans="1:16" s="18" customForma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</row>
    <row r="346" spans="1:16" s="18" customForma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</row>
    <row r="347" spans="1:16" s="18" customForma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1:16" s="18" customForma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1:16" s="18" customForma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1:16" s="18" customForma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1:16" s="18" customForma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1:16" s="18" customForma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1:16" s="18" customForma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1:16" s="18" customForma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1:16" s="18" customForma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1:16" s="18" customForma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1:16" s="18" customForma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1:16" s="18" customForma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1:16" s="18" customForma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1:16" s="18" customForma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1:16" s="18" customForma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1:16" s="18" customForma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1:16" s="18" customForma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1:16" s="18" customForma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1:16" s="18" customForma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1:16" s="18" customForma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1:16" s="18" customForma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1:16" s="18" customForma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1:16" s="18" customForma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1:16" s="18" customForma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1:16" s="18" customForma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1:16" s="18" customForma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1:16" s="18" customForma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1:16" s="18" customForma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1:16" s="18" customForma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1:16" s="18" customForma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1:16" s="18" customForma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1:16" s="18" customForma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1:16" s="18" customForma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1:16" s="18" customForma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1:16" s="18" customForma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1:16" s="18" customForma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1:16" s="18" customForma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1:16" s="18" customForma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1:16" s="18" customForma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1:16" s="18" customForma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1:16" s="18" customForma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1:16" s="18" customForma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1:16" s="18" customForma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1:16" s="18" customForma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1:16" s="18" customForma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1:16" s="18" customForma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1:16" s="18" customForma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1:16" s="18" customForma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1:16" s="18" customForma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1:16" s="18" customForma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1:16" s="18" customForma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1:16" s="18" customForma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1:16" s="18" customForma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1:16" s="18" customForma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1:16" s="18" customForma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1:16" s="18" customForma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1:16" s="18" customForma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1:16" s="18" customForma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1:16" s="18" customForma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1:16" s="18" customForma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1:16" s="18" customForma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1:16" s="18" customForma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1:16" s="18" customForma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1:16" s="18" customForma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1:16" s="18" customForma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1:16" s="18" customForma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1:16" s="18" customForma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1:16" s="18" customForma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1:16" s="18" customForma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1:16" s="18" customForma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1:16" s="18" customForma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1:16" s="18" customForma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1:16" s="18" customForma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 s="18" customForma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 spans="1:16" s="18" customForma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 spans="1:16" s="18" customForma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  <row r="843" spans="1:16" s="18" customForma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</row>
  </sheetData>
  <autoFilter ref="A3:M337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D767-C30B-4978-9D71-D87B6BE3F5CC}">
  <dimension ref="A1:P844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7.73046875" style="6" bestFit="1" customWidth="1"/>
    <col min="2" max="2" width="8.33203125" style="6" bestFit="1" customWidth="1"/>
    <col min="3" max="3" width="21.46484375" style="6" bestFit="1" customWidth="1"/>
    <col min="4" max="4" width="12" style="6" bestFit="1" customWidth="1"/>
    <col min="5" max="5" width="14.73046875" style="10" bestFit="1" customWidth="1"/>
    <col min="6" max="6" width="12" style="11" bestFit="1" customWidth="1"/>
    <col min="7" max="7" width="13.46484375" style="10" bestFit="1" customWidth="1"/>
    <col min="8" max="8" width="10.33203125" style="12" bestFit="1" customWidth="1"/>
    <col min="9" max="10" width="9.73046875" style="6" bestFit="1" customWidth="1"/>
    <col min="11" max="11" width="10.33203125" style="6" bestFit="1" customWidth="1"/>
    <col min="12" max="12" width="10.33203125" style="10" bestFit="1" customWidth="1"/>
    <col min="13" max="13" width="14.7304687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44165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44136</v>
      </c>
      <c r="J4" s="19">
        <v>44165</v>
      </c>
      <c r="K4" s="3">
        <f t="shared" ref="K4:K31" si="0">J4-I4+1</f>
        <v>30</v>
      </c>
      <c r="L4" s="3">
        <f t="shared" ref="L4:L31" si="1">ROUND(G4*H4*K4/366,0)</f>
        <v>66598</v>
      </c>
      <c r="M4" s="3">
        <v>162500000</v>
      </c>
    </row>
    <row r="5" spans="1:13" s="18" customFormat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44136</v>
      </c>
      <c r="J5" s="19">
        <v>44165</v>
      </c>
      <c r="K5" s="3">
        <f t="shared" si="0"/>
        <v>30</v>
      </c>
      <c r="L5" s="3">
        <f t="shared" si="1"/>
        <v>590</v>
      </c>
      <c r="M5" s="3">
        <v>2400000</v>
      </c>
    </row>
    <row r="6" spans="1:13" s="18" customFormat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44136</v>
      </c>
      <c r="J6" s="19">
        <v>44165</v>
      </c>
      <c r="K6" s="3">
        <f t="shared" si="0"/>
        <v>30</v>
      </c>
      <c r="L6" s="3">
        <f t="shared" si="1"/>
        <v>3020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44136</v>
      </c>
      <c r="J7" s="19">
        <v>44165</v>
      </c>
      <c r="K7" s="3">
        <f t="shared" si="0"/>
        <v>30</v>
      </c>
      <c r="L7" s="3">
        <f t="shared" si="1"/>
        <v>2414</v>
      </c>
      <c r="M7" s="3">
        <v>5890000</v>
      </c>
    </row>
    <row r="8" spans="1:13" s="18" customFormat="1" outlineLevel="2">
      <c r="A8" s="19" t="s">
        <v>15</v>
      </c>
      <c r="B8" s="20" t="s">
        <v>65</v>
      </c>
      <c r="C8" s="21" t="s">
        <v>158</v>
      </c>
      <c r="D8" s="20" t="s">
        <v>157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44136</v>
      </c>
      <c r="J8" s="19">
        <v>44165</v>
      </c>
      <c r="K8" s="3">
        <f t="shared" si="0"/>
        <v>30</v>
      </c>
      <c r="L8" s="3">
        <f t="shared" si="1"/>
        <v>1238</v>
      </c>
      <c r="M8" s="3">
        <v>3020000</v>
      </c>
    </row>
    <row r="9" spans="1:13" s="18" customFormat="1" outlineLevel="2">
      <c r="A9" s="19" t="s">
        <v>15</v>
      </c>
      <c r="B9" s="20" t="s">
        <v>64</v>
      </c>
      <c r="C9" s="21" t="s">
        <v>97</v>
      </c>
      <c r="D9" s="20" t="s">
        <v>96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44136</v>
      </c>
      <c r="J9" s="19">
        <v>44165</v>
      </c>
      <c r="K9" s="3">
        <f t="shared" si="0"/>
        <v>30</v>
      </c>
      <c r="L9" s="3">
        <f t="shared" si="1"/>
        <v>34672</v>
      </c>
      <c r="M9" s="3">
        <v>84600000</v>
      </c>
    </row>
    <row r="10" spans="1:13" s="18" customFormat="1" outlineLevel="2">
      <c r="A10" s="19" t="s">
        <v>15</v>
      </c>
      <c r="B10" s="20" t="s">
        <v>85</v>
      </c>
      <c r="C10" s="21" t="s">
        <v>97</v>
      </c>
      <c r="D10" s="20" t="s">
        <v>96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44136</v>
      </c>
      <c r="J10" s="19">
        <v>44165</v>
      </c>
      <c r="K10" s="3">
        <f t="shared" si="0"/>
        <v>30</v>
      </c>
      <c r="L10" s="3">
        <f t="shared" si="1"/>
        <v>24590</v>
      </c>
      <c r="M10" s="3">
        <v>60000000</v>
      </c>
    </row>
    <row r="11" spans="1:13" s="18" customFormat="1" outlineLevel="2">
      <c r="A11" s="19" t="s">
        <v>15</v>
      </c>
      <c r="B11" s="20" t="s">
        <v>84</v>
      </c>
      <c r="C11" s="21" t="s">
        <v>69</v>
      </c>
      <c r="D11" s="20" t="s">
        <v>68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44136</v>
      </c>
      <c r="J11" s="19">
        <v>44165</v>
      </c>
      <c r="K11" s="3">
        <f t="shared" si="0"/>
        <v>30</v>
      </c>
      <c r="L11" s="3">
        <f t="shared" si="1"/>
        <v>39836</v>
      </c>
      <c r="M11" s="3">
        <v>162000000</v>
      </c>
    </row>
    <row r="12" spans="1:13" s="18" customFormat="1" outlineLevel="2">
      <c r="A12" s="19" t="s">
        <v>15</v>
      </c>
      <c r="B12" s="20" t="s">
        <v>83</v>
      </c>
      <c r="C12" s="21" t="s">
        <v>17</v>
      </c>
      <c r="D12" s="20" t="s">
        <v>18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44136</v>
      </c>
      <c r="J12" s="19">
        <v>44165</v>
      </c>
      <c r="K12" s="3">
        <f t="shared" si="0"/>
        <v>30</v>
      </c>
      <c r="L12" s="3">
        <f t="shared" si="1"/>
        <v>1700</v>
      </c>
      <c r="M12" s="3">
        <v>4147000</v>
      </c>
    </row>
    <row r="13" spans="1:13" s="18" customFormat="1" outlineLevel="2">
      <c r="A13" s="19" t="s">
        <v>15</v>
      </c>
      <c r="B13" s="20" t="s">
        <v>102</v>
      </c>
      <c r="C13" s="21" t="s">
        <v>158</v>
      </c>
      <c r="D13" s="20" t="s">
        <v>157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44136</v>
      </c>
      <c r="J13" s="19">
        <v>44165</v>
      </c>
      <c r="K13" s="3">
        <f t="shared" si="0"/>
        <v>30</v>
      </c>
      <c r="L13" s="3">
        <f t="shared" si="1"/>
        <v>303</v>
      </c>
      <c r="M13" s="3">
        <v>740000</v>
      </c>
    </row>
    <row r="14" spans="1:13" s="18" customFormat="1" outlineLevel="2">
      <c r="A14" s="19" t="s">
        <v>15</v>
      </c>
      <c r="B14" s="20" t="s">
        <v>101</v>
      </c>
      <c r="C14" s="21" t="s">
        <v>133</v>
      </c>
      <c r="D14" s="20" t="s">
        <v>132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44136</v>
      </c>
      <c r="J14" s="19">
        <v>44165</v>
      </c>
      <c r="K14" s="3">
        <f t="shared" si="0"/>
        <v>30</v>
      </c>
      <c r="L14" s="3">
        <f t="shared" si="1"/>
        <v>72226</v>
      </c>
      <c r="M14" s="3">
        <v>176232000</v>
      </c>
    </row>
    <row r="15" spans="1:13" s="18" customFormat="1" outlineLevel="2">
      <c r="A15" s="19" t="s">
        <v>15</v>
      </c>
      <c r="B15" s="20" t="s">
        <v>23</v>
      </c>
      <c r="C15" s="21" t="s">
        <v>17</v>
      </c>
      <c r="D15" s="20" t="s">
        <v>18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44136</v>
      </c>
      <c r="J15" s="19">
        <v>44165</v>
      </c>
      <c r="K15" s="3">
        <f t="shared" si="0"/>
        <v>30</v>
      </c>
      <c r="L15" s="3">
        <f t="shared" si="1"/>
        <v>2635</v>
      </c>
      <c r="M15" s="3">
        <v>6430000</v>
      </c>
    </row>
    <row r="16" spans="1:13" s="18" customFormat="1" outlineLevel="2">
      <c r="A16" s="19" t="s">
        <v>15</v>
      </c>
      <c r="B16" s="20" t="s">
        <v>100</v>
      </c>
      <c r="C16" s="21" t="s">
        <v>97</v>
      </c>
      <c r="D16" s="20" t="s">
        <v>96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44136</v>
      </c>
      <c r="J16" s="19">
        <v>44165</v>
      </c>
      <c r="K16" s="3">
        <f t="shared" si="0"/>
        <v>30</v>
      </c>
      <c r="L16" s="3">
        <f t="shared" si="1"/>
        <v>2213</v>
      </c>
      <c r="M16" s="3">
        <v>5400000</v>
      </c>
    </row>
    <row r="17" spans="1:13" s="18" customFormat="1" outlineLevel="2">
      <c r="A17" s="19" t="s">
        <v>15</v>
      </c>
      <c r="B17" s="20" t="s">
        <v>99</v>
      </c>
      <c r="C17" s="21" t="s">
        <v>158</v>
      </c>
      <c r="D17" s="20" t="s">
        <v>157</v>
      </c>
      <c r="E17" s="3">
        <v>380000</v>
      </c>
      <c r="F17" s="19">
        <v>44116</v>
      </c>
      <c r="G17" s="3">
        <v>380000</v>
      </c>
      <c r="H17" s="2">
        <v>5.0000000000000001E-3</v>
      </c>
      <c r="I17" s="19">
        <v>44136</v>
      </c>
      <c r="J17" s="19">
        <v>44165</v>
      </c>
      <c r="K17" s="3">
        <f t="shared" si="0"/>
        <v>30</v>
      </c>
      <c r="L17" s="3">
        <f t="shared" si="1"/>
        <v>156</v>
      </c>
      <c r="M17" s="3">
        <v>380000</v>
      </c>
    </row>
    <row r="18" spans="1:13" s="18" customFormat="1" outlineLevel="2">
      <c r="A18" s="19" t="s">
        <v>15</v>
      </c>
      <c r="B18" s="20" t="s">
        <v>98</v>
      </c>
      <c r="C18" s="21" t="s">
        <v>158</v>
      </c>
      <c r="D18" s="20" t="s">
        <v>157</v>
      </c>
      <c r="E18" s="3">
        <v>2400000</v>
      </c>
      <c r="F18" s="19">
        <v>44123</v>
      </c>
      <c r="G18" s="3">
        <v>2400000</v>
      </c>
      <c r="H18" s="2">
        <v>5.0000000000000001E-3</v>
      </c>
      <c r="I18" s="19">
        <v>44136</v>
      </c>
      <c r="J18" s="19">
        <v>44165</v>
      </c>
      <c r="K18" s="3">
        <f t="shared" si="0"/>
        <v>30</v>
      </c>
      <c r="L18" s="3">
        <f t="shared" si="1"/>
        <v>984</v>
      </c>
      <c r="M18" s="3">
        <v>2400000</v>
      </c>
    </row>
    <row r="19" spans="1:13" s="18" customFormat="1" outlineLevel="2">
      <c r="A19" s="19" t="s">
        <v>15</v>
      </c>
      <c r="B19" s="20" t="s">
        <v>122</v>
      </c>
      <c r="C19" s="21" t="s">
        <v>158</v>
      </c>
      <c r="D19" s="20" t="s">
        <v>157</v>
      </c>
      <c r="E19" s="3">
        <v>1000000</v>
      </c>
      <c r="F19" s="19">
        <v>44131</v>
      </c>
      <c r="G19" s="3">
        <v>1000000</v>
      </c>
      <c r="H19" s="2">
        <v>5.0000000000000001E-3</v>
      </c>
      <c r="I19" s="19">
        <v>44136</v>
      </c>
      <c r="J19" s="19">
        <v>44165</v>
      </c>
      <c r="K19" s="3">
        <f t="shared" si="0"/>
        <v>30</v>
      </c>
      <c r="L19" s="3">
        <f t="shared" si="1"/>
        <v>410</v>
      </c>
      <c r="M19" s="3">
        <v>1000000</v>
      </c>
    </row>
    <row r="20" spans="1:13" s="18" customFormat="1" outlineLevel="2">
      <c r="A20" s="19" t="s">
        <v>15</v>
      </c>
      <c r="B20" s="20" t="s">
        <v>121</v>
      </c>
      <c r="C20" s="21" t="s">
        <v>107</v>
      </c>
      <c r="D20" s="20" t="s">
        <v>106</v>
      </c>
      <c r="E20" s="3">
        <v>10000000</v>
      </c>
      <c r="F20" s="19">
        <v>44120</v>
      </c>
      <c r="G20" s="3">
        <v>10000000</v>
      </c>
      <c r="H20" s="2">
        <v>5.0000000000000001E-3</v>
      </c>
      <c r="I20" s="19">
        <v>44136</v>
      </c>
      <c r="J20" s="19">
        <v>44165</v>
      </c>
      <c r="K20" s="3">
        <f t="shared" si="0"/>
        <v>30</v>
      </c>
      <c r="L20" s="3">
        <f t="shared" si="1"/>
        <v>4098</v>
      </c>
      <c r="M20" s="3">
        <v>10000000</v>
      </c>
    </row>
    <row r="21" spans="1:13" s="18" customFormat="1" outlineLevel="2">
      <c r="A21" s="19" t="s">
        <v>15</v>
      </c>
      <c r="B21" s="20" t="s">
        <v>120</v>
      </c>
      <c r="C21" s="21" t="s">
        <v>258</v>
      </c>
      <c r="D21" s="20" t="s">
        <v>257</v>
      </c>
      <c r="E21" s="3">
        <v>250000000</v>
      </c>
      <c r="F21" s="19">
        <v>44147</v>
      </c>
      <c r="G21" s="3">
        <v>250000000</v>
      </c>
      <c r="H21" s="2">
        <v>5.0000000000000001E-3</v>
      </c>
      <c r="I21" s="19">
        <v>44147</v>
      </c>
      <c r="J21" s="19">
        <v>44165</v>
      </c>
      <c r="K21" s="3">
        <f t="shared" si="0"/>
        <v>19</v>
      </c>
      <c r="L21" s="3">
        <f t="shared" si="1"/>
        <v>64891</v>
      </c>
      <c r="M21" s="3">
        <v>250000000</v>
      </c>
    </row>
    <row r="22" spans="1:13" s="18" customFormat="1" outlineLevel="2">
      <c r="A22" s="19" t="s">
        <v>15</v>
      </c>
      <c r="B22" s="20" t="s">
        <v>147</v>
      </c>
      <c r="C22" s="21" t="s">
        <v>258</v>
      </c>
      <c r="D22" s="20" t="s">
        <v>257</v>
      </c>
      <c r="E22" s="3">
        <v>200000000</v>
      </c>
      <c r="F22" s="19">
        <v>44147</v>
      </c>
      <c r="G22" s="3">
        <v>200000000</v>
      </c>
      <c r="H22" s="2">
        <v>5.0000000000000001E-3</v>
      </c>
      <c r="I22" s="19">
        <v>44147</v>
      </c>
      <c r="J22" s="19">
        <v>44165</v>
      </c>
      <c r="K22" s="3">
        <f t="shared" si="0"/>
        <v>19</v>
      </c>
      <c r="L22" s="3">
        <f t="shared" si="1"/>
        <v>51913</v>
      </c>
      <c r="M22" s="3">
        <v>200000000</v>
      </c>
    </row>
    <row r="23" spans="1:13" s="18" customFormat="1" outlineLevel="2">
      <c r="A23" s="19" t="s">
        <v>15</v>
      </c>
      <c r="B23" s="20" t="s">
        <v>146</v>
      </c>
      <c r="C23" s="21" t="s">
        <v>139</v>
      </c>
      <c r="D23" s="20" t="s">
        <v>138</v>
      </c>
      <c r="E23" s="3">
        <v>8600000</v>
      </c>
      <c r="F23" s="19">
        <v>44155</v>
      </c>
      <c r="G23" s="3">
        <v>8600000</v>
      </c>
      <c r="H23" s="2">
        <v>5.0000000000000001E-3</v>
      </c>
      <c r="I23" s="19">
        <v>44155</v>
      </c>
      <c r="J23" s="19">
        <v>44165</v>
      </c>
      <c r="K23" s="3">
        <f t="shared" si="0"/>
        <v>11</v>
      </c>
      <c r="L23" s="3">
        <f t="shared" si="1"/>
        <v>1292</v>
      </c>
      <c r="M23" s="3">
        <v>8600000</v>
      </c>
    </row>
    <row r="24" spans="1:13" s="18" customFormat="1" outlineLevel="2">
      <c r="A24" s="19" t="s">
        <v>15</v>
      </c>
      <c r="B24" s="20" t="s">
        <v>145</v>
      </c>
      <c r="C24" s="21" t="s">
        <v>17</v>
      </c>
      <c r="D24" s="20" t="s">
        <v>18</v>
      </c>
      <c r="E24" s="3">
        <v>1657000</v>
      </c>
      <c r="F24" s="19">
        <v>44160</v>
      </c>
      <c r="G24" s="3">
        <v>1657000</v>
      </c>
      <c r="H24" s="2">
        <v>5.0000000000000001E-3</v>
      </c>
      <c r="I24" s="19">
        <v>44160</v>
      </c>
      <c r="J24" s="19">
        <v>44165</v>
      </c>
      <c r="K24" s="3">
        <f t="shared" si="0"/>
        <v>6</v>
      </c>
      <c r="L24" s="3">
        <f t="shared" si="1"/>
        <v>136</v>
      </c>
      <c r="M24" s="3">
        <v>1657000</v>
      </c>
    </row>
    <row r="25" spans="1:13" s="18" customFormat="1" outlineLevel="2">
      <c r="A25" s="19" t="s">
        <v>15</v>
      </c>
      <c r="B25" s="20" t="s">
        <v>29</v>
      </c>
      <c r="C25" s="21" t="s">
        <v>57</v>
      </c>
      <c r="D25" s="20" t="s">
        <v>56</v>
      </c>
      <c r="E25" s="3">
        <v>28600000</v>
      </c>
      <c r="F25" s="19">
        <v>43921</v>
      </c>
      <c r="G25" s="3">
        <v>28600000</v>
      </c>
      <c r="H25" s="2">
        <v>5.0000000000000001E-3</v>
      </c>
      <c r="I25" s="19">
        <v>44136</v>
      </c>
      <c r="J25" s="19">
        <v>44165</v>
      </c>
      <c r="K25" s="3">
        <f t="shared" si="0"/>
        <v>30</v>
      </c>
      <c r="L25" s="3">
        <f t="shared" si="1"/>
        <v>11721</v>
      </c>
      <c r="M25" s="3">
        <v>28600000</v>
      </c>
    </row>
    <row r="26" spans="1:13" s="18" customFormat="1" outlineLevel="2">
      <c r="A26" s="19" t="s">
        <v>15</v>
      </c>
      <c r="B26" s="20" t="s">
        <v>30</v>
      </c>
      <c r="C26" s="21" t="s">
        <v>74</v>
      </c>
      <c r="D26" s="20" t="s">
        <v>73</v>
      </c>
      <c r="E26" s="3">
        <v>20000000</v>
      </c>
      <c r="F26" s="19">
        <v>43922</v>
      </c>
      <c r="G26" s="3">
        <v>20000000</v>
      </c>
      <c r="H26" s="2">
        <v>5.0000000000000001E-3</v>
      </c>
      <c r="I26" s="19">
        <v>44136</v>
      </c>
      <c r="J26" s="19">
        <v>44165</v>
      </c>
      <c r="K26" s="3">
        <f t="shared" si="0"/>
        <v>30</v>
      </c>
      <c r="L26" s="3">
        <f t="shared" si="1"/>
        <v>8197</v>
      </c>
      <c r="M26" s="3">
        <v>20000000</v>
      </c>
    </row>
    <row r="27" spans="1:13" s="18" customFormat="1" outlineLevel="2">
      <c r="A27" s="19" t="s">
        <v>15</v>
      </c>
      <c r="B27" s="20" t="s">
        <v>31</v>
      </c>
      <c r="C27" s="21" t="s">
        <v>57</v>
      </c>
      <c r="D27" s="20" t="s">
        <v>56</v>
      </c>
      <c r="E27" s="3">
        <v>10000000</v>
      </c>
      <c r="F27" s="19">
        <v>43934</v>
      </c>
      <c r="G27" s="3">
        <v>10000000</v>
      </c>
      <c r="H27" s="2">
        <v>5.0000000000000001E-3</v>
      </c>
      <c r="I27" s="19">
        <v>44136</v>
      </c>
      <c r="J27" s="19">
        <v>44165</v>
      </c>
      <c r="K27" s="3">
        <f t="shared" si="0"/>
        <v>30</v>
      </c>
      <c r="L27" s="3">
        <f t="shared" si="1"/>
        <v>4098</v>
      </c>
      <c r="M27" s="3">
        <v>10000000</v>
      </c>
    </row>
    <row r="28" spans="1:13" s="18" customFormat="1" outlineLevel="2">
      <c r="A28" s="19" t="s">
        <v>15</v>
      </c>
      <c r="B28" s="20" t="s">
        <v>32</v>
      </c>
      <c r="C28" s="21" t="s">
        <v>57</v>
      </c>
      <c r="D28" s="20" t="s">
        <v>56</v>
      </c>
      <c r="E28" s="3">
        <v>30000000</v>
      </c>
      <c r="F28" s="19">
        <v>43937</v>
      </c>
      <c r="G28" s="3">
        <v>30000000</v>
      </c>
      <c r="H28" s="2">
        <v>5.0000000000000001E-3</v>
      </c>
      <c r="I28" s="19">
        <v>44136</v>
      </c>
      <c r="J28" s="19">
        <v>44165</v>
      </c>
      <c r="K28" s="3">
        <f t="shared" si="0"/>
        <v>30</v>
      </c>
      <c r="L28" s="3">
        <f t="shared" si="1"/>
        <v>12295</v>
      </c>
      <c r="M28" s="3">
        <v>30000000</v>
      </c>
    </row>
    <row r="29" spans="1:13" s="18" customFormat="1" outlineLevel="2">
      <c r="A29" s="19" t="s">
        <v>15</v>
      </c>
      <c r="B29" s="20" t="s">
        <v>48</v>
      </c>
      <c r="C29" s="21" t="s">
        <v>57</v>
      </c>
      <c r="D29" s="20" t="s">
        <v>56</v>
      </c>
      <c r="E29" s="3">
        <v>58360000</v>
      </c>
      <c r="F29" s="19">
        <v>43929</v>
      </c>
      <c r="G29" s="3">
        <v>58360000</v>
      </c>
      <c r="H29" s="2">
        <v>5.0000000000000001E-3</v>
      </c>
      <c r="I29" s="19">
        <v>44136</v>
      </c>
      <c r="J29" s="19">
        <v>44165</v>
      </c>
      <c r="K29" s="3">
        <f t="shared" si="0"/>
        <v>30</v>
      </c>
      <c r="L29" s="3">
        <f t="shared" si="1"/>
        <v>23918</v>
      </c>
      <c r="M29" s="3">
        <v>58360000</v>
      </c>
    </row>
    <row r="30" spans="1:13" s="18" customFormat="1" outlineLevel="2">
      <c r="A30" s="19" t="s">
        <v>15</v>
      </c>
      <c r="B30" s="20" t="s">
        <v>59</v>
      </c>
      <c r="C30" s="21" t="s">
        <v>113</v>
      </c>
      <c r="D30" s="20" t="s">
        <v>112</v>
      </c>
      <c r="E30" s="3">
        <v>64000000</v>
      </c>
      <c r="F30" s="19">
        <v>43966</v>
      </c>
      <c r="G30" s="3">
        <v>64000000</v>
      </c>
      <c r="H30" s="2">
        <v>5.0000000000000001E-3</v>
      </c>
      <c r="I30" s="19">
        <v>44136</v>
      </c>
      <c r="J30" s="19">
        <v>44165</v>
      </c>
      <c r="K30" s="3">
        <f t="shared" si="0"/>
        <v>30</v>
      </c>
      <c r="L30" s="3">
        <f t="shared" si="1"/>
        <v>26230</v>
      </c>
      <c r="M30" s="3">
        <v>64000000</v>
      </c>
    </row>
    <row r="31" spans="1:13" s="18" customFormat="1" outlineLevel="2">
      <c r="A31" s="19" t="s">
        <v>15</v>
      </c>
      <c r="B31" s="20" t="s">
        <v>58</v>
      </c>
      <c r="C31" s="21" t="s">
        <v>57</v>
      </c>
      <c r="D31" s="20" t="s">
        <v>56</v>
      </c>
      <c r="E31" s="3">
        <v>11400000</v>
      </c>
      <c r="F31" s="19">
        <v>43962</v>
      </c>
      <c r="G31" s="3">
        <v>11400000</v>
      </c>
      <c r="H31" s="2">
        <v>5.0000000000000001E-3</v>
      </c>
      <c r="I31" s="19">
        <v>44136</v>
      </c>
      <c r="J31" s="19">
        <v>44165</v>
      </c>
      <c r="K31" s="3">
        <f t="shared" si="0"/>
        <v>30</v>
      </c>
      <c r="L31" s="3">
        <f t="shared" si="1"/>
        <v>4672</v>
      </c>
      <c r="M31" s="3">
        <v>11400000</v>
      </c>
    </row>
    <row r="32" spans="1:13" s="18" customFormat="1" ht="13.5" outlineLevel="1">
      <c r="A32" s="22" t="s">
        <v>19</v>
      </c>
      <c r="B32" s="23"/>
      <c r="C32" s="24"/>
      <c r="D32" s="23"/>
      <c r="E32" s="25">
        <f>SUBTOTAL(9,E4:E31)</f>
        <v>1377126000</v>
      </c>
      <c r="F32" s="26"/>
      <c r="G32" s="25"/>
      <c r="H32" s="27"/>
      <c r="I32" s="26"/>
      <c r="J32" s="26"/>
      <c r="K32" s="25"/>
      <c r="L32" s="25">
        <f>SUBTOTAL(9,L4:L31)</f>
        <v>467046</v>
      </c>
      <c r="M32" s="25">
        <f>SUBTOTAL(9,M4:M31)</f>
        <v>1377126000</v>
      </c>
    </row>
    <row r="33" spans="1:13" s="18" customFormat="1" outlineLevel="2">
      <c r="A33" s="19" t="s">
        <v>183</v>
      </c>
      <c r="B33" s="20" t="s">
        <v>16</v>
      </c>
      <c r="C33" s="21" t="s">
        <v>158</v>
      </c>
      <c r="D33" s="20" t="s">
        <v>157</v>
      </c>
      <c r="E33" s="3">
        <v>21330000</v>
      </c>
      <c r="F33" s="19">
        <v>44046</v>
      </c>
      <c r="G33" s="3">
        <v>21330000</v>
      </c>
      <c r="H33" s="2">
        <v>5.0000000000000001E-3</v>
      </c>
      <c r="I33" s="19">
        <v>44136</v>
      </c>
      <c r="J33" s="19">
        <v>44165</v>
      </c>
      <c r="K33" s="3">
        <f>J33-I33+1</f>
        <v>30</v>
      </c>
      <c r="L33" s="3">
        <f>ROUND(G33*H33*K33/366,0)</f>
        <v>8742</v>
      </c>
      <c r="M33" s="3">
        <v>21330000</v>
      </c>
    </row>
    <row r="34" spans="1:13" s="18" customFormat="1" outlineLevel="2">
      <c r="A34" s="19" t="s">
        <v>183</v>
      </c>
      <c r="B34" s="20" t="s">
        <v>23</v>
      </c>
      <c r="C34" s="21" t="s">
        <v>158</v>
      </c>
      <c r="D34" s="20" t="s">
        <v>157</v>
      </c>
      <c r="E34" s="3">
        <v>8670000</v>
      </c>
      <c r="F34" s="19">
        <v>44060</v>
      </c>
      <c r="G34" s="3">
        <v>8670000</v>
      </c>
      <c r="H34" s="2">
        <v>5.0000000000000001E-3</v>
      </c>
      <c r="I34" s="19">
        <v>44136</v>
      </c>
      <c r="J34" s="19">
        <v>44165</v>
      </c>
      <c r="K34" s="3">
        <f>J34-I34+1</f>
        <v>30</v>
      </c>
      <c r="L34" s="3">
        <f>ROUND(G34*H34*K34/366,0)</f>
        <v>3553</v>
      </c>
      <c r="M34" s="3">
        <v>8670000</v>
      </c>
    </row>
    <row r="35" spans="1:13" s="18" customFormat="1" outlineLevel="2">
      <c r="A35" s="19" t="s">
        <v>183</v>
      </c>
      <c r="B35" s="20" t="s">
        <v>29</v>
      </c>
      <c r="C35" s="21" t="s">
        <v>160</v>
      </c>
      <c r="D35" s="20" t="s">
        <v>159</v>
      </c>
      <c r="E35" s="3">
        <v>10600000</v>
      </c>
      <c r="F35" s="19">
        <v>44085</v>
      </c>
      <c r="G35" s="3">
        <v>10600000</v>
      </c>
      <c r="H35" s="2">
        <v>5.0000000000000001E-3</v>
      </c>
      <c r="I35" s="19">
        <v>44136</v>
      </c>
      <c r="J35" s="19">
        <v>44165</v>
      </c>
      <c r="K35" s="3">
        <f>J35-I35+1</f>
        <v>30</v>
      </c>
      <c r="L35" s="3">
        <f>ROUND(G35*H35*K35/366,0)</f>
        <v>4344</v>
      </c>
      <c r="M35" s="3">
        <v>10600000</v>
      </c>
    </row>
    <row r="36" spans="1:13" s="18" customFormat="1" ht="13.5" outlineLevel="1">
      <c r="A36" s="22" t="s">
        <v>181</v>
      </c>
      <c r="B36" s="23"/>
      <c r="C36" s="24"/>
      <c r="D36" s="23"/>
      <c r="E36" s="25">
        <f>SUBTOTAL(9,E33:E35)</f>
        <v>40600000</v>
      </c>
      <c r="F36" s="26"/>
      <c r="G36" s="25"/>
      <c r="H36" s="27"/>
      <c r="I36" s="26"/>
      <c r="J36" s="26"/>
      <c r="K36" s="25"/>
      <c r="L36" s="25">
        <f>SUBTOTAL(9,L33:L35)</f>
        <v>16639</v>
      </c>
      <c r="M36" s="25">
        <f>SUBTOTAL(9,M33:M35)</f>
        <v>40600000</v>
      </c>
    </row>
    <row r="37" spans="1:13" s="18" customFormat="1" outlineLevel="2">
      <c r="A37" s="19" t="s">
        <v>80</v>
      </c>
      <c r="B37" s="20" t="s">
        <v>16</v>
      </c>
      <c r="C37" s="21" t="s">
        <v>57</v>
      </c>
      <c r="D37" s="20" t="s">
        <v>56</v>
      </c>
      <c r="E37" s="3">
        <v>26500000</v>
      </c>
      <c r="F37" s="19">
        <v>43907</v>
      </c>
      <c r="G37" s="3">
        <v>24291668</v>
      </c>
      <c r="H37" s="2">
        <v>5.0000000000000001E-3</v>
      </c>
      <c r="I37" s="19">
        <v>44136</v>
      </c>
      <c r="J37" s="19">
        <v>44150</v>
      </c>
      <c r="K37" s="3">
        <f t="shared" ref="K37:K68" si="2">J37-I37+1</f>
        <v>15</v>
      </c>
      <c r="L37" s="3">
        <f t="shared" ref="L37:L68" si="3">ROUND(G37*H37*K37/366,0)</f>
        <v>4978</v>
      </c>
      <c r="M37" s="3">
        <v>23976192</v>
      </c>
    </row>
    <row r="38" spans="1:13" s="18" customFormat="1" outlineLevel="2">
      <c r="A38" s="19" t="s">
        <v>80</v>
      </c>
      <c r="B38" s="20" t="s">
        <v>16</v>
      </c>
      <c r="C38" s="21" t="s">
        <v>57</v>
      </c>
      <c r="D38" s="20"/>
      <c r="E38" s="3"/>
      <c r="F38" s="19"/>
      <c r="G38" s="3">
        <v>23976192</v>
      </c>
      <c r="H38" s="2">
        <v>5.0000000000000001E-3</v>
      </c>
      <c r="I38" s="19">
        <v>44151</v>
      </c>
      <c r="J38" s="19">
        <v>44165</v>
      </c>
      <c r="K38" s="3">
        <f t="shared" si="2"/>
        <v>15</v>
      </c>
      <c r="L38" s="3">
        <f t="shared" si="3"/>
        <v>4913</v>
      </c>
      <c r="M38" s="3"/>
    </row>
    <row r="39" spans="1:13" s="18" customFormat="1" outlineLevel="2">
      <c r="A39" s="19" t="s">
        <v>80</v>
      </c>
      <c r="B39" s="20" t="s">
        <v>61</v>
      </c>
      <c r="C39" s="21" t="s">
        <v>162</v>
      </c>
      <c r="D39" s="20" t="s">
        <v>161</v>
      </c>
      <c r="E39" s="3">
        <v>130000000</v>
      </c>
      <c r="F39" s="19">
        <v>44013</v>
      </c>
      <c r="G39" s="3">
        <v>130000000</v>
      </c>
      <c r="H39" s="2">
        <v>5.0000000000000001E-3</v>
      </c>
      <c r="I39" s="19">
        <v>44136</v>
      </c>
      <c r="J39" s="19">
        <v>44165</v>
      </c>
      <c r="K39" s="3">
        <f t="shared" si="2"/>
        <v>30</v>
      </c>
      <c r="L39" s="3">
        <f t="shared" si="3"/>
        <v>53279</v>
      </c>
      <c r="M39" s="3">
        <v>130000000</v>
      </c>
    </row>
    <row r="40" spans="1:13" s="18" customFormat="1" outlineLevel="2">
      <c r="A40" s="19" t="s">
        <v>80</v>
      </c>
      <c r="B40" s="20" t="s">
        <v>60</v>
      </c>
      <c r="C40" s="21" t="s">
        <v>137</v>
      </c>
      <c r="D40" s="20" t="s">
        <v>136</v>
      </c>
      <c r="E40" s="3">
        <v>3400000</v>
      </c>
      <c r="F40" s="19">
        <v>44063</v>
      </c>
      <c r="G40" s="3">
        <v>3282760</v>
      </c>
      <c r="H40" s="2">
        <v>5.0000000000000001E-3</v>
      </c>
      <c r="I40" s="19">
        <v>44136</v>
      </c>
      <c r="J40" s="19">
        <v>44150</v>
      </c>
      <c r="K40" s="3">
        <f t="shared" si="2"/>
        <v>15</v>
      </c>
      <c r="L40" s="3">
        <f t="shared" si="3"/>
        <v>673</v>
      </c>
      <c r="M40" s="3">
        <v>3224140</v>
      </c>
    </row>
    <row r="41" spans="1:13" s="18" customFormat="1" outlineLevel="2">
      <c r="A41" s="19" t="s">
        <v>80</v>
      </c>
      <c r="B41" s="20" t="s">
        <v>60</v>
      </c>
      <c r="C41" s="21" t="s">
        <v>137</v>
      </c>
      <c r="D41" s="20"/>
      <c r="E41" s="3"/>
      <c r="F41" s="19"/>
      <c r="G41" s="3">
        <v>3224140</v>
      </c>
      <c r="H41" s="2">
        <v>5.0000000000000001E-3</v>
      </c>
      <c r="I41" s="19">
        <v>44151</v>
      </c>
      <c r="J41" s="19">
        <v>44165</v>
      </c>
      <c r="K41" s="3">
        <f t="shared" si="2"/>
        <v>15</v>
      </c>
      <c r="L41" s="3">
        <f t="shared" si="3"/>
        <v>661</v>
      </c>
      <c r="M41" s="3"/>
    </row>
    <row r="42" spans="1:13" s="18" customFormat="1" outlineLevel="2">
      <c r="A42" s="19" t="s">
        <v>80</v>
      </c>
      <c r="B42" s="20" t="s">
        <v>66</v>
      </c>
      <c r="C42" s="21" t="s">
        <v>137</v>
      </c>
      <c r="D42" s="20" t="s">
        <v>136</v>
      </c>
      <c r="E42" s="3">
        <v>9800000</v>
      </c>
      <c r="F42" s="19">
        <v>44071</v>
      </c>
      <c r="G42" s="3">
        <v>9462066</v>
      </c>
      <c r="H42" s="2">
        <v>5.0000000000000001E-3</v>
      </c>
      <c r="I42" s="19">
        <v>44136</v>
      </c>
      <c r="J42" s="19">
        <v>44150</v>
      </c>
      <c r="K42" s="3">
        <f t="shared" si="2"/>
        <v>15</v>
      </c>
      <c r="L42" s="3">
        <f t="shared" si="3"/>
        <v>1939</v>
      </c>
      <c r="M42" s="3">
        <v>9293099</v>
      </c>
    </row>
    <row r="43" spans="1:13" s="18" customFormat="1" outlineLevel="2">
      <c r="A43" s="19" t="s">
        <v>80</v>
      </c>
      <c r="B43" s="20" t="s">
        <v>66</v>
      </c>
      <c r="C43" s="21" t="s">
        <v>137</v>
      </c>
      <c r="D43" s="20"/>
      <c r="E43" s="3"/>
      <c r="F43" s="19"/>
      <c r="G43" s="3">
        <v>9293099</v>
      </c>
      <c r="H43" s="2">
        <v>5.0000000000000001E-3</v>
      </c>
      <c r="I43" s="19">
        <v>44151</v>
      </c>
      <c r="J43" s="19">
        <v>44165</v>
      </c>
      <c r="K43" s="3">
        <f t="shared" si="2"/>
        <v>15</v>
      </c>
      <c r="L43" s="3">
        <f t="shared" si="3"/>
        <v>1904</v>
      </c>
      <c r="M43" s="3"/>
    </row>
    <row r="44" spans="1:13" s="18" customFormat="1" outlineLevel="2">
      <c r="A44" s="19" t="s">
        <v>80</v>
      </c>
      <c r="B44" s="20" t="s">
        <v>65</v>
      </c>
      <c r="C44" s="21" t="s">
        <v>135</v>
      </c>
      <c r="D44" s="20" t="s">
        <v>134</v>
      </c>
      <c r="E44" s="3">
        <v>201000000</v>
      </c>
      <c r="F44" s="19">
        <v>44064</v>
      </c>
      <c r="G44" s="3">
        <v>201000000</v>
      </c>
      <c r="H44" s="2">
        <v>5.0000000000000001E-3</v>
      </c>
      <c r="I44" s="19">
        <v>44136</v>
      </c>
      <c r="J44" s="19">
        <v>44165</v>
      </c>
      <c r="K44" s="3">
        <f t="shared" si="2"/>
        <v>30</v>
      </c>
      <c r="L44" s="3">
        <f t="shared" si="3"/>
        <v>82377</v>
      </c>
      <c r="M44" s="3">
        <v>201000000</v>
      </c>
    </row>
    <row r="45" spans="1:13" s="18" customFormat="1" outlineLevel="2">
      <c r="A45" s="19" t="s">
        <v>80</v>
      </c>
      <c r="B45" s="20" t="s">
        <v>64</v>
      </c>
      <c r="C45" s="21" t="s">
        <v>205</v>
      </c>
      <c r="D45" s="20" t="s">
        <v>204</v>
      </c>
      <c r="E45" s="3">
        <v>211550000</v>
      </c>
      <c r="F45" s="19">
        <v>44078</v>
      </c>
      <c r="G45" s="3">
        <v>211550000</v>
      </c>
      <c r="H45" s="2">
        <v>5.0000000000000001E-3</v>
      </c>
      <c r="I45" s="19">
        <v>44136</v>
      </c>
      <c r="J45" s="19">
        <v>44165</v>
      </c>
      <c r="K45" s="3">
        <f t="shared" si="2"/>
        <v>30</v>
      </c>
      <c r="L45" s="3">
        <f t="shared" si="3"/>
        <v>86701</v>
      </c>
      <c r="M45" s="3">
        <v>211550000</v>
      </c>
    </row>
    <row r="46" spans="1:13" s="18" customFormat="1" outlineLevel="2">
      <c r="A46" s="19" t="s">
        <v>80</v>
      </c>
      <c r="B46" s="20" t="s">
        <v>85</v>
      </c>
      <c r="C46" s="21" t="s">
        <v>205</v>
      </c>
      <c r="D46" s="20" t="s">
        <v>204</v>
      </c>
      <c r="E46" s="3">
        <v>91330000</v>
      </c>
      <c r="F46" s="19">
        <v>44120</v>
      </c>
      <c r="G46" s="3">
        <v>91330000</v>
      </c>
      <c r="H46" s="2">
        <v>5.0000000000000001E-3</v>
      </c>
      <c r="I46" s="19">
        <v>44136</v>
      </c>
      <c r="J46" s="19">
        <v>44165</v>
      </c>
      <c r="K46" s="3">
        <f t="shared" si="2"/>
        <v>30</v>
      </c>
      <c r="L46" s="3">
        <f t="shared" si="3"/>
        <v>37430</v>
      </c>
      <c r="M46" s="3">
        <v>91330000</v>
      </c>
    </row>
    <row r="47" spans="1:13" s="18" customFormat="1" outlineLevel="2">
      <c r="A47" s="19" t="s">
        <v>80</v>
      </c>
      <c r="B47" s="20" t="s">
        <v>84</v>
      </c>
      <c r="C47" s="21" t="s">
        <v>107</v>
      </c>
      <c r="D47" s="20" t="s">
        <v>106</v>
      </c>
      <c r="E47" s="3">
        <v>10000000</v>
      </c>
      <c r="F47" s="19">
        <v>44120</v>
      </c>
      <c r="G47" s="3">
        <v>10000000</v>
      </c>
      <c r="H47" s="2">
        <v>5.0000000000000001E-3</v>
      </c>
      <c r="I47" s="19">
        <v>44136</v>
      </c>
      <c r="J47" s="19">
        <v>44165</v>
      </c>
      <c r="K47" s="3">
        <f t="shared" si="2"/>
        <v>30</v>
      </c>
      <c r="L47" s="3">
        <f t="shared" si="3"/>
        <v>4098</v>
      </c>
      <c r="M47" s="3">
        <v>10000000</v>
      </c>
    </row>
    <row r="48" spans="1:13" s="18" customFormat="1" outlineLevel="2">
      <c r="A48" s="19" t="s">
        <v>80</v>
      </c>
      <c r="B48" s="20" t="s">
        <v>83</v>
      </c>
      <c r="C48" s="21" t="s">
        <v>126</v>
      </c>
      <c r="D48" s="20" t="s">
        <v>125</v>
      </c>
      <c r="E48" s="3">
        <v>40000000</v>
      </c>
      <c r="F48" s="19">
        <v>44131</v>
      </c>
      <c r="G48" s="3">
        <v>40000000</v>
      </c>
      <c r="H48" s="2">
        <v>5.0000000000000001E-3</v>
      </c>
      <c r="I48" s="19">
        <v>44136</v>
      </c>
      <c r="J48" s="19">
        <v>44165</v>
      </c>
      <c r="K48" s="3">
        <f t="shared" si="2"/>
        <v>30</v>
      </c>
      <c r="L48" s="3">
        <f t="shared" si="3"/>
        <v>16393</v>
      </c>
      <c r="M48" s="3">
        <v>40000000</v>
      </c>
    </row>
    <row r="49" spans="1:13" s="18" customFormat="1" outlineLevel="2">
      <c r="A49" s="19" t="s">
        <v>80</v>
      </c>
      <c r="B49" s="20" t="s">
        <v>102</v>
      </c>
      <c r="C49" s="21" t="s">
        <v>130</v>
      </c>
      <c r="D49" s="20" t="s">
        <v>129</v>
      </c>
      <c r="E49" s="3">
        <v>88000000</v>
      </c>
      <c r="F49" s="19">
        <v>44119</v>
      </c>
      <c r="G49" s="3">
        <v>88000000</v>
      </c>
      <c r="H49" s="2">
        <v>5.0000000000000001E-3</v>
      </c>
      <c r="I49" s="19">
        <v>44136</v>
      </c>
      <c r="J49" s="19">
        <v>44165</v>
      </c>
      <c r="K49" s="3">
        <f t="shared" si="2"/>
        <v>30</v>
      </c>
      <c r="L49" s="3">
        <f t="shared" si="3"/>
        <v>36066</v>
      </c>
      <c r="M49" s="3">
        <v>88000000</v>
      </c>
    </row>
    <row r="50" spans="1:13" s="18" customFormat="1" outlineLevel="2">
      <c r="A50" s="19" t="s">
        <v>80</v>
      </c>
      <c r="B50" s="20" t="s">
        <v>101</v>
      </c>
      <c r="C50" s="21" t="s">
        <v>225</v>
      </c>
      <c r="D50" s="20" t="s">
        <v>224</v>
      </c>
      <c r="E50" s="3">
        <v>65800000</v>
      </c>
      <c r="F50" s="19">
        <v>44119</v>
      </c>
      <c r="G50" s="3">
        <v>65800000</v>
      </c>
      <c r="H50" s="2">
        <v>5.0000000000000001E-3</v>
      </c>
      <c r="I50" s="19">
        <v>44136</v>
      </c>
      <c r="J50" s="19">
        <v>44165</v>
      </c>
      <c r="K50" s="3">
        <f t="shared" si="2"/>
        <v>30</v>
      </c>
      <c r="L50" s="3">
        <f t="shared" si="3"/>
        <v>26967</v>
      </c>
      <c r="M50" s="3">
        <v>65800000</v>
      </c>
    </row>
    <row r="51" spans="1:13" s="18" customFormat="1" outlineLevel="2">
      <c r="A51" s="19" t="s">
        <v>80</v>
      </c>
      <c r="B51" s="20" t="s">
        <v>23</v>
      </c>
      <c r="C51" s="21" t="s">
        <v>74</v>
      </c>
      <c r="D51" s="20" t="s">
        <v>73</v>
      </c>
      <c r="E51" s="3">
        <v>90000000</v>
      </c>
      <c r="F51" s="19">
        <v>43913</v>
      </c>
      <c r="G51" s="3">
        <v>90000000</v>
      </c>
      <c r="H51" s="2">
        <v>5.0000000000000001E-3</v>
      </c>
      <c r="I51" s="19">
        <v>44136</v>
      </c>
      <c r="J51" s="19">
        <v>44165</v>
      </c>
      <c r="K51" s="3">
        <f t="shared" si="2"/>
        <v>30</v>
      </c>
      <c r="L51" s="3">
        <f t="shared" si="3"/>
        <v>36885</v>
      </c>
      <c r="M51" s="3">
        <v>90000000</v>
      </c>
    </row>
    <row r="52" spans="1:13" s="18" customFormat="1" outlineLevel="2">
      <c r="A52" s="19" t="s">
        <v>80</v>
      </c>
      <c r="B52" s="20" t="s">
        <v>100</v>
      </c>
      <c r="C52" s="21" t="s">
        <v>256</v>
      </c>
      <c r="D52" s="20" t="s">
        <v>255</v>
      </c>
      <c r="E52" s="3">
        <v>7611996</v>
      </c>
      <c r="F52" s="19">
        <v>44151</v>
      </c>
      <c r="G52" s="3">
        <v>7611996</v>
      </c>
      <c r="H52" s="2">
        <v>5.0000000000000001E-3</v>
      </c>
      <c r="I52" s="19">
        <v>44151</v>
      </c>
      <c r="J52" s="19">
        <v>44165</v>
      </c>
      <c r="K52" s="3">
        <f t="shared" si="2"/>
        <v>15</v>
      </c>
      <c r="L52" s="3">
        <f t="shared" si="3"/>
        <v>1560</v>
      </c>
      <c r="M52" s="3">
        <v>7611996</v>
      </c>
    </row>
    <row r="53" spans="1:13" s="18" customFormat="1" outlineLevel="2">
      <c r="A53" s="19" t="s">
        <v>80</v>
      </c>
      <c r="B53" s="20" t="s">
        <v>99</v>
      </c>
      <c r="C53" s="21" t="s">
        <v>256</v>
      </c>
      <c r="D53" s="20" t="s">
        <v>255</v>
      </c>
      <c r="E53" s="3">
        <v>4900000</v>
      </c>
      <c r="F53" s="19">
        <v>44151</v>
      </c>
      <c r="G53" s="3">
        <v>4900000</v>
      </c>
      <c r="H53" s="2">
        <v>5.0000000000000001E-3</v>
      </c>
      <c r="I53" s="19">
        <v>44151</v>
      </c>
      <c r="J53" s="19">
        <v>44165</v>
      </c>
      <c r="K53" s="3">
        <f t="shared" si="2"/>
        <v>15</v>
      </c>
      <c r="L53" s="3">
        <f t="shared" si="3"/>
        <v>1004</v>
      </c>
      <c r="M53" s="3">
        <v>4900000</v>
      </c>
    </row>
    <row r="54" spans="1:13" s="18" customFormat="1" outlineLevel="2">
      <c r="A54" s="19" t="s">
        <v>80</v>
      </c>
      <c r="B54" s="20" t="s">
        <v>98</v>
      </c>
      <c r="C54" s="21" t="s">
        <v>256</v>
      </c>
      <c r="D54" s="20" t="s">
        <v>255</v>
      </c>
      <c r="E54" s="3">
        <v>21838392</v>
      </c>
      <c r="F54" s="19">
        <v>44151</v>
      </c>
      <c r="G54" s="3">
        <v>21838392</v>
      </c>
      <c r="H54" s="2">
        <v>5.0000000000000001E-3</v>
      </c>
      <c r="I54" s="19">
        <v>44151</v>
      </c>
      <c r="J54" s="19">
        <v>44165</v>
      </c>
      <c r="K54" s="3">
        <f t="shared" si="2"/>
        <v>15</v>
      </c>
      <c r="L54" s="3">
        <f t="shared" si="3"/>
        <v>4475</v>
      </c>
      <c r="M54" s="3">
        <v>21838392</v>
      </c>
    </row>
    <row r="55" spans="1:13" s="18" customFormat="1" outlineLevel="2">
      <c r="A55" s="19" t="s">
        <v>80</v>
      </c>
      <c r="B55" s="20" t="s">
        <v>122</v>
      </c>
      <c r="C55" s="21" t="s">
        <v>235</v>
      </c>
      <c r="D55" s="20" t="s">
        <v>234</v>
      </c>
      <c r="E55" s="3">
        <v>41950000</v>
      </c>
      <c r="F55" s="19">
        <v>44154</v>
      </c>
      <c r="G55" s="3">
        <v>41950000</v>
      </c>
      <c r="H55" s="2">
        <v>5.0000000000000001E-3</v>
      </c>
      <c r="I55" s="19">
        <v>44154</v>
      </c>
      <c r="J55" s="19">
        <v>44165</v>
      </c>
      <c r="K55" s="3">
        <f t="shared" si="2"/>
        <v>12</v>
      </c>
      <c r="L55" s="3">
        <f t="shared" si="3"/>
        <v>6877</v>
      </c>
      <c r="M55" s="3">
        <v>41950000</v>
      </c>
    </row>
    <row r="56" spans="1:13" s="18" customFormat="1" outlineLevel="2">
      <c r="A56" s="19" t="s">
        <v>80</v>
      </c>
      <c r="B56" s="20" t="s">
        <v>121</v>
      </c>
      <c r="C56" s="21" t="s">
        <v>235</v>
      </c>
      <c r="D56" s="20" t="s">
        <v>234</v>
      </c>
      <c r="E56" s="3">
        <v>30000000</v>
      </c>
      <c r="F56" s="19">
        <v>44154</v>
      </c>
      <c r="G56" s="3">
        <v>30000000</v>
      </c>
      <c r="H56" s="2">
        <v>5.0000000000000001E-3</v>
      </c>
      <c r="I56" s="19">
        <v>44154</v>
      </c>
      <c r="J56" s="19">
        <v>44165</v>
      </c>
      <c r="K56" s="3">
        <f t="shared" si="2"/>
        <v>12</v>
      </c>
      <c r="L56" s="3">
        <f t="shared" si="3"/>
        <v>4918</v>
      </c>
      <c r="M56" s="3">
        <v>30000000</v>
      </c>
    </row>
    <row r="57" spans="1:13" s="18" customFormat="1" outlineLevel="2">
      <c r="A57" s="19" t="s">
        <v>80</v>
      </c>
      <c r="B57" s="20" t="s">
        <v>120</v>
      </c>
      <c r="C57" s="21" t="s">
        <v>137</v>
      </c>
      <c r="D57" s="20" t="s">
        <v>136</v>
      </c>
      <c r="E57" s="3">
        <v>3490000</v>
      </c>
      <c r="F57" s="19">
        <v>44138</v>
      </c>
      <c r="G57" s="3">
        <v>3490000</v>
      </c>
      <c r="H57" s="2">
        <v>5.0000000000000001E-3</v>
      </c>
      <c r="I57" s="19">
        <v>44138</v>
      </c>
      <c r="J57" s="19">
        <v>44165</v>
      </c>
      <c r="K57" s="3">
        <f t="shared" si="2"/>
        <v>28</v>
      </c>
      <c r="L57" s="3">
        <f t="shared" si="3"/>
        <v>1335</v>
      </c>
      <c r="M57" s="3">
        <v>3490000</v>
      </c>
    </row>
    <row r="58" spans="1:13" s="18" customFormat="1" outlineLevel="2">
      <c r="A58" s="19" t="s">
        <v>80</v>
      </c>
      <c r="B58" s="20" t="s">
        <v>147</v>
      </c>
      <c r="C58" s="21" t="s">
        <v>137</v>
      </c>
      <c r="D58" s="20" t="s">
        <v>136</v>
      </c>
      <c r="E58" s="3">
        <v>1970000</v>
      </c>
      <c r="F58" s="19">
        <v>44147</v>
      </c>
      <c r="G58" s="3">
        <v>1970000</v>
      </c>
      <c r="H58" s="2">
        <v>5.0000000000000001E-3</v>
      </c>
      <c r="I58" s="19">
        <v>44147</v>
      </c>
      <c r="J58" s="19">
        <v>44165</v>
      </c>
      <c r="K58" s="3">
        <f t="shared" si="2"/>
        <v>19</v>
      </c>
      <c r="L58" s="3">
        <f t="shared" si="3"/>
        <v>511</v>
      </c>
      <c r="M58" s="3">
        <v>1970000</v>
      </c>
    </row>
    <row r="59" spans="1:13" s="18" customFormat="1" outlineLevel="2">
      <c r="A59" s="19" t="s">
        <v>80</v>
      </c>
      <c r="B59" s="20" t="s">
        <v>29</v>
      </c>
      <c r="C59" s="21" t="s">
        <v>57</v>
      </c>
      <c r="D59" s="20" t="s">
        <v>56</v>
      </c>
      <c r="E59" s="3">
        <v>23500000</v>
      </c>
      <c r="F59" s="19">
        <v>43928</v>
      </c>
      <c r="G59" s="3">
        <v>21541659</v>
      </c>
      <c r="H59" s="2">
        <v>5.0000000000000001E-3</v>
      </c>
      <c r="I59" s="19">
        <v>44136</v>
      </c>
      <c r="J59" s="19">
        <v>44150</v>
      </c>
      <c r="K59" s="3">
        <f t="shared" si="2"/>
        <v>15</v>
      </c>
      <c r="L59" s="3">
        <f t="shared" si="3"/>
        <v>4414</v>
      </c>
      <c r="M59" s="3">
        <v>21261896</v>
      </c>
    </row>
    <row r="60" spans="1:13" s="18" customFormat="1" outlineLevel="2">
      <c r="A60" s="19" t="s">
        <v>80</v>
      </c>
      <c r="B60" s="20" t="s">
        <v>29</v>
      </c>
      <c r="C60" s="21" t="s">
        <v>57</v>
      </c>
      <c r="D60" s="20"/>
      <c r="E60" s="3"/>
      <c r="F60" s="19"/>
      <c r="G60" s="3">
        <v>21261896</v>
      </c>
      <c r="H60" s="2">
        <v>5.0000000000000001E-3</v>
      </c>
      <c r="I60" s="19">
        <v>44151</v>
      </c>
      <c r="J60" s="19">
        <v>44165</v>
      </c>
      <c r="K60" s="3">
        <f t="shared" si="2"/>
        <v>15</v>
      </c>
      <c r="L60" s="3">
        <f t="shared" si="3"/>
        <v>4357</v>
      </c>
      <c r="M60" s="3"/>
    </row>
    <row r="61" spans="1:13" s="18" customFormat="1" outlineLevel="2">
      <c r="A61" s="19" t="s">
        <v>80</v>
      </c>
      <c r="B61" s="20" t="s">
        <v>30</v>
      </c>
      <c r="C61" s="21" t="s">
        <v>137</v>
      </c>
      <c r="D61" s="20" t="s">
        <v>136</v>
      </c>
      <c r="E61" s="3">
        <v>7000000</v>
      </c>
      <c r="F61" s="19">
        <v>44004</v>
      </c>
      <c r="G61" s="3">
        <v>6533332</v>
      </c>
      <c r="H61" s="2">
        <v>5.0000000000000001E-3</v>
      </c>
      <c r="I61" s="19">
        <v>44136</v>
      </c>
      <c r="J61" s="19">
        <v>44150</v>
      </c>
      <c r="K61" s="3">
        <f t="shared" si="2"/>
        <v>15</v>
      </c>
      <c r="L61" s="3">
        <f t="shared" si="3"/>
        <v>1339</v>
      </c>
      <c r="M61" s="3">
        <v>6416665</v>
      </c>
    </row>
    <row r="62" spans="1:13" s="18" customFormat="1" outlineLevel="2">
      <c r="A62" s="19" t="s">
        <v>80</v>
      </c>
      <c r="B62" s="20" t="s">
        <v>30</v>
      </c>
      <c r="C62" s="21" t="s">
        <v>137</v>
      </c>
      <c r="D62" s="20"/>
      <c r="E62" s="3"/>
      <c r="F62" s="19"/>
      <c r="G62" s="3">
        <v>6416665</v>
      </c>
      <c r="H62" s="2">
        <v>5.0000000000000001E-3</v>
      </c>
      <c r="I62" s="19">
        <v>44151</v>
      </c>
      <c r="J62" s="19">
        <v>44165</v>
      </c>
      <c r="K62" s="3">
        <f t="shared" si="2"/>
        <v>15</v>
      </c>
      <c r="L62" s="3">
        <f t="shared" si="3"/>
        <v>1315</v>
      </c>
      <c r="M62" s="3"/>
    </row>
    <row r="63" spans="1:13" s="18" customFormat="1" outlineLevel="2">
      <c r="A63" s="19" t="s">
        <v>80</v>
      </c>
      <c r="B63" s="20" t="s">
        <v>31</v>
      </c>
      <c r="C63" s="21" t="s">
        <v>135</v>
      </c>
      <c r="D63" s="20" t="s">
        <v>134</v>
      </c>
      <c r="E63" s="3">
        <v>298410000</v>
      </c>
      <c r="F63" s="19">
        <v>44006</v>
      </c>
      <c r="G63" s="3">
        <v>298410000</v>
      </c>
      <c r="H63" s="2">
        <v>5.0000000000000001E-3</v>
      </c>
      <c r="I63" s="19">
        <v>44136</v>
      </c>
      <c r="J63" s="19">
        <v>44165</v>
      </c>
      <c r="K63" s="3">
        <f t="shared" si="2"/>
        <v>30</v>
      </c>
      <c r="L63" s="3">
        <f t="shared" si="3"/>
        <v>122299</v>
      </c>
      <c r="M63" s="3">
        <v>298410000</v>
      </c>
    </row>
    <row r="64" spans="1:13" s="18" customFormat="1" outlineLevel="2">
      <c r="A64" s="19" t="s">
        <v>80</v>
      </c>
      <c r="B64" s="20" t="s">
        <v>32</v>
      </c>
      <c r="C64" s="21" t="s">
        <v>135</v>
      </c>
      <c r="D64" s="20" t="s">
        <v>134</v>
      </c>
      <c r="E64" s="3">
        <v>95370000</v>
      </c>
      <c r="F64" s="19">
        <v>44006</v>
      </c>
      <c r="G64" s="3">
        <v>95370000</v>
      </c>
      <c r="H64" s="2">
        <v>5.0000000000000001E-3</v>
      </c>
      <c r="I64" s="19">
        <v>44136</v>
      </c>
      <c r="J64" s="19">
        <v>44165</v>
      </c>
      <c r="K64" s="3">
        <f t="shared" si="2"/>
        <v>30</v>
      </c>
      <c r="L64" s="3">
        <f t="shared" si="3"/>
        <v>39086</v>
      </c>
      <c r="M64" s="3">
        <v>95370000</v>
      </c>
    </row>
    <row r="65" spans="1:13" s="18" customFormat="1" outlineLevel="2">
      <c r="A65" s="19" t="s">
        <v>80</v>
      </c>
      <c r="B65" s="20" t="s">
        <v>48</v>
      </c>
      <c r="C65" s="21" t="s">
        <v>135</v>
      </c>
      <c r="D65" s="20" t="s">
        <v>134</v>
      </c>
      <c r="E65" s="3">
        <v>73910000</v>
      </c>
      <c r="F65" s="19">
        <v>44032</v>
      </c>
      <c r="G65" s="3">
        <v>73910000</v>
      </c>
      <c r="H65" s="2">
        <v>5.0000000000000001E-3</v>
      </c>
      <c r="I65" s="19">
        <v>44136</v>
      </c>
      <c r="J65" s="19">
        <v>44165</v>
      </c>
      <c r="K65" s="3">
        <f t="shared" si="2"/>
        <v>30</v>
      </c>
      <c r="L65" s="3">
        <f t="shared" si="3"/>
        <v>30291</v>
      </c>
      <c r="M65" s="3">
        <v>73910000</v>
      </c>
    </row>
    <row r="66" spans="1:13" s="18" customFormat="1" outlineLevel="2">
      <c r="A66" s="19" t="s">
        <v>80</v>
      </c>
      <c r="B66" s="20" t="s">
        <v>59</v>
      </c>
      <c r="C66" s="21" t="s">
        <v>135</v>
      </c>
      <c r="D66" s="20" t="s">
        <v>134</v>
      </c>
      <c r="E66" s="3">
        <v>291200000</v>
      </c>
      <c r="F66" s="19">
        <v>44032</v>
      </c>
      <c r="G66" s="3">
        <v>291200000</v>
      </c>
      <c r="H66" s="2">
        <v>3.0000000000000001E-3</v>
      </c>
      <c r="I66" s="19">
        <v>44136</v>
      </c>
      <c r="J66" s="19">
        <v>44165</v>
      </c>
      <c r="K66" s="3">
        <f t="shared" si="2"/>
        <v>30</v>
      </c>
      <c r="L66" s="3">
        <f t="shared" si="3"/>
        <v>71607</v>
      </c>
      <c r="M66" s="3">
        <v>291200000</v>
      </c>
    </row>
    <row r="67" spans="1:13" s="18" customFormat="1" outlineLevel="2">
      <c r="A67" s="19" t="s">
        <v>80</v>
      </c>
      <c r="B67" s="20" t="s">
        <v>58</v>
      </c>
      <c r="C67" s="21" t="s">
        <v>137</v>
      </c>
      <c r="D67" s="20" t="s">
        <v>136</v>
      </c>
      <c r="E67" s="3">
        <v>10000000</v>
      </c>
      <c r="F67" s="19">
        <v>44025</v>
      </c>
      <c r="G67" s="3">
        <v>9491524</v>
      </c>
      <c r="H67" s="2">
        <v>5.0000000000000001E-3</v>
      </c>
      <c r="I67" s="19">
        <v>44136</v>
      </c>
      <c r="J67" s="19">
        <v>44150</v>
      </c>
      <c r="K67" s="3">
        <f t="shared" si="2"/>
        <v>15</v>
      </c>
      <c r="L67" s="3">
        <f t="shared" si="3"/>
        <v>1945</v>
      </c>
      <c r="M67" s="3">
        <v>9322032</v>
      </c>
    </row>
    <row r="68" spans="1:13" s="18" customFormat="1" outlineLevel="2">
      <c r="A68" s="19" t="s">
        <v>80</v>
      </c>
      <c r="B68" s="20" t="s">
        <v>58</v>
      </c>
      <c r="C68" s="21" t="s">
        <v>137</v>
      </c>
      <c r="D68" s="20"/>
      <c r="E68" s="3"/>
      <c r="F68" s="19"/>
      <c r="G68" s="3">
        <v>9322032</v>
      </c>
      <c r="H68" s="2">
        <v>5.0000000000000001E-3</v>
      </c>
      <c r="I68" s="19">
        <v>44151</v>
      </c>
      <c r="J68" s="19">
        <v>44165</v>
      </c>
      <c r="K68" s="3">
        <f t="shared" si="2"/>
        <v>15</v>
      </c>
      <c r="L68" s="3">
        <f t="shared" si="3"/>
        <v>1910</v>
      </c>
      <c r="M68" s="3"/>
    </row>
    <row r="69" spans="1:13" s="18" customFormat="1" ht="13.5" outlineLevel="1">
      <c r="A69" s="22" t="s">
        <v>79</v>
      </c>
      <c r="B69" s="23"/>
      <c r="C69" s="24"/>
      <c r="D69" s="23"/>
      <c r="E69" s="25">
        <f>SUBTOTAL(9,E37:E68)</f>
        <v>1878530388</v>
      </c>
      <c r="F69" s="26"/>
      <c r="G69" s="25"/>
      <c r="H69" s="27"/>
      <c r="I69" s="26"/>
      <c r="J69" s="26"/>
      <c r="K69" s="25"/>
      <c r="L69" s="25">
        <f>SUBTOTAL(9,L37:L68)</f>
        <v>694507</v>
      </c>
      <c r="M69" s="25">
        <f>SUBTOTAL(9,M37:M68)</f>
        <v>1871824412</v>
      </c>
    </row>
    <row r="70" spans="1:13" s="18" customFormat="1" outlineLevel="2">
      <c r="A70" s="19" t="s">
        <v>78</v>
      </c>
      <c r="B70" s="20" t="s">
        <v>16</v>
      </c>
      <c r="C70" s="21" t="s">
        <v>77</v>
      </c>
      <c r="D70" s="20" t="s">
        <v>76</v>
      </c>
      <c r="E70" s="3">
        <v>81465386</v>
      </c>
      <c r="F70" s="19">
        <v>43900</v>
      </c>
      <c r="G70" s="3">
        <v>81465386</v>
      </c>
      <c r="H70" s="2">
        <v>5.0000000000000001E-3</v>
      </c>
      <c r="I70" s="19">
        <v>44136</v>
      </c>
      <c r="J70" s="19">
        <v>44165</v>
      </c>
      <c r="K70" s="3">
        <f t="shared" ref="K70:K108" si="4">J70-I70+1</f>
        <v>30</v>
      </c>
      <c r="L70" s="3">
        <f t="shared" ref="L70:L108" si="5">ROUND(G70*H70*K70/366,0)</f>
        <v>33387</v>
      </c>
      <c r="M70" s="3">
        <v>81465386</v>
      </c>
    </row>
    <row r="71" spans="1:13" s="18" customFormat="1" outlineLevel="2">
      <c r="A71" s="19" t="s">
        <v>78</v>
      </c>
      <c r="B71" s="20" t="s">
        <v>61</v>
      </c>
      <c r="C71" s="21" t="s">
        <v>95</v>
      </c>
      <c r="D71" s="20" t="s">
        <v>94</v>
      </c>
      <c r="E71" s="3">
        <v>8860000</v>
      </c>
      <c r="F71" s="19">
        <v>43997</v>
      </c>
      <c r="G71" s="3">
        <v>8860000</v>
      </c>
      <c r="H71" s="2">
        <v>5.0000000000000001E-3</v>
      </c>
      <c r="I71" s="19">
        <v>44136</v>
      </c>
      <c r="J71" s="19">
        <v>44165</v>
      </c>
      <c r="K71" s="3">
        <f t="shared" si="4"/>
        <v>30</v>
      </c>
      <c r="L71" s="3">
        <f t="shared" si="5"/>
        <v>3631</v>
      </c>
      <c r="M71" s="3">
        <v>8860000</v>
      </c>
    </row>
    <row r="72" spans="1:13" s="18" customFormat="1" outlineLevel="2">
      <c r="A72" s="19" t="s">
        <v>78</v>
      </c>
      <c r="B72" s="20" t="s">
        <v>60</v>
      </c>
      <c r="C72" s="21" t="s">
        <v>93</v>
      </c>
      <c r="D72" s="20" t="s">
        <v>92</v>
      </c>
      <c r="E72" s="3">
        <v>20390000</v>
      </c>
      <c r="F72" s="19">
        <v>43997</v>
      </c>
      <c r="G72" s="3">
        <v>19395368</v>
      </c>
      <c r="H72" s="2">
        <v>5.0000000000000001E-3</v>
      </c>
      <c r="I72" s="19">
        <v>44136</v>
      </c>
      <c r="J72" s="19">
        <v>44150</v>
      </c>
      <c r="K72" s="3">
        <f t="shared" si="4"/>
        <v>15</v>
      </c>
      <c r="L72" s="3">
        <f t="shared" si="5"/>
        <v>3974</v>
      </c>
      <c r="M72" s="3">
        <v>19146710</v>
      </c>
    </row>
    <row r="73" spans="1:13" s="18" customFormat="1" outlineLevel="2">
      <c r="A73" s="19" t="s">
        <v>78</v>
      </c>
      <c r="B73" s="20" t="s">
        <v>60</v>
      </c>
      <c r="C73" s="21" t="s">
        <v>93</v>
      </c>
      <c r="D73" s="20"/>
      <c r="E73" s="3"/>
      <c r="F73" s="19"/>
      <c r="G73" s="3">
        <v>19146710</v>
      </c>
      <c r="H73" s="2">
        <v>5.0000000000000001E-3</v>
      </c>
      <c r="I73" s="19">
        <v>44151</v>
      </c>
      <c r="J73" s="19">
        <v>44165</v>
      </c>
      <c r="K73" s="3">
        <f t="shared" si="4"/>
        <v>15</v>
      </c>
      <c r="L73" s="3">
        <f t="shared" si="5"/>
        <v>3924</v>
      </c>
      <c r="M73" s="3"/>
    </row>
    <row r="74" spans="1:13" s="18" customFormat="1" outlineLevel="2">
      <c r="A74" s="19" t="s">
        <v>78</v>
      </c>
      <c r="B74" s="20" t="s">
        <v>66</v>
      </c>
      <c r="C74" s="21" t="s">
        <v>93</v>
      </c>
      <c r="D74" s="20" t="s">
        <v>92</v>
      </c>
      <c r="E74" s="3">
        <v>69600000</v>
      </c>
      <c r="F74" s="19">
        <v>43997</v>
      </c>
      <c r="G74" s="3">
        <v>67280000</v>
      </c>
      <c r="H74" s="2">
        <v>5.0000000000000001E-3</v>
      </c>
      <c r="I74" s="19">
        <v>44136</v>
      </c>
      <c r="J74" s="19">
        <v>44150</v>
      </c>
      <c r="K74" s="3">
        <f t="shared" si="4"/>
        <v>15</v>
      </c>
      <c r="L74" s="3">
        <f t="shared" si="5"/>
        <v>13787</v>
      </c>
      <c r="M74" s="3">
        <v>66700000</v>
      </c>
    </row>
    <row r="75" spans="1:13" s="18" customFormat="1" outlineLevel="2">
      <c r="A75" s="19" t="s">
        <v>78</v>
      </c>
      <c r="B75" s="20" t="s">
        <v>66</v>
      </c>
      <c r="C75" s="21" t="s">
        <v>93</v>
      </c>
      <c r="D75" s="20"/>
      <c r="E75" s="3"/>
      <c r="F75" s="19"/>
      <c r="G75" s="3">
        <v>66700000</v>
      </c>
      <c r="H75" s="2">
        <v>5.0000000000000001E-3</v>
      </c>
      <c r="I75" s="19">
        <v>44151</v>
      </c>
      <c r="J75" s="19">
        <v>44165</v>
      </c>
      <c r="K75" s="3">
        <f t="shared" si="4"/>
        <v>15</v>
      </c>
      <c r="L75" s="3">
        <f t="shared" si="5"/>
        <v>13668</v>
      </c>
      <c r="M75" s="3"/>
    </row>
    <row r="76" spans="1:13" s="18" customFormat="1" outlineLevel="2">
      <c r="A76" s="19" t="s">
        <v>78</v>
      </c>
      <c r="B76" s="20" t="s">
        <v>65</v>
      </c>
      <c r="C76" s="21" t="s">
        <v>77</v>
      </c>
      <c r="D76" s="20" t="s">
        <v>76</v>
      </c>
      <c r="E76" s="3">
        <v>16630000</v>
      </c>
      <c r="F76" s="19">
        <v>44011</v>
      </c>
      <c r="G76" s="3">
        <v>16630000</v>
      </c>
      <c r="H76" s="2">
        <v>5.0000000000000001E-3</v>
      </c>
      <c r="I76" s="19">
        <v>44136</v>
      </c>
      <c r="J76" s="19">
        <v>44165</v>
      </c>
      <c r="K76" s="3">
        <f t="shared" si="4"/>
        <v>30</v>
      </c>
      <c r="L76" s="3">
        <f t="shared" si="5"/>
        <v>6816</v>
      </c>
      <c r="M76" s="3">
        <v>16630000</v>
      </c>
    </row>
    <row r="77" spans="1:13" s="18" customFormat="1" outlineLevel="2">
      <c r="A77" s="19" t="s">
        <v>78</v>
      </c>
      <c r="B77" s="20" t="s">
        <v>64</v>
      </c>
      <c r="C77" s="21" t="s">
        <v>95</v>
      </c>
      <c r="D77" s="20" t="s">
        <v>94</v>
      </c>
      <c r="E77" s="3">
        <v>4650000</v>
      </c>
      <c r="F77" s="19">
        <v>44027</v>
      </c>
      <c r="G77" s="3">
        <v>4650000</v>
      </c>
      <c r="H77" s="2">
        <v>5.0000000000000001E-3</v>
      </c>
      <c r="I77" s="19">
        <v>44136</v>
      </c>
      <c r="J77" s="19">
        <v>44165</v>
      </c>
      <c r="K77" s="3">
        <f t="shared" si="4"/>
        <v>30</v>
      </c>
      <c r="L77" s="3">
        <f t="shared" si="5"/>
        <v>1906</v>
      </c>
      <c r="M77" s="3">
        <v>4650000</v>
      </c>
    </row>
    <row r="78" spans="1:13" s="18" customFormat="1" outlineLevel="2">
      <c r="A78" s="19" t="s">
        <v>78</v>
      </c>
      <c r="B78" s="20" t="s">
        <v>85</v>
      </c>
      <c r="C78" s="21" t="s">
        <v>93</v>
      </c>
      <c r="D78" s="20" t="s">
        <v>92</v>
      </c>
      <c r="E78" s="3">
        <v>10860000</v>
      </c>
      <c r="F78" s="19">
        <v>44027</v>
      </c>
      <c r="G78" s="3">
        <v>10457778</v>
      </c>
      <c r="H78" s="2">
        <v>5.0000000000000001E-3</v>
      </c>
      <c r="I78" s="19">
        <v>44136</v>
      </c>
      <c r="J78" s="19">
        <v>44150</v>
      </c>
      <c r="K78" s="3">
        <f t="shared" si="4"/>
        <v>15</v>
      </c>
      <c r="L78" s="3">
        <f t="shared" si="5"/>
        <v>2143</v>
      </c>
      <c r="M78" s="3">
        <v>10323704</v>
      </c>
    </row>
    <row r="79" spans="1:13" s="18" customFormat="1" outlineLevel="2">
      <c r="A79" s="19" t="s">
        <v>78</v>
      </c>
      <c r="B79" s="20" t="s">
        <v>85</v>
      </c>
      <c r="C79" s="21" t="s">
        <v>93</v>
      </c>
      <c r="D79" s="20"/>
      <c r="E79" s="3"/>
      <c r="F79" s="19"/>
      <c r="G79" s="3">
        <v>10323704</v>
      </c>
      <c r="H79" s="2">
        <v>5.0000000000000001E-3</v>
      </c>
      <c r="I79" s="19">
        <v>44151</v>
      </c>
      <c r="J79" s="19">
        <v>44165</v>
      </c>
      <c r="K79" s="3">
        <f t="shared" si="4"/>
        <v>15</v>
      </c>
      <c r="L79" s="3">
        <f t="shared" si="5"/>
        <v>2116</v>
      </c>
      <c r="M79" s="3"/>
    </row>
    <row r="80" spans="1:13" s="18" customFormat="1" outlineLevel="2">
      <c r="A80" s="19" t="s">
        <v>78</v>
      </c>
      <c r="B80" s="20" t="s">
        <v>84</v>
      </c>
      <c r="C80" s="21" t="s">
        <v>93</v>
      </c>
      <c r="D80" s="20" t="s">
        <v>92</v>
      </c>
      <c r="E80" s="3">
        <v>11600000</v>
      </c>
      <c r="F80" s="19">
        <v>44027</v>
      </c>
      <c r="G80" s="3">
        <v>11307566</v>
      </c>
      <c r="H80" s="2">
        <v>5.0000000000000001E-3</v>
      </c>
      <c r="I80" s="19">
        <v>44136</v>
      </c>
      <c r="J80" s="19">
        <v>44150</v>
      </c>
      <c r="K80" s="3">
        <f t="shared" si="4"/>
        <v>15</v>
      </c>
      <c r="L80" s="3">
        <f t="shared" si="5"/>
        <v>2317</v>
      </c>
      <c r="M80" s="3">
        <v>11210088</v>
      </c>
    </row>
    <row r="81" spans="1:13" s="18" customFormat="1" outlineLevel="2">
      <c r="A81" s="19" t="s">
        <v>78</v>
      </c>
      <c r="B81" s="20" t="s">
        <v>84</v>
      </c>
      <c r="C81" s="21" t="s">
        <v>93</v>
      </c>
      <c r="D81" s="20"/>
      <c r="E81" s="3"/>
      <c r="F81" s="19"/>
      <c r="G81" s="3">
        <v>11210088</v>
      </c>
      <c r="H81" s="2">
        <v>5.0000000000000001E-3</v>
      </c>
      <c r="I81" s="19">
        <v>44151</v>
      </c>
      <c r="J81" s="19">
        <v>44165</v>
      </c>
      <c r="K81" s="3">
        <f t="shared" si="4"/>
        <v>15</v>
      </c>
      <c r="L81" s="3">
        <f t="shared" si="5"/>
        <v>2297</v>
      </c>
      <c r="M81" s="3"/>
    </row>
    <row r="82" spans="1:13" s="18" customFormat="1" outlineLevel="2">
      <c r="A82" s="19" t="s">
        <v>78</v>
      </c>
      <c r="B82" s="20" t="s">
        <v>83</v>
      </c>
      <c r="C82" s="21" t="s">
        <v>139</v>
      </c>
      <c r="D82" s="20" t="s">
        <v>138</v>
      </c>
      <c r="E82" s="3">
        <v>18700000</v>
      </c>
      <c r="F82" s="19">
        <v>44032</v>
      </c>
      <c r="G82" s="3">
        <v>18700000</v>
      </c>
      <c r="H82" s="2">
        <v>5.0000000000000001E-3</v>
      </c>
      <c r="I82" s="19">
        <v>44136</v>
      </c>
      <c r="J82" s="19">
        <v>44165</v>
      </c>
      <c r="K82" s="3">
        <f t="shared" si="4"/>
        <v>30</v>
      </c>
      <c r="L82" s="3">
        <f t="shared" si="5"/>
        <v>7664</v>
      </c>
      <c r="M82" s="3">
        <v>18700000</v>
      </c>
    </row>
    <row r="83" spans="1:13" s="18" customFormat="1" outlineLevel="2">
      <c r="A83" s="19" t="s">
        <v>78</v>
      </c>
      <c r="B83" s="20" t="s">
        <v>102</v>
      </c>
      <c r="C83" s="21" t="s">
        <v>95</v>
      </c>
      <c r="D83" s="20" t="s">
        <v>94</v>
      </c>
      <c r="E83" s="3">
        <v>2950000</v>
      </c>
      <c r="F83" s="19">
        <v>44060</v>
      </c>
      <c r="G83" s="3">
        <v>2950000</v>
      </c>
      <c r="H83" s="2">
        <v>5.0000000000000001E-3</v>
      </c>
      <c r="I83" s="19">
        <v>44136</v>
      </c>
      <c r="J83" s="19">
        <v>44165</v>
      </c>
      <c r="K83" s="3">
        <f t="shared" si="4"/>
        <v>30</v>
      </c>
      <c r="L83" s="3">
        <f t="shared" si="5"/>
        <v>1209</v>
      </c>
      <c r="M83" s="3">
        <v>2950000</v>
      </c>
    </row>
    <row r="84" spans="1:13" s="18" customFormat="1" outlineLevel="2">
      <c r="A84" s="19" t="s">
        <v>78</v>
      </c>
      <c r="B84" s="20" t="s">
        <v>101</v>
      </c>
      <c r="C84" s="21" t="s">
        <v>77</v>
      </c>
      <c r="D84" s="20" t="s">
        <v>76</v>
      </c>
      <c r="E84" s="3">
        <v>15120000</v>
      </c>
      <c r="F84" s="19">
        <v>44091</v>
      </c>
      <c r="G84" s="3">
        <v>15120000</v>
      </c>
      <c r="H84" s="2">
        <v>5.0000000000000001E-3</v>
      </c>
      <c r="I84" s="19">
        <v>44136</v>
      </c>
      <c r="J84" s="19">
        <v>44165</v>
      </c>
      <c r="K84" s="3">
        <f t="shared" si="4"/>
        <v>30</v>
      </c>
      <c r="L84" s="3">
        <f t="shared" si="5"/>
        <v>6197</v>
      </c>
      <c r="M84" s="3">
        <v>15120000</v>
      </c>
    </row>
    <row r="85" spans="1:13" s="18" customFormat="1" outlineLevel="2">
      <c r="A85" s="19" t="s">
        <v>78</v>
      </c>
      <c r="B85" s="20" t="s">
        <v>23</v>
      </c>
      <c r="C85" s="21" t="s">
        <v>95</v>
      </c>
      <c r="D85" s="20" t="s">
        <v>94</v>
      </c>
      <c r="E85" s="3">
        <v>6200000</v>
      </c>
      <c r="F85" s="19">
        <v>43929</v>
      </c>
      <c r="G85" s="3">
        <v>6200000</v>
      </c>
      <c r="H85" s="2">
        <v>5.0000000000000001E-3</v>
      </c>
      <c r="I85" s="19">
        <v>44136</v>
      </c>
      <c r="J85" s="19">
        <v>44165</v>
      </c>
      <c r="K85" s="3">
        <f t="shared" si="4"/>
        <v>30</v>
      </c>
      <c r="L85" s="3">
        <f t="shared" si="5"/>
        <v>2541</v>
      </c>
      <c r="M85" s="3">
        <v>6200000</v>
      </c>
    </row>
    <row r="86" spans="1:13" s="18" customFormat="1" outlineLevel="2">
      <c r="A86" s="19" t="s">
        <v>78</v>
      </c>
      <c r="B86" s="20" t="s">
        <v>100</v>
      </c>
      <c r="C86" s="21" t="s">
        <v>158</v>
      </c>
      <c r="D86" s="20" t="s">
        <v>157</v>
      </c>
      <c r="E86" s="3">
        <v>10000000</v>
      </c>
      <c r="F86" s="19">
        <v>44111</v>
      </c>
      <c r="G86" s="3">
        <v>9833334</v>
      </c>
      <c r="H86" s="2">
        <v>5.0000000000000001E-3</v>
      </c>
      <c r="I86" s="19">
        <v>44136</v>
      </c>
      <c r="J86" s="19">
        <v>44150</v>
      </c>
      <c r="K86" s="3">
        <f t="shared" si="4"/>
        <v>15</v>
      </c>
      <c r="L86" s="3">
        <f t="shared" si="5"/>
        <v>2015</v>
      </c>
      <c r="M86" s="3">
        <v>9666668</v>
      </c>
    </row>
    <row r="87" spans="1:13" s="18" customFormat="1" outlineLevel="2">
      <c r="A87" s="19" t="s">
        <v>78</v>
      </c>
      <c r="B87" s="20" t="s">
        <v>100</v>
      </c>
      <c r="C87" s="21" t="s">
        <v>158</v>
      </c>
      <c r="D87" s="20"/>
      <c r="E87" s="3"/>
      <c r="F87" s="19"/>
      <c r="G87" s="3">
        <v>9666668</v>
      </c>
      <c r="H87" s="2">
        <v>5.0000000000000001E-3</v>
      </c>
      <c r="I87" s="19">
        <v>44151</v>
      </c>
      <c r="J87" s="19">
        <v>44165</v>
      </c>
      <c r="K87" s="3">
        <f t="shared" si="4"/>
        <v>15</v>
      </c>
      <c r="L87" s="3">
        <f t="shared" si="5"/>
        <v>1981</v>
      </c>
      <c r="M87" s="3"/>
    </row>
    <row r="88" spans="1:13" s="18" customFormat="1" outlineLevel="2">
      <c r="A88" s="19" t="s">
        <v>78</v>
      </c>
      <c r="B88" s="20" t="s">
        <v>99</v>
      </c>
      <c r="C88" s="21" t="s">
        <v>158</v>
      </c>
      <c r="D88" s="20" t="s">
        <v>157</v>
      </c>
      <c r="E88" s="3">
        <v>24450000</v>
      </c>
      <c r="F88" s="19">
        <v>44120</v>
      </c>
      <c r="G88" s="3">
        <v>24450000</v>
      </c>
      <c r="H88" s="2">
        <v>5.0000000000000001E-3</v>
      </c>
      <c r="I88" s="19">
        <v>44136</v>
      </c>
      <c r="J88" s="19">
        <v>44150</v>
      </c>
      <c r="K88" s="3">
        <f t="shared" si="4"/>
        <v>15</v>
      </c>
      <c r="L88" s="3">
        <f t="shared" si="5"/>
        <v>5010</v>
      </c>
      <c r="M88" s="3">
        <v>24035594</v>
      </c>
    </row>
    <row r="89" spans="1:13" s="18" customFormat="1" outlineLevel="2">
      <c r="A89" s="19" t="s">
        <v>78</v>
      </c>
      <c r="B89" s="20" t="s">
        <v>99</v>
      </c>
      <c r="C89" s="21" t="s">
        <v>158</v>
      </c>
      <c r="D89" s="20"/>
      <c r="E89" s="3"/>
      <c r="F89" s="19"/>
      <c r="G89" s="3">
        <v>24035594</v>
      </c>
      <c r="H89" s="2">
        <v>5.0000000000000001E-3</v>
      </c>
      <c r="I89" s="19">
        <v>44151</v>
      </c>
      <c r="J89" s="19">
        <v>44165</v>
      </c>
      <c r="K89" s="3">
        <f t="shared" si="4"/>
        <v>15</v>
      </c>
      <c r="L89" s="3">
        <f t="shared" si="5"/>
        <v>4925</v>
      </c>
      <c r="M89" s="3"/>
    </row>
    <row r="90" spans="1:13" s="18" customFormat="1" outlineLevel="2">
      <c r="A90" s="19" t="s">
        <v>78</v>
      </c>
      <c r="B90" s="20" t="s">
        <v>98</v>
      </c>
      <c r="C90" s="21" t="s">
        <v>139</v>
      </c>
      <c r="D90" s="20" t="s">
        <v>138</v>
      </c>
      <c r="E90" s="3">
        <v>26100000</v>
      </c>
      <c r="F90" s="19">
        <v>44124</v>
      </c>
      <c r="G90" s="3">
        <v>26100000</v>
      </c>
      <c r="H90" s="2">
        <v>5.0000000000000001E-3</v>
      </c>
      <c r="I90" s="19">
        <v>44136</v>
      </c>
      <c r="J90" s="19">
        <v>44165</v>
      </c>
      <c r="K90" s="3">
        <f t="shared" si="4"/>
        <v>30</v>
      </c>
      <c r="L90" s="3">
        <f t="shared" si="5"/>
        <v>10697</v>
      </c>
      <c r="M90" s="3">
        <v>26100000</v>
      </c>
    </row>
    <row r="91" spans="1:13" s="18" customFormat="1" outlineLevel="2">
      <c r="A91" s="19" t="s">
        <v>78</v>
      </c>
      <c r="B91" s="20" t="s">
        <v>122</v>
      </c>
      <c r="C91" s="21" t="s">
        <v>158</v>
      </c>
      <c r="D91" s="20" t="s">
        <v>157</v>
      </c>
      <c r="E91" s="3">
        <v>25800000</v>
      </c>
      <c r="F91" s="19">
        <v>44137</v>
      </c>
      <c r="G91" s="3">
        <v>25800000</v>
      </c>
      <c r="H91" s="2">
        <v>5.0000000000000001E-3</v>
      </c>
      <c r="I91" s="19">
        <v>44137</v>
      </c>
      <c r="J91" s="19">
        <v>44150</v>
      </c>
      <c r="K91" s="3">
        <f t="shared" si="4"/>
        <v>14</v>
      </c>
      <c r="L91" s="3">
        <f t="shared" si="5"/>
        <v>4934</v>
      </c>
      <c r="M91" s="3">
        <v>25362712</v>
      </c>
    </row>
    <row r="92" spans="1:13" s="18" customFormat="1" outlineLevel="2">
      <c r="A92" s="19" t="s">
        <v>78</v>
      </c>
      <c r="B92" s="20" t="s">
        <v>122</v>
      </c>
      <c r="C92" s="21" t="s">
        <v>158</v>
      </c>
      <c r="D92" s="20"/>
      <c r="E92" s="3"/>
      <c r="F92" s="19"/>
      <c r="G92" s="3">
        <v>25362712</v>
      </c>
      <c r="H92" s="2">
        <v>5.0000000000000001E-3</v>
      </c>
      <c r="I92" s="19">
        <v>44151</v>
      </c>
      <c r="J92" s="19">
        <v>44165</v>
      </c>
      <c r="K92" s="3">
        <f t="shared" si="4"/>
        <v>15</v>
      </c>
      <c r="L92" s="3">
        <f t="shared" si="5"/>
        <v>5197</v>
      </c>
      <c r="M92" s="3"/>
    </row>
    <row r="93" spans="1:13" s="18" customFormat="1" outlineLevel="2">
      <c r="A93" s="19" t="s">
        <v>78</v>
      </c>
      <c r="B93" s="20" t="s">
        <v>121</v>
      </c>
      <c r="C93" s="21" t="s">
        <v>254</v>
      </c>
      <c r="D93" s="20" t="s">
        <v>226</v>
      </c>
      <c r="E93" s="3">
        <v>1200000</v>
      </c>
      <c r="F93" s="19">
        <v>44138</v>
      </c>
      <c r="G93" s="3">
        <v>1200000</v>
      </c>
      <c r="H93" s="2">
        <v>5.0000000000000001E-3</v>
      </c>
      <c r="I93" s="19">
        <v>44138</v>
      </c>
      <c r="J93" s="19">
        <v>44165</v>
      </c>
      <c r="K93" s="3">
        <f t="shared" si="4"/>
        <v>28</v>
      </c>
      <c r="L93" s="3">
        <f t="shared" si="5"/>
        <v>459</v>
      </c>
      <c r="M93" s="3">
        <v>1200000</v>
      </c>
    </row>
    <row r="94" spans="1:13" s="18" customFormat="1" outlineLevel="2">
      <c r="A94" s="19" t="s">
        <v>78</v>
      </c>
      <c r="B94" s="20" t="s">
        <v>120</v>
      </c>
      <c r="C94" s="21" t="s">
        <v>254</v>
      </c>
      <c r="D94" s="20" t="s">
        <v>226</v>
      </c>
      <c r="E94" s="3">
        <v>2350000</v>
      </c>
      <c r="F94" s="19">
        <v>44138</v>
      </c>
      <c r="G94" s="3">
        <v>2350000</v>
      </c>
      <c r="H94" s="2">
        <v>5.0000000000000001E-3</v>
      </c>
      <c r="I94" s="19">
        <v>44138</v>
      </c>
      <c r="J94" s="19">
        <v>44165</v>
      </c>
      <c r="K94" s="3">
        <f t="shared" si="4"/>
        <v>28</v>
      </c>
      <c r="L94" s="3">
        <f t="shared" si="5"/>
        <v>899</v>
      </c>
      <c r="M94" s="3">
        <v>2350000</v>
      </c>
    </row>
    <row r="95" spans="1:13" s="18" customFormat="1" outlineLevel="2">
      <c r="A95" s="19" t="s">
        <v>78</v>
      </c>
      <c r="B95" s="20" t="s">
        <v>147</v>
      </c>
      <c r="C95" s="21" t="s">
        <v>93</v>
      </c>
      <c r="D95" s="20" t="s">
        <v>92</v>
      </c>
      <c r="E95" s="3">
        <v>23200000</v>
      </c>
      <c r="F95" s="19">
        <v>44151</v>
      </c>
      <c r="G95" s="3">
        <v>23200000</v>
      </c>
      <c r="H95" s="2">
        <v>5.0000000000000001E-3</v>
      </c>
      <c r="I95" s="19">
        <v>44151</v>
      </c>
      <c r="J95" s="19">
        <v>44165</v>
      </c>
      <c r="K95" s="3">
        <f t="shared" si="4"/>
        <v>15</v>
      </c>
      <c r="L95" s="3">
        <f t="shared" si="5"/>
        <v>4754</v>
      </c>
      <c r="M95" s="3">
        <v>23200000</v>
      </c>
    </row>
    <row r="96" spans="1:13" s="18" customFormat="1" outlineLevel="2">
      <c r="A96" s="19" t="s">
        <v>78</v>
      </c>
      <c r="B96" s="20" t="s">
        <v>146</v>
      </c>
      <c r="C96" s="21" t="s">
        <v>95</v>
      </c>
      <c r="D96" s="20" t="s">
        <v>94</v>
      </c>
      <c r="E96" s="3">
        <v>5910000</v>
      </c>
      <c r="F96" s="19">
        <v>44151</v>
      </c>
      <c r="G96" s="3">
        <v>5910000</v>
      </c>
      <c r="H96" s="2">
        <v>5.0000000000000001E-3</v>
      </c>
      <c r="I96" s="19">
        <v>44151</v>
      </c>
      <c r="J96" s="19">
        <v>44165</v>
      </c>
      <c r="K96" s="3">
        <f t="shared" si="4"/>
        <v>15</v>
      </c>
      <c r="L96" s="3">
        <f t="shared" si="5"/>
        <v>1211</v>
      </c>
      <c r="M96" s="3">
        <v>5910000</v>
      </c>
    </row>
    <row r="97" spans="1:13" s="18" customFormat="1" outlineLevel="2">
      <c r="A97" s="19" t="s">
        <v>78</v>
      </c>
      <c r="B97" s="20" t="s">
        <v>145</v>
      </c>
      <c r="C97" s="21" t="s">
        <v>72</v>
      </c>
      <c r="D97" s="20" t="s">
        <v>71</v>
      </c>
      <c r="E97" s="3">
        <v>26000000</v>
      </c>
      <c r="F97" s="19">
        <v>44162</v>
      </c>
      <c r="G97" s="3">
        <v>26000000</v>
      </c>
      <c r="H97" s="2">
        <v>5.0000000000000001E-3</v>
      </c>
      <c r="I97" s="19">
        <v>44162</v>
      </c>
      <c r="J97" s="19">
        <v>44165</v>
      </c>
      <c r="K97" s="3">
        <f t="shared" si="4"/>
        <v>4</v>
      </c>
      <c r="L97" s="3">
        <f t="shared" si="5"/>
        <v>1421</v>
      </c>
      <c r="M97" s="3">
        <v>26000000</v>
      </c>
    </row>
    <row r="98" spans="1:13" s="18" customFormat="1" outlineLevel="2">
      <c r="A98" s="19" t="s">
        <v>78</v>
      </c>
      <c r="B98" s="20" t="s">
        <v>29</v>
      </c>
      <c r="C98" s="21" t="s">
        <v>95</v>
      </c>
      <c r="D98" s="20" t="s">
        <v>94</v>
      </c>
      <c r="E98" s="3">
        <v>23630000</v>
      </c>
      <c r="F98" s="19">
        <v>43936</v>
      </c>
      <c r="G98" s="3">
        <v>23630000</v>
      </c>
      <c r="H98" s="2">
        <v>5.0000000000000001E-3</v>
      </c>
      <c r="I98" s="19">
        <v>44136</v>
      </c>
      <c r="J98" s="19">
        <v>44165</v>
      </c>
      <c r="K98" s="3">
        <f t="shared" si="4"/>
        <v>30</v>
      </c>
      <c r="L98" s="3">
        <f t="shared" si="5"/>
        <v>9684</v>
      </c>
      <c r="M98" s="3">
        <v>23630000</v>
      </c>
    </row>
    <row r="99" spans="1:13" s="18" customFormat="1" outlineLevel="2">
      <c r="A99" s="19" t="s">
        <v>78</v>
      </c>
      <c r="B99" s="20" t="s">
        <v>30</v>
      </c>
      <c r="C99" s="21" t="s">
        <v>72</v>
      </c>
      <c r="D99" s="20" t="s">
        <v>71</v>
      </c>
      <c r="E99" s="3">
        <v>24000000</v>
      </c>
      <c r="F99" s="19">
        <v>43937</v>
      </c>
      <c r="G99" s="3">
        <v>22800000</v>
      </c>
      <c r="H99" s="2">
        <v>5.0000000000000001E-3</v>
      </c>
      <c r="I99" s="19">
        <v>44136</v>
      </c>
      <c r="J99" s="19">
        <v>44150</v>
      </c>
      <c r="K99" s="3">
        <f t="shared" si="4"/>
        <v>15</v>
      </c>
      <c r="L99" s="3">
        <f t="shared" si="5"/>
        <v>4672</v>
      </c>
      <c r="M99" s="3">
        <v>22600000</v>
      </c>
    </row>
    <row r="100" spans="1:13" s="18" customFormat="1" outlineLevel="2">
      <c r="A100" s="19" t="s">
        <v>78</v>
      </c>
      <c r="B100" s="20" t="s">
        <v>30</v>
      </c>
      <c r="C100" s="21" t="s">
        <v>72</v>
      </c>
      <c r="D100" s="20"/>
      <c r="E100" s="3"/>
      <c r="F100" s="19"/>
      <c r="G100" s="3">
        <v>22600000</v>
      </c>
      <c r="H100" s="2">
        <v>5.0000000000000001E-3</v>
      </c>
      <c r="I100" s="19">
        <v>44151</v>
      </c>
      <c r="J100" s="19">
        <v>44165</v>
      </c>
      <c r="K100" s="3">
        <f t="shared" si="4"/>
        <v>15</v>
      </c>
      <c r="L100" s="3">
        <f t="shared" si="5"/>
        <v>4631</v>
      </c>
      <c r="M100" s="3"/>
    </row>
    <row r="101" spans="1:13" s="18" customFormat="1" outlineLevel="2">
      <c r="A101" s="19" t="s">
        <v>78</v>
      </c>
      <c r="B101" s="20" t="s">
        <v>31</v>
      </c>
      <c r="C101" s="21" t="s">
        <v>93</v>
      </c>
      <c r="D101" s="20" t="s">
        <v>92</v>
      </c>
      <c r="E101" s="3">
        <v>28240000</v>
      </c>
      <c r="F101" s="19">
        <v>43951</v>
      </c>
      <c r="G101" s="3">
        <v>26222860</v>
      </c>
      <c r="H101" s="2">
        <v>5.0000000000000001E-3</v>
      </c>
      <c r="I101" s="19">
        <v>44136</v>
      </c>
      <c r="J101" s="19">
        <v>44150</v>
      </c>
      <c r="K101" s="3">
        <f t="shared" si="4"/>
        <v>15</v>
      </c>
      <c r="L101" s="3">
        <f t="shared" si="5"/>
        <v>5374</v>
      </c>
      <c r="M101" s="3">
        <v>25886670</v>
      </c>
    </row>
    <row r="102" spans="1:13" s="18" customFormat="1" outlineLevel="2">
      <c r="A102" s="19" t="s">
        <v>78</v>
      </c>
      <c r="B102" s="20" t="s">
        <v>31</v>
      </c>
      <c r="C102" s="21" t="s">
        <v>93</v>
      </c>
      <c r="D102" s="20"/>
      <c r="E102" s="3"/>
      <c r="F102" s="19"/>
      <c r="G102" s="3">
        <v>25886670</v>
      </c>
      <c r="H102" s="2">
        <v>5.0000000000000001E-3</v>
      </c>
      <c r="I102" s="19">
        <v>44151</v>
      </c>
      <c r="J102" s="19">
        <v>44165</v>
      </c>
      <c r="K102" s="3">
        <f t="shared" si="4"/>
        <v>15</v>
      </c>
      <c r="L102" s="3">
        <f t="shared" si="5"/>
        <v>5305</v>
      </c>
      <c r="M102" s="3"/>
    </row>
    <row r="103" spans="1:13" s="18" customFormat="1" outlineLevel="2">
      <c r="A103" s="19" t="s">
        <v>78</v>
      </c>
      <c r="B103" s="20" t="s">
        <v>32</v>
      </c>
      <c r="C103" s="21" t="s">
        <v>95</v>
      </c>
      <c r="D103" s="20" t="s">
        <v>94</v>
      </c>
      <c r="E103" s="3">
        <v>8000000</v>
      </c>
      <c r="F103" s="19">
        <v>43957</v>
      </c>
      <c r="G103" s="3">
        <v>7200002</v>
      </c>
      <c r="H103" s="2">
        <v>5.0000000000000001E-3</v>
      </c>
      <c r="I103" s="19">
        <v>44136</v>
      </c>
      <c r="J103" s="19">
        <v>44150</v>
      </c>
      <c r="K103" s="3">
        <f t="shared" si="4"/>
        <v>15</v>
      </c>
      <c r="L103" s="3">
        <f t="shared" si="5"/>
        <v>1475</v>
      </c>
      <c r="M103" s="3">
        <v>7066669</v>
      </c>
    </row>
    <row r="104" spans="1:13" s="18" customFormat="1" outlineLevel="2">
      <c r="A104" s="19" t="s">
        <v>78</v>
      </c>
      <c r="B104" s="20" t="s">
        <v>32</v>
      </c>
      <c r="C104" s="21" t="s">
        <v>95</v>
      </c>
      <c r="D104" s="20"/>
      <c r="E104" s="3"/>
      <c r="F104" s="19"/>
      <c r="G104" s="3">
        <v>7066669</v>
      </c>
      <c r="H104" s="2">
        <v>5.0000000000000001E-3</v>
      </c>
      <c r="I104" s="19">
        <v>44151</v>
      </c>
      <c r="J104" s="19">
        <v>44165</v>
      </c>
      <c r="K104" s="3">
        <f t="shared" si="4"/>
        <v>15</v>
      </c>
      <c r="L104" s="3">
        <f t="shared" si="5"/>
        <v>1448</v>
      </c>
      <c r="M104" s="3"/>
    </row>
    <row r="105" spans="1:13" s="18" customFormat="1" outlineLevel="2">
      <c r="A105" s="19" t="s">
        <v>78</v>
      </c>
      <c r="B105" s="20" t="s">
        <v>48</v>
      </c>
      <c r="C105" s="21" t="s">
        <v>95</v>
      </c>
      <c r="D105" s="20" t="s">
        <v>94</v>
      </c>
      <c r="E105" s="3">
        <v>5910000</v>
      </c>
      <c r="F105" s="19">
        <v>43966</v>
      </c>
      <c r="G105" s="3">
        <v>5910000</v>
      </c>
      <c r="H105" s="2">
        <v>5.0000000000000001E-3</v>
      </c>
      <c r="I105" s="19">
        <v>44136</v>
      </c>
      <c r="J105" s="19">
        <v>44165</v>
      </c>
      <c r="K105" s="3">
        <f t="shared" si="4"/>
        <v>30</v>
      </c>
      <c r="L105" s="3">
        <f t="shared" si="5"/>
        <v>2422</v>
      </c>
      <c r="M105" s="3">
        <v>5910000</v>
      </c>
    </row>
    <row r="106" spans="1:13" s="18" customFormat="1" outlineLevel="2">
      <c r="A106" s="19" t="s">
        <v>78</v>
      </c>
      <c r="B106" s="20" t="s">
        <v>59</v>
      </c>
      <c r="C106" s="21" t="s">
        <v>93</v>
      </c>
      <c r="D106" s="20" t="s">
        <v>92</v>
      </c>
      <c r="E106" s="3">
        <v>20510000</v>
      </c>
      <c r="F106" s="19">
        <v>43966</v>
      </c>
      <c r="G106" s="3">
        <v>19274460</v>
      </c>
      <c r="H106" s="2">
        <v>5.0000000000000001E-3</v>
      </c>
      <c r="I106" s="19">
        <v>44136</v>
      </c>
      <c r="J106" s="19">
        <v>44150</v>
      </c>
      <c r="K106" s="3">
        <f t="shared" si="4"/>
        <v>15</v>
      </c>
      <c r="L106" s="3">
        <f t="shared" si="5"/>
        <v>3950</v>
      </c>
      <c r="M106" s="3">
        <v>19027352</v>
      </c>
    </row>
    <row r="107" spans="1:13" s="18" customFormat="1" outlineLevel="2">
      <c r="A107" s="19" t="s">
        <v>78</v>
      </c>
      <c r="B107" s="20" t="s">
        <v>59</v>
      </c>
      <c r="C107" s="21" t="s">
        <v>93</v>
      </c>
      <c r="D107" s="20"/>
      <c r="E107" s="3"/>
      <c r="F107" s="19"/>
      <c r="G107" s="3">
        <v>19027352</v>
      </c>
      <c r="H107" s="2">
        <v>5.0000000000000001E-3</v>
      </c>
      <c r="I107" s="19">
        <v>44151</v>
      </c>
      <c r="J107" s="19">
        <v>44165</v>
      </c>
      <c r="K107" s="3">
        <f t="shared" si="4"/>
        <v>15</v>
      </c>
      <c r="L107" s="3">
        <f t="shared" si="5"/>
        <v>3899</v>
      </c>
      <c r="M107" s="3"/>
    </row>
    <row r="108" spans="1:13" s="18" customFormat="1" outlineLevel="2">
      <c r="A108" s="19" t="s">
        <v>78</v>
      </c>
      <c r="B108" s="20" t="s">
        <v>58</v>
      </c>
      <c r="C108" s="21" t="s">
        <v>77</v>
      </c>
      <c r="D108" s="20" t="s">
        <v>76</v>
      </c>
      <c r="E108" s="3">
        <v>33960000</v>
      </c>
      <c r="F108" s="19">
        <v>43978</v>
      </c>
      <c r="G108" s="3">
        <v>33960000</v>
      </c>
      <c r="H108" s="2">
        <v>5.0000000000000001E-3</v>
      </c>
      <c r="I108" s="19">
        <v>44136</v>
      </c>
      <c r="J108" s="19">
        <v>44165</v>
      </c>
      <c r="K108" s="3">
        <f t="shared" si="4"/>
        <v>30</v>
      </c>
      <c r="L108" s="3">
        <f t="shared" si="5"/>
        <v>13918</v>
      </c>
      <c r="M108" s="3">
        <v>33960000</v>
      </c>
    </row>
    <row r="109" spans="1:13" s="18" customFormat="1" ht="13.5" outlineLevel="1">
      <c r="A109" s="22" t="s">
        <v>75</v>
      </c>
      <c r="B109" s="23"/>
      <c r="C109" s="24"/>
      <c r="D109" s="23"/>
      <c r="E109" s="25">
        <f>SUBTOTAL(9,E70:E108)</f>
        <v>556285386</v>
      </c>
      <c r="F109" s="26"/>
      <c r="G109" s="25"/>
      <c r="H109" s="27"/>
      <c r="I109" s="26"/>
      <c r="J109" s="26"/>
      <c r="K109" s="25"/>
      <c r="L109" s="25">
        <f>SUBTOTAL(9,L70:L108)</f>
        <v>207858</v>
      </c>
      <c r="M109" s="25">
        <f>SUBTOTAL(9,M70:M108)</f>
        <v>543861553</v>
      </c>
    </row>
    <row r="110" spans="1:13" s="18" customFormat="1" outlineLevel="2">
      <c r="A110" s="19" t="s">
        <v>20</v>
      </c>
      <c r="B110" s="20" t="s">
        <v>16</v>
      </c>
      <c r="C110" s="21" t="s">
        <v>21</v>
      </c>
      <c r="D110" s="20" t="s">
        <v>22</v>
      </c>
      <c r="E110" s="3">
        <v>69000000</v>
      </c>
      <c r="F110" s="19">
        <v>43822</v>
      </c>
      <c r="G110" s="3">
        <v>69000000</v>
      </c>
      <c r="H110" s="2">
        <v>5.0000000000000001E-3</v>
      </c>
      <c r="I110" s="19">
        <v>44136</v>
      </c>
      <c r="J110" s="19">
        <v>44165</v>
      </c>
      <c r="K110" s="3">
        <f t="shared" ref="K110:K147" si="6">J110-I110+1</f>
        <v>30</v>
      </c>
      <c r="L110" s="3">
        <f t="shared" ref="L110:L147" si="7">ROUND(G110*H110*K110/366,0)</f>
        <v>28279</v>
      </c>
      <c r="M110" s="3">
        <v>69000000</v>
      </c>
    </row>
    <row r="111" spans="1:13" s="18" customFormat="1" outlineLevel="2">
      <c r="A111" s="19" t="s">
        <v>20</v>
      </c>
      <c r="B111" s="20" t="s">
        <v>61</v>
      </c>
      <c r="C111" s="21" t="s">
        <v>133</v>
      </c>
      <c r="D111" s="20" t="s">
        <v>132</v>
      </c>
      <c r="E111" s="3">
        <v>247700000</v>
      </c>
      <c r="F111" s="19">
        <v>43985</v>
      </c>
      <c r="G111" s="3">
        <v>247700000</v>
      </c>
      <c r="H111" s="2">
        <v>5.0000000000000001E-3</v>
      </c>
      <c r="I111" s="19">
        <v>44136</v>
      </c>
      <c r="J111" s="19">
        <v>44165</v>
      </c>
      <c r="K111" s="3">
        <f t="shared" si="6"/>
        <v>30</v>
      </c>
      <c r="L111" s="3">
        <f t="shared" si="7"/>
        <v>101516</v>
      </c>
      <c r="M111" s="3">
        <v>247700000</v>
      </c>
    </row>
    <row r="112" spans="1:13" s="18" customFormat="1" outlineLevel="2">
      <c r="A112" s="19" t="s">
        <v>20</v>
      </c>
      <c r="B112" s="20" t="s">
        <v>60</v>
      </c>
      <c r="C112" s="21" t="s">
        <v>192</v>
      </c>
      <c r="D112" s="20" t="s">
        <v>110</v>
      </c>
      <c r="E112" s="3">
        <v>18612000</v>
      </c>
      <c r="F112" s="19">
        <v>43997</v>
      </c>
      <c r="G112" s="3">
        <v>3722400</v>
      </c>
      <c r="H112" s="2">
        <v>5.0000000000000001E-3</v>
      </c>
      <c r="I112" s="19">
        <v>44136</v>
      </c>
      <c r="J112" s="19">
        <v>44165</v>
      </c>
      <c r="K112" s="3">
        <f t="shared" si="6"/>
        <v>30</v>
      </c>
      <c r="L112" s="3">
        <f t="shared" si="7"/>
        <v>1526</v>
      </c>
      <c r="M112" s="3">
        <v>3722400</v>
      </c>
    </row>
    <row r="113" spans="1:13" s="18" customFormat="1" outlineLevel="2">
      <c r="A113" s="19" t="s">
        <v>20</v>
      </c>
      <c r="B113" s="20" t="s">
        <v>66</v>
      </c>
      <c r="C113" s="21" t="s">
        <v>69</v>
      </c>
      <c r="D113" s="20" t="s">
        <v>68</v>
      </c>
      <c r="E113" s="3">
        <v>624000000</v>
      </c>
      <c r="F113" s="19">
        <v>44014</v>
      </c>
      <c r="G113" s="3">
        <v>624000000</v>
      </c>
      <c r="H113" s="2">
        <v>5.0000000000000001E-3</v>
      </c>
      <c r="I113" s="19">
        <v>44136</v>
      </c>
      <c r="J113" s="19">
        <v>44165</v>
      </c>
      <c r="K113" s="3">
        <f t="shared" si="6"/>
        <v>30</v>
      </c>
      <c r="L113" s="3">
        <f t="shared" si="7"/>
        <v>255738</v>
      </c>
      <c r="M113" s="3">
        <v>624000000</v>
      </c>
    </row>
    <row r="114" spans="1:13" s="18" customFormat="1" outlineLevel="2">
      <c r="A114" s="19" t="s">
        <v>20</v>
      </c>
      <c r="B114" s="20" t="s">
        <v>65</v>
      </c>
      <c r="C114" s="21" t="s">
        <v>69</v>
      </c>
      <c r="D114" s="20" t="s">
        <v>68</v>
      </c>
      <c r="E114" s="3">
        <v>82000000</v>
      </c>
      <c r="F114" s="19">
        <v>44042</v>
      </c>
      <c r="G114" s="3">
        <v>82000000</v>
      </c>
      <c r="H114" s="2">
        <v>5.0000000000000001E-3</v>
      </c>
      <c r="I114" s="19">
        <v>44136</v>
      </c>
      <c r="J114" s="19">
        <v>44165</v>
      </c>
      <c r="K114" s="3">
        <f t="shared" si="6"/>
        <v>30</v>
      </c>
      <c r="L114" s="3">
        <f t="shared" si="7"/>
        <v>33607</v>
      </c>
      <c r="M114" s="3">
        <v>82000000</v>
      </c>
    </row>
    <row r="115" spans="1:13" s="18" customFormat="1" outlineLevel="2">
      <c r="A115" s="19" t="s">
        <v>20</v>
      </c>
      <c r="B115" s="20" t="s">
        <v>64</v>
      </c>
      <c r="C115" s="21" t="s">
        <v>69</v>
      </c>
      <c r="D115" s="20" t="s">
        <v>68</v>
      </c>
      <c r="E115" s="3">
        <v>406400000</v>
      </c>
      <c r="F115" s="19">
        <v>44042</v>
      </c>
      <c r="G115" s="3">
        <v>406400000</v>
      </c>
      <c r="H115" s="2">
        <v>3.0000000000000001E-3</v>
      </c>
      <c r="I115" s="19">
        <v>44136</v>
      </c>
      <c r="J115" s="19">
        <v>44165</v>
      </c>
      <c r="K115" s="3">
        <f t="shared" si="6"/>
        <v>30</v>
      </c>
      <c r="L115" s="3">
        <f t="shared" si="7"/>
        <v>99934</v>
      </c>
      <c r="M115" s="3">
        <v>406400000</v>
      </c>
    </row>
    <row r="116" spans="1:13" s="18" customFormat="1" outlineLevel="2">
      <c r="A116" s="19" t="s">
        <v>20</v>
      </c>
      <c r="B116" s="20" t="s">
        <v>85</v>
      </c>
      <c r="C116" s="21" t="s">
        <v>69</v>
      </c>
      <c r="D116" s="20" t="s">
        <v>68</v>
      </c>
      <c r="E116" s="3">
        <v>51600000</v>
      </c>
      <c r="F116" s="19">
        <v>44042</v>
      </c>
      <c r="G116" s="3">
        <v>51600000</v>
      </c>
      <c r="H116" s="2">
        <v>3.0000000000000001E-3</v>
      </c>
      <c r="I116" s="19">
        <v>44136</v>
      </c>
      <c r="J116" s="19">
        <v>44165</v>
      </c>
      <c r="K116" s="3">
        <f t="shared" si="6"/>
        <v>30</v>
      </c>
      <c r="L116" s="3">
        <f t="shared" si="7"/>
        <v>12689</v>
      </c>
      <c r="M116" s="3">
        <v>51600000</v>
      </c>
    </row>
    <row r="117" spans="1:13" s="18" customFormat="1" outlineLevel="2">
      <c r="A117" s="19" t="s">
        <v>20</v>
      </c>
      <c r="B117" s="20" t="s">
        <v>84</v>
      </c>
      <c r="C117" s="21" t="s">
        <v>115</v>
      </c>
      <c r="D117" s="20" t="s">
        <v>114</v>
      </c>
      <c r="E117" s="3">
        <v>1850000</v>
      </c>
      <c r="F117" s="19">
        <v>44018</v>
      </c>
      <c r="G117" s="3">
        <v>1850000</v>
      </c>
      <c r="H117" s="2">
        <v>5.0000000000000001E-3</v>
      </c>
      <c r="I117" s="19">
        <v>44136</v>
      </c>
      <c r="J117" s="19">
        <v>44165</v>
      </c>
      <c r="K117" s="3">
        <f t="shared" si="6"/>
        <v>30</v>
      </c>
      <c r="L117" s="3">
        <f t="shared" si="7"/>
        <v>758</v>
      </c>
      <c r="M117" s="3">
        <v>1850000</v>
      </c>
    </row>
    <row r="118" spans="1:13" s="18" customFormat="1" outlineLevel="2">
      <c r="A118" s="19" t="s">
        <v>20</v>
      </c>
      <c r="B118" s="20" t="s">
        <v>83</v>
      </c>
      <c r="C118" s="21" t="s">
        <v>115</v>
      </c>
      <c r="D118" s="20" t="s">
        <v>114</v>
      </c>
      <c r="E118" s="3">
        <v>5400000</v>
      </c>
      <c r="F118" s="19">
        <v>44019</v>
      </c>
      <c r="G118" s="3">
        <v>5400000</v>
      </c>
      <c r="H118" s="2">
        <v>5.0000000000000001E-3</v>
      </c>
      <c r="I118" s="19">
        <v>44136</v>
      </c>
      <c r="J118" s="19">
        <v>44165</v>
      </c>
      <c r="K118" s="3">
        <f t="shared" si="6"/>
        <v>30</v>
      </c>
      <c r="L118" s="3">
        <f t="shared" si="7"/>
        <v>2213</v>
      </c>
      <c r="M118" s="3">
        <v>5400000</v>
      </c>
    </row>
    <row r="119" spans="1:13" s="18" customFormat="1" outlineLevel="2">
      <c r="A119" s="19" t="s">
        <v>20</v>
      </c>
      <c r="B119" s="20" t="s">
        <v>102</v>
      </c>
      <c r="C119" s="21" t="s">
        <v>115</v>
      </c>
      <c r="D119" s="20" t="s">
        <v>114</v>
      </c>
      <c r="E119" s="3">
        <v>2300000</v>
      </c>
      <c r="F119" s="19">
        <v>44027</v>
      </c>
      <c r="G119" s="3">
        <v>2300000</v>
      </c>
      <c r="H119" s="2">
        <v>5.0000000000000001E-3</v>
      </c>
      <c r="I119" s="19">
        <v>44136</v>
      </c>
      <c r="J119" s="19">
        <v>44165</v>
      </c>
      <c r="K119" s="3">
        <f t="shared" si="6"/>
        <v>30</v>
      </c>
      <c r="L119" s="3">
        <f t="shared" si="7"/>
        <v>943</v>
      </c>
      <c r="M119" s="3">
        <v>2300000</v>
      </c>
    </row>
    <row r="120" spans="1:13" s="18" customFormat="1" outlineLevel="2">
      <c r="A120" s="19" t="s">
        <v>20</v>
      </c>
      <c r="B120" s="20" t="s">
        <v>101</v>
      </c>
      <c r="C120" s="21" t="s">
        <v>115</v>
      </c>
      <c r="D120" s="20" t="s">
        <v>114</v>
      </c>
      <c r="E120" s="3">
        <v>16280000</v>
      </c>
      <c r="F120" s="19">
        <v>44041</v>
      </c>
      <c r="G120" s="3">
        <v>16280000</v>
      </c>
      <c r="H120" s="2">
        <v>5.0000000000000001E-3</v>
      </c>
      <c r="I120" s="19">
        <v>44136</v>
      </c>
      <c r="J120" s="19">
        <v>44165</v>
      </c>
      <c r="K120" s="3">
        <f t="shared" si="6"/>
        <v>30</v>
      </c>
      <c r="L120" s="3">
        <f t="shared" si="7"/>
        <v>6672</v>
      </c>
      <c r="M120" s="3">
        <v>16280000</v>
      </c>
    </row>
    <row r="121" spans="1:13" s="18" customFormat="1" outlineLevel="2">
      <c r="A121" s="19" t="s">
        <v>20</v>
      </c>
      <c r="B121" s="20" t="s">
        <v>23</v>
      </c>
      <c r="C121" s="21" t="s">
        <v>24</v>
      </c>
      <c r="D121" s="20" t="s">
        <v>18</v>
      </c>
      <c r="E121" s="3">
        <v>162300000</v>
      </c>
      <c r="F121" s="19">
        <v>43829</v>
      </c>
      <c r="G121" s="3">
        <v>135250000</v>
      </c>
      <c r="H121" s="2">
        <v>5.0000000000000001E-3</v>
      </c>
      <c r="I121" s="19">
        <v>44136</v>
      </c>
      <c r="J121" s="19">
        <v>44150</v>
      </c>
      <c r="K121" s="3">
        <f t="shared" si="6"/>
        <v>15</v>
      </c>
      <c r="L121" s="3">
        <f t="shared" si="7"/>
        <v>27715</v>
      </c>
      <c r="M121" s="3">
        <v>132545000</v>
      </c>
    </row>
    <row r="122" spans="1:13" s="18" customFormat="1" outlineLevel="2">
      <c r="A122" s="19" t="s">
        <v>20</v>
      </c>
      <c r="B122" s="20" t="s">
        <v>23</v>
      </c>
      <c r="C122" s="21" t="s">
        <v>24</v>
      </c>
      <c r="D122" s="20"/>
      <c r="E122" s="3"/>
      <c r="F122" s="19"/>
      <c r="G122" s="3">
        <v>132545000</v>
      </c>
      <c r="H122" s="2">
        <v>5.0000000000000001E-3</v>
      </c>
      <c r="I122" s="19">
        <v>44151</v>
      </c>
      <c r="J122" s="19">
        <v>44165</v>
      </c>
      <c r="K122" s="3">
        <f t="shared" si="6"/>
        <v>15</v>
      </c>
      <c r="L122" s="3">
        <f t="shared" si="7"/>
        <v>27161</v>
      </c>
      <c r="M122" s="3"/>
    </row>
    <row r="123" spans="1:13" s="18" customFormat="1" outlineLevel="2">
      <c r="A123" s="19" t="s">
        <v>20</v>
      </c>
      <c r="B123" s="20" t="s">
        <v>100</v>
      </c>
      <c r="C123" s="21" t="s">
        <v>160</v>
      </c>
      <c r="D123" s="20" t="s">
        <v>159</v>
      </c>
      <c r="E123" s="3">
        <v>30000000</v>
      </c>
      <c r="F123" s="19">
        <v>44020</v>
      </c>
      <c r="G123" s="3">
        <v>30000000</v>
      </c>
      <c r="H123" s="2">
        <v>5.0000000000000001E-3</v>
      </c>
      <c r="I123" s="19">
        <v>44136</v>
      </c>
      <c r="J123" s="19">
        <v>44165</v>
      </c>
      <c r="K123" s="3">
        <f t="shared" si="6"/>
        <v>30</v>
      </c>
      <c r="L123" s="3">
        <f t="shared" si="7"/>
        <v>12295</v>
      </c>
      <c r="M123" s="3">
        <v>30000000</v>
      </c>
    </row>
    <row r="124" spans="1:13" s="18" customFormat="1" outlineLevel="2">
      <c r="A124" s="19" t="s">
        <v>20</v>
      </c>
      <c r="B124" s="20" t="s">
        <v>99</v>
      </c>
      <c r="C124" s="21" t="s">
        <v>158</v>
      </c>
      <c r="D124" s="20" t="s">
        <v>157</v>
      </c>
      <c r="E124" s="3">
        <v>35100000</v>
      </c>
      <c r="F124" s="19">
        <v>44013</v>
      </c>
      <c r="G124" s="3">
        <v>35100000</v>
      </c>
      <c r="H124" s="2">
        <v>5.0000000000000001E-3</v>
      </c>
      <c r="I124" s="19">
        <v>44136</v>
      </c>
      <c r="J124" s="19">
        <v>44165</v>
      </c>
      <c r="K124" s="3">
        <f t="shared" si="6"/>
        <v>30</v>
      </c>
      <c r="L124" s="3">
        <f t="shared" si="7"/>
        <v>14385</v>
      </c>
      <c r="M124" s="3">
        <v>35100000</v>
      </c>
    </row>
    <row r="125" spans="1:13" s="18" customFormat="1" outlineLevel="2">
      <c r="A125" s="19" t="s">
        <v>20</v>
      </c>
      <c r="B125" s="20" t="s">
        <v>98</v>
      </c>
      <c r="C125" s="21" t="s">
        <v>158</v>
      </c>
      <c r="D125" s="20" t="s">
        <v>157</v>
      </c>
      <c r="E125" s="3">
        <v>14900000</v>
      </c>
      <c r="F125" s="19">
        <v>44021</v>
      </c>
      <c r="G125" s="3">
        <v>14900000</v>
      </c>
      <c r="H125" s="2">
        <v>5.0000000000000001E-3</v>
      </c>
      <c r="I125" s="19">
        <v>44136</v>
      </c>
      <c r="J125" s="19">
        <v>44165</v>
      </c>
      <c r="K125" s="3">
        <f t="shared" si="6"/>
        <v>30</v>
      </c>
      <c r="L125" s="3">
        <f t="shared" si="7"/>
        <v>6107</v>
      </c>
      <c r="M125" s="3">
        <v>14900000</v>
      </c>
    </row>
    <row r="126" spans="1:13" s="18" customFormat="1" outlineLevel="2">
      <c r="A126" s="19" t="s">
        <v>20</v>
      </c>
      <c r="B126" s="20" t="s">
        <v>122</v>
      </c>
      <c r="C126" s="21" t="s">
        <v>160</v>
      </c>
      <c r="D126" s="20" t="s">
        <v>159</v>
      </c>
      <c r="E126" s="3">
        <v>30000000</v>
      </c>
      <c r="F126" s="19">
        <v>44050</v>
      </c>
      <c r="G126" s="3">
        <v>30000000</v>
      </c>
      <c r="H126" s="2">
        <v>5.0000000000000001E-3</v>
      </c>
      <c r="I126" s="19">
        <v>44136</v>
      </c>
      <c r="J126" s="19">
        <v>44165</v>
      </c>
      <c r="K126" s="3">
        <f t="shared" si="6"/>
        <v>30</v>
      </c>
      <c r="L126" s="3">
        <f t="shared" si="7"/>
        <v>12295</v>
      </c>
      <c r="M126" s="3">
        <v>30000000</v>
      </c>
    </row>
    <row r="127" spans="1:13" s="18" customFormat="1" outlineLevel="2">
      <c r="A127" s="19" t="s">
        <v>20</v>
      </c>
      <c r="B127" s="20" t="s">
        <v>121</v>
      </c>
      <c r="C127" s="21" t="s">
        <v>135</v>
      </c>
      <c r="D127" s="20" t="s">
        <v>134</v>
      </c>
      <c r="E127" s="3">
        <v>72450000</v>
      </c>
      <c r="F127" s="19">
        <v>44064</v>
      </c>
      <c r="G127" s="3">
        <v>72450000</v>
      </c>
      <c r="H127" s="2">
        <v>5.0000000000000001E-3</v>
      </c>
      <c r="I127" s="19">
        <v>44136</v>
      </c>
      <c r="J127" s="19">
        <v>44165</v>
      </c>
      <c r="K127" s="3">
        <f t="shared" si="6"/>
        <v>30</v>
      </c>
      <c r="L127" s="3">
        <f t="shared" si="7"/>
        <v>29693</v>
      </c>
      <c r="M127" s="3">
        <v>72450000</v>
      </c>
    </row>
    <row r="128" spans="1:13" s="18" customFormat="1" outlineLevel="2">
      <c r="A128" s="19" t="s">
        <v>20</v>
      </c>
      <c r="B128" s="20" t="s">
        <v>120</v>
      </c>
      <c r="C128" s="21" t="s">
        <v>141</v>
      </c>
      <c r="D128" s="20" t="s">
        <v>140</v>
      </c>
      <c r="E128" s="3">
        <v>77500000</v>
      </c>
      <c r="F128" s="19">
        <v>44060</v>
      </c>
      <c r="G128" s="3">
        <v>77500000</v>
      </c>
      <c r="H128" s="2">
        <v>5.0000000000000001E-3</v>
      </c>
      <c r="I128" s="19">
        <v>44136</v>
      </c>
      <c r="J128" s="19">
        <v>44165</v>
      </c>
      <c r="K128" s="3">
        <f t="shared" si="6"/>
        <v>30</v>
      </c>
      <c r="L128" s="3">
        <f t="shared" si="7"/>
        <v>31762</v>
      </c>
      <c r="M128" s="3">
        <v>77500000</v>
      </c>
    </row>
    <row r="129" spans="1:13" s="18" customFormat="1" outlineLevel="2">
      <c r="A129" s="19" t="s">
        <v>20</v>
      </c>
      <c r="B129" s="20" t="s">
        <v>147</v>
      </c>
      <c r="C129" s="21" t="s">
        <v>135</v>
      </c>
      <c r="D129" s="20" t="s">
        <v>134</v>
      </c>
      <c r="E129" s="3">
        <v>160000000</v>
      </c>
      <c r="F129" s="19">
        <v>44098</v>
      </c>
      <c r="G129" s="3">
        <v>160000000</v>
      </c>
      <c r="H129" s="2">
        <v>5.0000000000000001E-3</v>
      </c>
      <c r="I129" s="19">
        <v>44136</v>
      </c>
      <c r="J129" s="19">
        <v>44165</v>
      </c>
      <c r="K129" s="3">
        <f t="shared" si="6"/>
        <v>30</v>
      </c>
      <c r="L129" s="3">
        <f t="shared" si="7"/>
        <v>65574</v>
      </c>
      <c r="M129" s="3">
        <v>160000000</v>
      </c>
    </row>
    <row r="130" spans="1:13" s="18" customFormat="1" outlineLevel="2">
      <c r="A130" s="19" t="s">
        <v>20</v>
      </c>
      <c r="B130" s="20" t="s">
        <v>146</v>
      </c>
      <c r="C130" s="21" t="s">
        <v>203</v>
      </c>
      <c r="D130" s="20" t="s">
        <v>202</v>
      </c>
      <c r="E130" s="3">
        <v>73100000</v>
      </c>
      <c r="F130" s="19">
        <v>44095</v>
      </c>
      <c r="G130" s="3">
        <v>73100000</v>
      </c>
      <c r="H130" s="2">
        <v>5.0000000000000001E-3</v>
      </c>
      <c r="I130" s="19">
        <v>44136</v>
      </c>
      <c r="J130" s="19">
        <v>44165</v>
      </c>
      <c r="K130" s="3">
        <f t="shared" si="6"/>
        <v>30</v>
      </c>
      <c r="L130" s="3">
        <f t="shared" si="7"/>
        <v>29959</v>
      </c>
      <c r="M130" s="3">
        <v>73100000</v>
      </c>
    </row>
    <row r="131" spans="1:13" s="18" customFormat="1" outlineLevel="2">
      <c r="A131" s="19" t="s">
        <v>20</v>
      </c>
      <c r="B131" s="20" t="s">
        <v>145</v>
      </c>
      <c r="C131" s="21" t="s">
        <v>115</v>
      </c>
      <c r="D131" s="20" t="s">
        <v>114</v>
      </c>
      <c r="E131" s="3">
        <v>3000000</v>
      </c>
      <c r="F131" s="19">
        <v>44132</v>
      </c>
      <c r="G131" s="3">
        <v>3000000</v>
      </c>
      <c r="H131" s="2">
        <v>5.0000000000000001E-3</v>
      </c>
      <c r="I131" s="19">
        <v>44136</v>
      </c>
      <c r="J131" s="19">
        <v>44165</v>
      </c>
      <c r="K131" s="3">
        <f t="shared" si="6"/>
        <v>30</v>
      </c>
      <c r="L131" s="3">
        <f t="shared" si="7"/>
        <v>1230</v>
      </c>
      <c r="M131" s="3">
        <v>3000000</v>
      </c>
    </row>
    <row r="132" spans="1:13" s="18" customFormat="1" outlineLevel="2">
      <c r="A132" s="19" t="s">
        <v>20</v>
      </c>
      <c r="B132" s="20" t="s">
        <v>144</v>
      </c>
      <c r="C132" s="21" t="s">
        <v>141</v>
      </c>
      <c r="D132" s="20" t="s">
        <v>140</v>
      </c>
      <c r="E132" s="3">
        <v>141000000</v>
      </c>
      <c r="F132" s="19">
        <v>44119</v>
      </c>
      <c r="G132" s="3">
        <v>141000000</v>
      </c>
      <c r="H132" s="2">
        <v>5.0000000000000001E-3</v>
      </c>
      <c r="I132" s="19">
        <v>44136</v>
      </c>
      <c r="J132" s="19">
        <v>44165</v>
      </c>
      <c r="K132" s="3">
        <f t="shared" si="6"/>
        <v>30</v>
      </c>
      <c r="L132" s="3">
        <f t="shared" si="7"/>
        <v>57787</v>
      </c>
      <c r="M132" s="3">
        <v>141000000</v>
      </c>
    </row>
    <row r="133" spans="1:13" s="18" customFormat="1" outlineLevel="2">
      <c r="A133" s="19" t="s">
        <v>20</v>
      </c>
      <c r="B133" s="20" t="s">
        <v>29</v>
      </c>
      <c r="C133" s="21" t="s">
        <v>69</v>
      </c>
      <c r="D133" s="20" t="s">
        <v>68</v>
      </c>
      <c r="E133" s="3">
        <v>60000000</v>
      </c>
      <c r="F133" s="19">
        <v>43922</v>
      </c>
      <c r="G133" s="3">
        <v>60000000</v>
      </c>
      <c r="H133" s="2">
        <v>3.0000000000000001E-3</v>
      </c>
      <c r="I133" s="19">
        <v>44136</v>
      </c>
      <c r="J133" s="19">
        <v>44165</v>
      </c>
      <c r="K133" s="3">
        <f t="shared" si="6"/>
        <v>30</v>
      </c>
      <c r="L133" s="3">
        <f t="shared" si="7"/>
        <v>14754</v>
      </c>
      <c r="M133" s="3">
        <v>60000000</v>
      </c>
    </row>
    <row r="134" spans="1:13" s="18" customFormat="1" outlineLevel="2">
      <c r="A134" s="19" t="s">
        <v>20</v>
      </c>
      <c r="B134" s="20" t="s">
        <v>143</v>
      </c>
      <c r="C134" s="21" t="s">
        <v>115</v>
      </c>
      <c r="D134" s="20" t="s">
        <v>114</v>
      </c>
      <c r="E134" s="3">
        <v>2500000</v>
      </c>
      <c r="F134" s="19">
        <v>44146</v>
      </c>
      <c r="G134" s="3">
        <v>2500000</v>
      </c>
      <c r="H134" s="2">
        <v>5.0000000000000001E-3</v>
      </c>
      <c r="I134" s="19">
        <v>44146</v>
      </c>
      <c r="J134" s="19">
        <v>44165</v>
      </c>
      <c r="K134" s="3">
        <f t="shared" si="6"/>
        <v>20</v>
      </c>
      <c r="L134" s="3">
        <f t="shared" si="7"/>
        <v>683</v>
      </c>
      <c r="M134" s="3">
        <v>2500000</v>
      </c>
    </row>
    <row r="135" spans="1:13" s="18" customFormat="1" outlineLevel="2">
      <c r="A135" s="19" t="s">
        <v>20</v>
      </c>
      <c r="B135" s="20" t="s">
        <v>142</v>
      </c>
      <c r="C135" s="21" t="s">
        <v>160</v>
      </c>
      <c r="D135" s="20" t="s">
        <v>159</v>
      </c>
      <c r="E135" s="3">
        <v>11610900</v>
      </c>
      <c r="F135" s="19">
        <v>44137</v>
      </c>
      <c r="G135" s="3">
        <v>11610900</v>
      </c>
      <c r="H135" s="2">
        <v>5.0000000000000001E-3</v>
      </c>
      <c r="I135" s="19">
        <v>44137</v>
      </c>
      <c r="J135" s="19">
        <v>44165</v>
      </c>
      <c r="K135" s="3">
        <f t="shared" si="6"/>
        <v>29</v>
      </c>
      <c r="L135" s="3">
        <f t="shared" si="7"/>
        <v>4600</v>
      </c>
      <c r="M135" s="3">
        <v>11610900</v>
      </c>
    </row>
    <row r="136" spans="1:13" s="18" customFormat="1" outlineLevel="2">
      <c r="A136" s="19" t="s">
        <v>20</v>
      </c>
      <c r="B136" s="20" t="s">
        <v>152</v>
      </c>
      <c r="C136" s="21" t="s">
        <v>253</v>
      </c>
      <c r="D136" s="20" t="s">
        <v>252</v>
      </c>
      <c r="E136" s="3">
        <v>12000000</v>
      </c>
      <c r="F136" s="19">
        <v>44145</v>
      </c>
      <c r="G136" s="3">
        <v>12000000</v>
      </c>
      <c r="H136" s="2">
        <v>5.0000000000000001E-3</v>
      </c>
      <c r="I136" s="19">
        <v>44145</v>
      </c>
      <c r="J136" s="19">
        <v>44165</v>
      </c>
      <c r="K136" s="3">
        <f t="shared" si="6"/>
        <v>21</v>
      </c>
      <c r="L136" s="3">
        <f t="shared" si="7"/>
        <v>3443</v>
      </c>
      <c r="M136" s="3">
        <v>12000000</v>
      </c>
    </row>
    <row r="137" spans="1:13" s="18" customFormat="1" outlineLevel="2">
      <c r="A137" s="19" t="s">
        <v>20</v>
      </c>
      <c r="B137" s="20" t="s">
        <v>168</v>
      </c>
      <c r="C137" s="21" t="s">
        <v>250</v>
      </c>
      <c r="D137" s="20" t="s">
        <v>251</v>
      </c>
      <c r="E137" s="3">
        <v>23000000</v>
      </c>
      <c r="F137" s="19">
        <v>44137</v>
      </c>
      <c r="G137" s="3">
        <v>23000000</v>
      </c>
      <c r="H137" s="2">
        <v>5.0000000000000001E-3</v>
      </c>
      <c r="I137" s="19">
        <v>44137</v>
      </c>
      <c r="J137" s="19">
        <v>44150</v>
      </c>
      <c r="K137" s="3">
        <f t="shared" si="6"/>
        <v>14</v>
      </c>
      <c r="L137" s="3">
        <f t="shared" si="7"/>
        <v>4399</v>
      </c>
      <c r="M137" s="3">
        <v>22616667</v>
      </c>
    </row>
    <row r="138" spans="1:13" s="18" customFormat="1" outlineLevel="2">
      <c r="A138" s="19" t="s">
        <v>20</v>
      </c>
      <c r="B138" s="20" t="s">
        <v>168</v>
      </c>
      <c r="C138" s="21" t="s">
        <v>250</v>
      </c>
      <c r="D138" s="20"/>
      <c r="E138" s="3"/>
      <c r="F138" s="19"/>
      <c r="G138" s="3">
        <v>22616667</v>
      </c>
      <c r="H138" s="2">
        <v>5.0000000000000001E-3</v>
      </c>
      <c r="I138" s="19">
        <v>44151</v>
      </c>
      <c r="J138" s="19">
        <v>44165</v>
      </c>
      <c r="K138" s="3">
        <f t="shared" si="6"/>
        <v>15</v>
      </c>
      <c r="L138" s="3">
        <f t="shared" si="7"/>
        <v>4635</v>
      </c>
      <c r="M138" s="3"/>
    </row>
    <row r="139" spans="1:13" s="18" customFormat="1" outlineLevel="2">
      <c r="A139" s="19" t="s">
        <v>20</v>
      </c>
      <c r="B139" s="20" t="s">
        <v>167</v>
      </c>
      <c r="C139" s="21" t="s">
        <v>250</v>
      </c>
      <c r="D139" s="20" t="s">
        <v>251</v>
      </c>
      <c r="E139" s="3">
        <v>17000000</v>
      </c>
      <c r="F139" s="19">
        <v>44145</v>
      </c>
      <c r="G139" s="3">
        <v>17000000</v>
      </c>
      <c r="H139" s="2">
        <v>5.0000000000000001E-3</v>
      </c>
      <c r="I139" s="19">
        <v>44145</v>
      </c>
      <c r="J139" s="19">
        <v>44150</v>
      </c>
      <c r="K139" s="3">
        <f t="shared" si="6"/>
        <v>6</v>
      </c>
      <c r="L139" s="3">
        <f t="shared" si="7"/>
        <v>1393</v>
      </c>
      <c r="M139" s="3">
        <v>16716667</v>
      </c>
    </row>
    <row r="140" spans="1:13" s="18" customFormat="1" outlineLevel="2">
      <c r="A140" s="19" t="s">
        <v>20</v>
      </c>
      <c r="B140" s="20" t="s">
        <v>167</v>
      </c>
      <c r="C140" s="21" t="s">
        <v>250</v>
      </c>
      <c r="D140" s="20"/>
      <c r="E140" s="3"/>
      <c r="F140" s="19"/>
      <c r="G140" s="3">
        <v>16716667</v>
      </c>
      <c r="H140" s="2">
        <v>5.0000000000000001E-3</v>
      </c>
      <c r="I140" s="19">
        <v>44151</v>
      </c>
      <c r="J140" s="19">
        <v>44165</v>
      </c>
      <c r="K140" s="3">
        <f t="shared" si="6"/>
        <v>15</v>
      </c>
      <c r="L140" s="3">
        <f t="shared" si="7"/>
        <v>3426</v>
      </c>
      <c r="M140" s="3"/>
    </row>
    <row r="141" spans="1:13" s="18" customFormat="1" outlineLevel="2">
      <c r="A141" s="19" t="s">
        <v>20</v>
      </c>
      <c r="B141" s="20" t="s">
        <v>166</v>
      </c>
      <c r="C141" s="21" t="s">
        <v>17</v>
      </c>
      <c r="D141" s="20" t="s">
        <v>18</v>
      </c>
      <c r="E141" s="3">
        <v>4591000</v>
      </c>
      <c r="F141" s="19">
        <v>44160</v>
      </c>
      <c r="G141" s="3">
        <v>4591000</v>
      </c>
      <c r="H141" s="2">
        <v>5.0000000000000001E-3</v>
      </c>
      <c r="I141" s="19">
        <v>44160</v>
      </c>
      <c r="J141" s="19">
        <v>44165</v>
      </c>
      <c r="K141" s="3">
        <f t="shared" si="6"/>
        <v>6</v>
      </c>
      <c r="L141" s="3">
        <f t="shared" si="7"/>
        <v>376</v>
      </c>
      <c r="M141" s="3">
        <v>4591000</v>
      </c>
    </row>
    <row r="142" spans="1:13" s="18" customFormat="1" outlineLevel="2">
      <c r="A142" s="19" t="s">
        <v>20</v>
      </c>
      <c r="B142" s="20" t="s">
        <v>30</v>
      </c>
      <c r="C142" s="21" t="s">
        <v>69</v>
      </c>
      <c r="D142" s="20" t="s">
        <v>68</v>
      </c>
      <c r="E142" s="3">
        <v>144000000</v>
      </c>
      <c r="F142" s="19">
        <v>43922</v>
      </c>
      <c r="G142" s="3">
        <v>144000000</v>
      </c>
      <c r="H142" s="2">
        <v>5.0000000000000001E-3</v>
      </c>
      <c r="I142" s="19">
        <v>44136</v>
      </c>
      <c r="J142" s="19">
        <v>44165</v>
      </c>
      <c r="K142" s="3">
        <f t="shared" si="6"/>
        <v>30</v>
      </c>
      <c r="L142" s="3">
        <f t="shared" si="7"/>
        <v>59016</v>
      </c>
      <c r="M142" s="3">
        <v>144000000</v>
      </c>
    </row>
    <row r="143" spans="1:13" s="18" customFormat="1" outlineLevel="2">
      <c r="A143" s="19" t="s">
        <v>20</v>
      </c>
      <c r="B143" s="20" t="s">
        <v>31</v>
      </c>
      <c r="C143" s="21" t="s">
        <v>115</v>
      </c>
      <c r="D143" s="20" t="s">
        <v>114</v>
      </c>
      <c r="E143" s="3">
        <v>34480000</v>
      </c>
      <c r="F143" s="19">
        <v>43980</v>
      </c>
      <c r="G143" s="3">
        <v>34480000</v>
      </c>
      <c r="H143" s="2">
        <v>5.0000000000000001E-3</v>
      </c>
      <c r="I143" s="19">
        <v>44136</v>
      </c>
      <c r="J143" s="19">
        <v>44165</v>
      </c>
      <c r="K143" s="3">
        <f t="shared" si="6"/>
        <v>30</v>
      </c>
      <c r="L143" s="3">
        <f t="shared" si="7"/>
        <v>14131</v>
      </c>
      <c r="M143" s="3">
        <v>34480000</v>
      </c>
    </row>
    <row r="144" spans="1:13" s="18" customFormat="1" outlineLevel="2">
      <c r="A144" s="19" t="s">
        <v>20</v>
      </c>
      <c r="B144" s="20" t="s">
        <v>32</v>
      </c>
      <c r="C144" s="21" t="s">
        <v>113</v>
      </c>
      <c r="D144" s="20" t="s">
        <v>112</v>
      </c>
      <c r="E144" s="3">
        <v>56000000</v>
      </c>
      <c r="F144" s="19">
        <v>43966</v>
      </c>
      <c r="G144" s="3">
        <v>56000000</v>
      </c>
      <c r="H144" s="2">
        <v>5.0000000000000001E-3</v>
      </c>
      <c r="I144" s="19">
        <v>44136</v>
      </c>
      <c r="J144" s="19">
        <v>44165</v>
      </c>
      <c r="K144" s="3">
        <f t="shared" si="6"/>
        <v>30</v>
      </c>
      <c r="L144" s="3">
        <f t="shared" si="7"/>
        <v>22951</v>
      </c>
      <c r="M144" s="3">
        <v>56000000</v>
      </c>
    </row>
    <row r="145" spans="1:13" s="18" customFormat="1" outlineLevel="2">
      <c r="A145" s="19" t="s">
        <v>20</v>
      </c>
      <c r="B145" s="20" t="s">
        <v>48</v>
      </c>
      <c r="C145" s="21" t="s">
        <v>69</v>
      </c>
      <c r="D145" s="20" t="s">
        <v>68</v>
      </c>
      <c r="E145" s="3">
        <v>150000000</v>
      </c>
      <c r="F145" s="19">
        <v>43958</v>
      </c>
      <c r="G145" s="3">
        <v>150000000</v>
      </c>
      <c r="H145" s="2">
        <v>5.0000000000000001E-3</v>
      </c>
      <c r="I145" s="19">
        <v>44136</v>
      </c>
      <c r="J145" s="19">
        <v>44165</v>
      </c>
      <c r="K145" s="3">
        <f t="shared" si="6"/>
        <v>30</v>
      </c>
      <c r="L145" s="3">
        <f t="shared" si="7"/>
        <v>61475</v>
      </c>
      <c r="M145" s="3">
        <v>150000000</v>
      </c>
    </row>
    <row r="146" spans="1:13" s="18" customFormat="1" outlineLevel="2">
      <c r="A146" s="19" t="s">
        <v>20</v>
      </c>
      <c r="B146" s="20" t="s">
        <v>59</v>
      </c>
      <c r="C146" s="21" t="s">
        <v>115</v>
      </c>
      <c r="D146" s="20" t="s">
        <v>114</v>
      </c>
      <c r="E146" s="3">
        <v>5000000</v>
      </c>
      <c r="F146" s="19">
        <v>43998</v>
      </c>
      <c r="G146" s="3">
        <v>5000000</v>
      </c>
      <c r="H146" s="2">
        <v>5.0000000000000001E-3</v>
      </c>
      <c r="I146" s="19">
        <v>44136</v>
      </c>
      <c r="J146" s="19">
        <v>44165</v>
      </c>
      <c r="K146" s="3">
        <f t="shared" si="6"/>
        <v>30</v>
      </c>
      <c r="L146" s="3">
        <f t="shared" si="7"/>
        <v>2049</v>
      </c>
      <c r="M146" s="3">
        <v>5000000</v>
      </c>
    </row>
    <row r="147" spans="1:13" s="18" customFormat="1" outlineLevel="2">
      <c r="A147" s="19" t="s">
        <v>20</v>
      </c>
      <c r="B147" s="20" t="s">
        <v>58</v>
      </c>
      <c r="C147" s="21" t="s">
        <v>115</v>
      </c>
      <c r="D147" s="20" t="s">
        <v>114</v>
      </c>
      <c r="E147" s="3">
        <v>17292000</v>
      </c>
      <c r="F147" s="19">
        <v>44002</v>
      </c>
      <c r="G147" s="3">
        <v>17292000</v>
      </c>
      <c r="H147" s="2">
        <v>5.0000000000000001E-3</v>
      </c>
      <c r="I147" s="19">
        <v>44136</v>
      </c>
      <c r="J147" s="19">
        <v>44165</v>
      </c>
      <c r="K147" s="3">
        <f t="shared" si="6"/>
        <v>30</v>
      </c>
      <c r="L147" s="3">
        <f t="shared" si="7"/>
        <v>7087</v>
      </c>
      <c r="M147" s="3">
        <v>17292000</v>
      </c>
    </row>
    <row r="148" spans="1:13" s="18" customFormat="1" ht="13.5" outlineLevel="1">
      <c r="A148" s="22" t="s">
        <v>25</v>
      </c>
      <c r="B148" s="23"/>
      <c r="C148" s="24"/>
      <c r="D148" s="23"/>
      <c r="E148" s="25">
        <f>SUBTOTAL(9,E110:E147)</f>
        <v>2861965900</v>
      </c>
      <c r="F148" s="26"/>
      <c r="G148" s="25"/>
      <c r="H148" s="27"/>
      <c r="I148" s="26"/>
      <c r="J148" s="26"/>
      <c r="K148" s="25"/>
      <c r="L148" s="25">
        <f>SUBTOTAL(9,L110:L147)</f>
        <v>1064256</v>
      </c>
      <c r="M148" s="25">
        <f>SUBTOTAL(9,M110:M147)</f>
        <v>2816654634</v>
      </c>
    </row>
    <row r="149" spans="1:13" s="18" customFormat="1" outlineLevel="2">
      <c r="A149" s="19" t="s">
        <v>26</v>
      </c>
      <c r="B149" s="20" t="s">
        <v>16</v>
      </c>
      <c r="C149" s="21" t="s">
        <v>27</v>
      </c>
      <c r="D149" s="20" t="s">
        <v>28</v>
      </c>
      <c r="E149" s="3">
        <v>38000000</v>
      </c>
      <c r="F149" s="19">
        <v>43762</v>
      </c>
      <c r="G149" s="3">
        <v>38000000</v>
      </c>
      <c r="H149" s="2">
        <v>5.0000000000000001E-3</v>
      </c>
      <c r="I149" s="19">
        <v>44136</v>
      </c>
      <c r="J149" s="19">
        <v>44165</v>
      </c>
      <c r="K149" s="3">
        <f t="shared" ref="K149:K180" si="8">J149-I149+1</f>
        <v>30</v>
      </c>
      <c r="L149" s="3">
        <f t="shared" ref="L149:L180" si="9">ROUND(G149*H149*K149/366,0)</f>
        <v>15574</v>
      </c>
      <c r="M149" s="3">
        <v>38000000</v>
      </c>
    </row>
    <row r="150" spans="1:13" s="18" customFormat="1" outlineLevel="2">
      <c r="A150" s="19" t="s">
        <v>26</v>
      </c>
      <c r="B150" s="20" t="s">
        <v>61</v>
      </c>
      <c r="C150" s="21" t="s">
        <v>74</v>
      </c>
      <c r="D150" s="20" t="s">
        <v>73</v>
      </c>
      <c r="E150" s="3">
        <v>110000000</v>
      </c>
      <c r="F150" s="19">
        <v>43913</v>
      </c>
      <c r="G150" s="3">
        <v>110000000</v>
      </c>
      <c r="H150" s="2">
        <v>5.0000000000000001E-3</v>
      </c>
      <c r="I150" s="19">
        <v>44136</v>
      </c>
      <c r="J150" s="19">
        <v>44165</v>
      </c>
      <c r="K150" s="3">
        <f t="shared" si="8"/>
        <v>30</v>
      </c>
      <c r="L150" s="3">
        <f t="shared" si="9"/>
        <v>45082</v>
      </c>
      <c r="M150" s="3">
        <v>110000000</v>
      </c>
    </row>
    <row r="151" spans="1:13" s="18" customFormat="1" outlineLevel="2">
      <c r="A151" s="19" t="s">
        <v>26</v>
      </c>
      <c r="B151" s="20" t="s">
        <v>60</v>
      </c>
      <c r="C151" s="21" t="s">
        <v>33</v>
      </c>
      <c r="D151" s="20" t="s">
        <v>34</v>
      </c>
      <c r="E151" s="3">
        <v>95655336</v>
      </c>
      <c r="F151" s="19">
        <v>43951</v>
      </c>
      <c r="G151" s="3">
        <v>95655336</v>
      </c>
      <c r="H151" s="2">
        <v>5.0000000000000001E-3</v>
      </c>
      <c r="I151" s="19">
        <v>44136</v>
      </c>
      <c r="J151" s="19">
        <v>44165</v>
      </c>
      <c r="K151" s="3">
        <f t="shared" si="8"/>
        <v>30</v>
      </c>
      <c r="L151" s="3">
        <f t="shared" si="9"/>
        <v>39203</v>
      </c>
      <c r="M151" s="3">
        <v>95655336</v>
      </c>
    </row>
    <row r="152" spans="1:13" s="18" customFormat="1" outlineLevel="2">
      <c r="A152" s="19" t="s">
        <v>26</v>
      </c>
      <c r="B152" s="20" t="s">
        <v>66</v>
      </c>
      <c r="C152" s="21" t="s">
        <v>27</v>
      </c>
      <c r="D152" s="20" t="s">
        <v>28</v>
      </c>
      <c r="E152" s="3">
        <v>38000000</v>
      </c>
      <c r="F152" s="19">
        <v>43962</v>
      </c>
      <c r="G152" s="3">
        <v>38000000</v>
      </c>
      <c r="H152" s="2">
        <v>5.0000000000000001E-3</v>
      </c>
      <c r="I152" s="19">
        <v>44136</v>
      </c>
      <c r="J152" s="19">
        <v>44165</v>
      </c>
      <c r="K152" s="3">
        <f t="shared" si="8"/>
        <v>30</v>
      </c>
      <c r="L152" s="3">
        <f t="shared" si="9"/>
        <v>15574</v>
      </c>
      <c r="M152" s="3">
        <v>38000000</v>
      </c>
    </row>
    <row r="153" spans="1:13" s="18" customFormat="1" outlineLevel="2">
      <c r="A153" s="19" t="s">
        <v>26</v>
      </c>
      <c r="B153" s="20" t="s">
        <v>65</v>
      </c>
      <c r="C153" s="21" t="s">
        <v>27</v>
      </c>
      <c r="D153" s="20" t="s">
        <v>28</v>
      </c>
      <c r="E153" s="3">
        <v>10500000</v>
      </c>
      <c r="F153" s="19">
        <v>43962</v>
      </c>
      <c r="G153" s="3">
        <v>10500000</v>
      </c>
      <c r="H153" s="2">
        <v>5.0000000000000001E-3</v>
      </c>
      <c r="I153" s="19">
        <v>44136</v>
      </c>
      <c r="J153" s="19">
        <v>44165</v>
      </c>
      <c r="K153" s="3">
        <f t="shared" si="8"/>
        <v>30</v>
      </c>
      <c r="L153" s="3">
        <f t="shared" si="9"/>
        <v>4303</v>
      </c>
      <c r="M153" s="3">
        <v>10500000</v>
      </c>
    </row>
    <row r="154" spans="1:13" s="18" customFormat="1" outlineLevel="2">
      <c r="A154" s="19" t="s">
        <v>26</v>
      </c>
      <c r="B154" s="20" t="s">
        <v>64</v>
      </c>
      <c r="C154" s="21" t="s">
        <v>192</v>
      </c>
      <c r="D154" s="20" t="s">
        <v>110</v>
      </c>
      <c r="E154" s="3">
        <v>160000000</v>
      </c>
      <c r="F154" s="19">
        <v>43970</v>
      </c>
      <c r="G154" s="3">
        <v>160000000</v>
      </c>
      <c r="H154" s="2">
        <v>5.0000000000000001E-3</v>
      </c>
      <c r="I154" s="19">
        <v>44136</v>
      </c>
      <c r="J154" s="19">
        <v>44165</v>
      </c>
      <c r="K154" s="3">
        <f t="shared" si="8"/>
        <v>30</v>
      </c>
      <c r="L154" s="3">
        <f t="shared" si="9"/>
        <v>65574</v>
      </c>
      <c r="M154" s="3">
        <v>160000000</v>
      </c>
    </row>
    <row r="155" spans="1:13" s="18" customFormat="1" outlineLevel="2">
      <c r="A155" s="19" t="s">
        <v>26</v>
      </c>
      <c r="B155" s="20" t="s">
        <v>85</v>
      </c>
      <c r="C155" s="21" t="s">
        <v>109</v>
      </c>
      <c r="D155" s="20" t="s">
        <v>34</v>
      </c>
      <c r="E155" s="3">
        <v>13104000</v>
      </c>
      <c r="F155" s="19">
        <v>43979</v>
      </c>
      <c r="G155" s="3">
        <v>13104000</v>
      </c>
      <c r="H155" s="2">
        <v>5.0000000000000001E-3</v>
      </c>
      <c r="I155" s="19">
        <v>44136</v>
      </c>
      <c r="J155" s="19">
        <v>44165</v>
      </c>
      <c r="K155" s="3">
        <f t="shared" si="8"/>
        <v>30</v>
      </c>
      <c r="L155" s="3">
        <f t="shared" si="9"/>
        <v>5370</v>
      </c>
      <c r="M155" s="3">
        <v>13104000</v>
      </c>
    </row>
    <row r="156" spans="1:13" s="18" customFormat="1" outlineLevel="2">
      <c r="A156" s="19" t="s">
        <v>26</v>
      </c>
      <c r="B156" s="20" t="s">
        <v>84</v>
      </c>
      <c r="C156" s="21" t="s">
        <v>130</v>
      </c>
      <c r="D156" s="20" t="s">
        <v>129</v>
      </c>
      <c r="E156" s="3">
        <v>6550000</v>
      </c>
      <c r="F156" s="19">
        <v>43993</v>
      </c>
      <c r="G156" s="3">
        <v>6550000</v>
      </c>
      <c r="H156" s="2">
        <v>5.0000000000000001E-3</v>
      </c>
      <c r="I156" s="19">
        <v>44136</v>
      </c>
      <c r="J156" s="19">
        <v>44165</v>
      </c>
      <c r="K156" s="3">
        <f t="shared" si="8"/>
        <v>30</v>
      </c>
      <c r="L156" s="3">
        <f t="shared" si="9"/>
        <v>2684</v>
      </c>
      <c r="M156" s="3">
        <v>6550000</v>
      </c>
    </row>
    <row r="157" spans="1:13" s="18" customFormat="1" outlineLevel="2">
      <c r="A157" s="19" t="s">
        <v>26</v>
      </c>
      <c r="B157" s="20" t="s">
        <v>83</v>
      </c>
      <c r="C157" s="21" t="s">
        <v>130</v>
      </c>
      <c r="D157" s="20" t="s">
        <v>129</v>
      </c>
      <c r="E157" s="3">
        <v>19710000</v>
      </c>
      <c r="F157" s="19">
        <v>43993</v>
      </c>
      <c r="G157" s="3">
        <v>19710000</v>
      </c>
      <c r="H157" s="2">
        <v>5.0000000000000001E-3</v>
      </c>
      <c r="I157" s="19">
        <v>44136</v>
      </c>
      <c r="J157" s="19">
        <v>44165</v>
      </c>
      <c r="K157" s="3">
        <f t="shared" si="8"/>
        <v>30</v>
      </c>
      <c r="L157" s="3">
        <f t="shared" si="9"/>
        <v>8078</v>
      </c>
      <c r="M157" s="3">
        <v>19710000</v>
      </c>
    </row>
    <row r="158" spans="1:13" s="18" customFormat="1" outlineLevel="2">
      <c r="A158" s="19" t="s">
        <v>26</v>
      </c>
      <c r="B158" s="20" t="s">
        <v>102</v>
      </c>
      <c r="C158" s="21" t="s">
        <v>130</v>
      </c>
      <c r="D158" s="20" t="s">
        <v>129</v>
      </c>
      <c r="E158" s="3">
        <v>16860000</v>
      </c>
      <c r="F158" s="19">
        <v>43993</v>
      </c>
      <c r="G158" s="3">
        <v>16860000</v>
      </c>
      <c r="H158" s="2">
        <v>5.0000000000000001E-3</v>
      </c>
      <c r="I158" s="19">
        <v>44136</v>
      </c>
      <c r="J158" s="19">
        <v>44165</v>
      </c>
      <c r="K158" s="3">
        <f t="shared" si="8"/>
        <v>30</v>
      </c>
      <c r="L158" s="3">
        <f t="shared" si="9"/>
        <v>6910</v>
      </c>
      <c r="M158" s="3">
        <v>16860000</v>
      </c>
    </row>
    <row r="159" spans="1:13" s="18" customFormat="1" outlineLevel="2">
      <c r="A159" s="19" t="s">
        <v>26</v>
      </c>
      <c r="B159" s="20" t="s">
        <v>101</v>
      </c>
      <c r="C159" s="21" t="s">
        <v>128</v>
      </c>
      <c r="D159" s="20" t="s">
        <v>127</v>
      </c>
      <c r="E159" s="3">
        <v>240000000</v>
      </c>
      <c r="F159" s="19">
        <v>44000</v>
      </c>
      <c r="G159" s="3">
        <v>240000000</v>
      </c>
      <c r="H159" s="2">
        <v>5.0000000000000001E-3</v>
      </c>
      <c r="I159" s="19">
        <v>44136</v>
      </c>
      <c r="J159" s="19">
        <v>44165</v>
      </c>
      <c r="K159" s="3">
        <f t="shared" si="8"/>
        <v>30</v>
      </c>
      <c r="L159" s="3">
        <f t="shared" si="9"/>
        <v>98361</v>
      </c>
      <c r="M159" s="3">
        <v>240000000</v>
      </c>
    </row>
    <row r="160" spans="1:13" s="18" customFormat="1" outlineLevel="2">
      <c r="A160" s="19" t="s">
        <v>26</v>
      </c>
      <c r="B160" s="20" t="s">
        <v>23</v>
      </c>
      <c r="C160" s="21" t="s">
        <v>27</v>
      </c>
      <c r="D160" s="20" t="s">
        <v>28</v>
      </c>
      <c r="E160" s="3">
        <v>57000000</v>
      </c>
      <c r="F160" s="19">
        <v>43822</v>
      </c>
      <c r="G160" s="3">
        <v>57000000</v>
      </c>
      <c r="H160" s="2">
        <v>5.0000000000000001E-3</v>
      </c>
      <c r="I160" s="19">
        <v>44136</v>
      </c>
      <c r="J160" s="19">
        <v>44165</v>
      </c>
      <c r="K160" s="3">
        <f t="shared" si="8"/>
        <v>30</v>
      </c>
      <c r="L160" s="3">
        <f t="shared" si="9"/>
        <v>23361</v>
      </c>
      <c r="M160" s="3">
        <v>57000000</v>
      </c>
    </row>
    <row r="161" spans="1:13" s="18" customFormat="1" outlineLevel="2">
      <c r="A161" s="19" t="s">
        <v>26</v>
      </c>
      <c r="B161" s="20" t="s">
        <v>100</v>
      </c>
      <c r="C161" s="21" t="s">
        <v>192</v>
      </c>
      <c r="D161" s="20" t="s">
        <v>110</v>
      </c>
      <c r="E161" s="3">
        <v>55000000</v>
      </c>
      <c r="F161" s="19">
        <v>44001</v>
      </c>
      <c r="G161" s="3">
        <v>55000000</v>
      </c>
      <c r="H161" s="2">
        <v>5.0000000000000001E-3</v>
      </c>
      <c r="I161" s="19">
        <v>44136</v>
      </c>
      <c r="J161" s="19">
        <v>44165</v>
      </c>
      <c r="K161" s="3">
        <f t="shared" si="8"/>
        <v>30</v>
      </c>
      <c r="L161" s="3">
        <f t="shared" si="9"/>
        <v>22541</v>
      </c>
      <c r="M161" s="3">
        <v>55000000</v>
      </c>
    </row>
    <row r="162" spans="1:13" s="18" customFormat="1" outlineLevel="2">
      <c r="A162" s="19" t="s">
        <v>26</v>
      </c>
      <c r="B162" s="20" t="s">
        <v>99</v>
      </c>
      <c r="C162" s="21" t="s">
        <v>126</v>
      </c>
      <c r="D162" s="20" t="s">
        <v>125</v>
      </c>
      <c r="E162" s="3">
        <v>8907064</v>
      </c>
      <c r="F162" s="19">
        <v>44006</v>
      </c>
      <c r="G162" s="3">
        <v>8907064</v>
      </c>
      <c r="H162" s="2">
        <v>5.0000000000000001E-3</v>
      </c>
      <c r="I162" s="19">
        <v>44136</v>
      </c>
      <c r="J162" s="19">
        <v>44165</v>
      </c>
      <c r="K162" s="3">
        <f t="shared" si="8"/>
        <v>30</v>
      </c>
      <c r="L162" s="3">
        <f t="shared" si="9"/>
        <v>3650</v>
      </c>
      <c r="M162" s="3">
        <v>8907064</v>
      </c>
    </row>
    <row r="163" spans="1:13" s="18" customFormat="1" outlineLevel="2">
      <c r="A163" s="19" t="s">
        <v>26</v>
      </c>
      <c r="B163" s="20" t="s">
        <v>98</v>
      </c>
      <c r="C163" s="21" t="s">
        <v>33</v>
      </c>
      <c r="D163" s="20" t="s">
        <v>34</v>
      </c>
      <c r="E163" s="3">
        <v>7560000</v>
      </c>
      <c r="F163" s="19">
        <v>44018</v>
      </c>
      <c r="G163" s="3">
        <v>7560000</v>
      </c>
      <c r="H163" s="2">
        <v>5.0000000000000001E-3</v>
      </c>
      <c r="I163" s="19">
        <v>44136</v>
      </c>
      <c r="J163" s="19">
        <v>44165</v>
      </c>
      <c r="K163" s="3">
        <f t="shared" si="8"/>
        <v>30</v>
      </c>
      <c r="L163" s="3">
        <f t="shared" si="9"/>
        <v>3098</v>
      </c>
      <c r="M163" s="3">
        <v>7560000</v>
      </c>
    </row>
    <row r="164" spans="1:13" s="18" customFormat="1" outlineLevel="2">
      <c r="A164" s="19" t="s">
        <v>26</v>
      </c>
      <c r="B164" s="20" t="s">
        <v>122</v>
      </c>
      <c r="C164" s="21" t="s">
        <v>27</v>
      </c>
      <c r="D164" s="20" t="s">
        <v>28</v>
      </c>
      <c r="E164" s="3">
        <v>38000000</v>
      </c>
      <c r="F164" s="19">
        <v>44022</v>
      </c>
      <c r="G164" s="3">
        <v>38000000</v>
      </c>
      <c r="H164" s="2">
        <v>5.0000000000000001E-3</v>
      </c>
      <c r="I164" s="19">
        <v>44136</v>
      </c>
      <c r="J164" s="19">
        <v>44165</v>
      </c>
      <c r="K164" s="3">
        <f t="shared" si="8"/>
        <v>30</v>
      </c>
      <c r="L164" s="3">
        <f t="shared" si="9"/>
        <v>15574</v>
      </c>
      <c r="M164" s="3">
        <v>38000000</v>
      </c>
    </row>
    <row r="165" spans="1:13" s="18" customFormat="1" outlineLevel="2">
      <c r="A165" s="19" t="s">
        <v>26</v>
      </c>
      <c r="B165" s="20" t="s">
        <v>121</v>
      </c>
      <c r="C165" s="21" t="s">
        <v>27</v>
      </c>
      <c r="D165" s="20" t="s">
        <v>28</v>
      </c>
      <c r="E165" s="3">
        <v>10500000</v>
      </c>
      <c r="F165" s="19">
        <v>44022</v>
      </c>
      <c r="G165" s="3">
        <v>10500000</v>
      </c>
      <c r="H165" s="2">
        <v>5.0000000000000001E-3</v>
      </c>
      <c r="I165" s="19">
        <v>44136</v>
      </c>
      <c r="J165" s="19">
        <v>44165</v>
      </c>
      <c r="K165" s="3">
        <f t="shared" si="8"/>
        <v>30</v>
      </c>
      <c r="L165" s="3">
        <f t="shared" si="9"/>
        <v>4303</v>
      </c>
      <c r="M165" s="3">
        <v>10500000</v>
      </c>
    </row>
    <row r="166" spans="1:13" s="18" customFormat="1" outlineLevel="2">
      <c r="A166" s="19" t="s">
        <v>26</v>
      </c>
      <c r="B166" s="20" t="s">
        <v>120</v>
      </c>
      <c r="C166" s="21" t="s">
        <v>156</v>
      </c>
      <c r="D166" s="20" t="s">
        <v>155</v>
      </c>
      <c r="E166" s="3">
        <v>72000000</v>
      </c>
      <c r="F166" s="19">
        <v>44025</v>
      </c>
      <c r="G166" s="3">
        <v>70184874</v>
      </c>
      <c r="H166" s="2">
        <v>5.0000000000000001E-3</v>
      </c>
      <c r="I166" s="19">
        <v>44136</v>
      </c>
      <c r="J166" s="19">
        <v>44150</v>
      </c>
      <c r="K166" s="3">
        <f t="shared" si="8"/>
        <v>15</v>
      </c>
      <c r="L166" s="3">
        <f t="shared" si="9"/>
        <v>14382</v>
      </c>
      <c r="M166" s="3">
        <v>69579832</v>
      </c>
    </row>
    <row r="167" spans="1:13" s="18" customFormat="1" outlineLevel="2">
      <c r="A167" s="19" t="s">
        <v>26</v>
      </c>
      <c r="B167" s="20" t="s">
        <v>120</v>
      </c>
      <c r="C167" s="21" t="s">
        <v>156</v>
      </c>
      <c r="D167" s="20"/>
      <c r="E167" s="3"/>
      <c r="F167" s="19"/>
      <c r="G167" s="3">
        <v>69579832</v>
      </c>
      <c r="H167" s="2">
        <v>5.0000000000000001E-3</v>
      </c>
      <c r="I167" s="19">
        <v>44151</v>
      </c>
      <c r="J167" s="19">
        <v>44165</v>
      </c>
      <c r="K167" s="3">
        <f t="shared" si="8"/>
        <v>15</v>
      </c>
      <c r="L167" s="3">
        <f t="shared" si="9"/>
        <v>14258</v>
      </c>
      <c r="M167" s="3"/>
    </row>
    <row r="168" spans="1:13" s="18" customFormat="1" outlineLevel="2">
      <c r="A168" s="19" t="s">
        <v>26</v>
      </c>
      <c r="B168" s="20" t="s">
        <v>147</v>
      </c>
      <c r="C168" s="21" t="s">
        <v>141</v>
      </c>
      <c r="D168" s="20" t="s">
        <v>140</v>
      </c>
      <c r="E168" s="3">
        <v>87500000</v>
      </c>
      <c r="F168" s="19">
        <v>44027</v>
      </c>
      <c r="G168" s="3">
        <v>87500000</v>
      </c>
      <c r="H168" s="2">
        <v>5.0000000000000001E-3</v>
      </c>
      <c r="I168" s="19">
        <v>44136</v>
      </c>
      <c r="J168" s="19">
        <v>44165</v>
      </c>
      <c r="K168" s="3">
        <f t="shared" si="8"/>
        <v>30</v>
      </c>
      <c r="L168" s="3">
        <f t="shared" si="9"/>
        <v>35861</v>
      </c>
      <c r="M168" s="3">
        <v>87500000</v>
      </c>
    </row>
    <row r="169" spans="1:13" s="18" customFormat="1" outlineLevel="2">
      <c r="A169" s="19" t="s">
        <v>26</v>
      </c>
      <c r="B169" s="20" t="s">
        <v>146</v>
      </c>
      <c r="C169" s="21" t="s">
        <v>154</v>
      </c>
      <c r="D169" s="20" t="s">
        <v>153</v>
      </c>
      <c r="E169" s="3">
        <v>84000000</v>
      </c>
      <c r="F169" s="19">
        <v>44027</v>
      </c>
      <c r="G169" s="3">
        <v>84000000</v>
      </c>
      <c r="H169" s="2">
        <v>5.0000000000000001E-3</v>
      </c>
      <c r="I169" s="19">
        <v>44136</v>
      </c>
      <c r="J169" s="19">
        <v>44165</v>
      </c>
      <c r="K169" s="3">
        <f t="shared" si="8"/>
        <v>30</v>
      </c>
      <c r="L169" s="3">
        <f t="shared" si="9"/>
        <v>34426</v>
      </c>
      <c r="M169" s="3">
        <v>84000000</v>
      </c>
    </row>
    <row r="170" spans="1:13" s="18" customFormat="1" outlineLevel="2">
      <c r="A170" s="19" t="s">
        <v>26</v>
      </c>
      <c r="B170" s="20" t="s">
        <v>145</v>
      </c>
      <c r="C170" s="21" t="s">
        <v>97</v>
      </c>
      <c r="D170" s="20" t="s">
        <v>96</v>
      </c>
      <c r="E170" s="3">
        <v>12230000</v>
      </c>
      <c r="F170" s="19">
        <v>44034</v>
      </c>
      <c r="G170" s="3">
        <v>12230000</v>
      </c>
      <c r="H170" s="2">
        <v>5.0000000000000001E-3</v>
      </c>
      <c r="I170" s="19">
        <v>44136</v>
      </c>
      <c r="J170" s="19">
        <v>44165</v>
      </c>
      <c r="K170" s="3">
        <f t="shared" si="8"/>
        <v>30</v>
      </c>
      <c r="L170" s="3">
        <f t="shared" si="9"/>
        <v>5012</v>
      </c>
      <c r="M170" s="3">
        <v>12230000</v>
      </c>
    </row>
    <row r="171" spans="1:13" s="18" customFormat="1" outlineLevel="2">
      <c r="A171" s="19" t="s">
        <v>26</v>
      </c>
      <c r="B171" s="20" t="s">
        <v>144</v>
      </c>
      <c r="C171" s="21" t="s">
        <v>192</v>
      </c>
      <c r="D171" s="20" t="s">
        <v>110</v>
      </c>
      <c r="E171" s="3">
        <v>40000000</v>
      </c>
      <c r="F171" s="19">
        <v>44040</v>
      </c>
      <c r="G171" s="3">
        <v>40000000</v>
      </c>
      <c r="H171" s="2">
        <v>5.0000000000000001E-3</v>
      </c>
      <c r="I171" s="19">
        <v>44136</v>
      </c>
      <c r="J171" s="19">
        <v>44165</v>
      </c>
      <c r="K171" s="3">
        <f t="shared" si="8"/>
        <v>30</v>
      </c>
      <c r="L171" s="3">
        <f t="shared" si="9"/>
        <v>16393</v>
      </c>
      <c r="M171" s="3">
        <v>40000000</v>
      </c>
    </row>
    <row r="172" spans="1:13" s="18" customFormat="1" outlineLevel="2">
      <c r="A172" s="19" t="s">
        <v>26</v>
      </c>
      <c r="B172" s="20" t="s">
        <v>29</v>
      </c>
      <c r="C172" s="21" t="s">
        <v>21</v>
      </c>
      <c r="D172" s="20" t="s">
        <v>22</v>
      </c>
      <c r="E172" s="3">
        <v>171000000</v>
      </c>
      <c r="F172" s="19">
        <v>43822</v>
      </c>
      <c r="G172" s="3">
        <v>171000000</v>
      </c>
      <c r="H172" s="2">
        <v>5.0000000000000001E-3</v>
      </c>
      <c r="I172" s="19">
        <v>44136</v>
      </c>
      <c r="J172" s="19">
        <v>44165</v>
      </c>
      <c r="K172" s="3">
        <f t="shared" si="8"/>
        <v>30</v>
      </c>
      <c r="L172" s="3">
        <f t="shared" si="9"/>
        <v>70082</v>
      </c>
      <c r="M172" s="3">
        <v>171000000</v>
      </c>
    </row>
    <row r="173" spans="1:13" s="18" customFormat="1" outlineLevel="2">
      <c r="A173" s="19" t="s">
        <v>26</v>
      </c>
      <c r="B173" s="20" t="s">
        <v>143</v>
      </c>
      <c r="C173" s="21" t="s">
        <v>151</v>
      </c>
      <c r="D173" s="20" t="s">
        <v>150</v>
      </c>
      <c r="E173" s="3">
        <v>18000000</v>
      </c>
      <c r="F173" s="19">
        <v>44043</v>
      </c>
      <c r="G173" s="3">
        <v>18000000</v>
      </c>
      <c r="H173" s="2">
        <v>5.0000000000000001E-3</v>
      </c>
      <c r="I173" s="19">
        <v>44136</v>
      </c>
      <c r="J173" s="19">
        <v>44165</v>
      </c>
      <c r="K173" s="3">
        <f t="shared" si="8"/>
        <v>30</v>
      </c>
      <c r="L173" s="3">
        <f t="shared" si="9"/>
        <v>7377</v>
      </c>
      <c r="M173" s="3">
        <v>18000000</v>
      </c>
    </row>
    <row r="174" spans="1:13" s="18" customFormat="1" outlineLevel="2">
      <c r="A174" s="19" t="s">
        <v>26</v>
      </c>
      <c r="B174" s="20" t="s">
        <v>142</v>
      </c>
      <c r="C174" s="21" t="s">
        <v>151</v>
      </c>
      <c r="D174" s="20" t="s">
        <v>150</v>
      </c>
      <c r="E174" s="3">
        <v>21000000</v>
      </c>
      <c r="F174" s="19">
        <v>44043</v>
      </c>
      <c r="G174" s="3">
        <v>21000000</v>
      </c>
      <c r="H174" s="2">
        <v>5.0000000000000001E-3</v>
      </c>
      <c r="I174" s="19">
        <v>44136</v>
      </c>
      <c r="J174" s="19">
        <v>44165</v>
      </c>
      <c r="K174" s="3">
        <f t="shared" si="8"/>
        <v>30</v>
      </c>
      <c r="L174" s="3">
        <f t="shared" si="9"/>
        <v>8607</v>
      </c>
      <c r="M174" s="3">
        <v>21000000</v>
      </c>
    </row>
    <row r="175" spans="1:13" s="18" customFormat="1" outlineLevel="2">
      <c r="A175" s="19" t="s">
        <v>26</v>
      </c>
      <c r="B175" s="20" t="s">
        <v>152</v>
      </c>
      <c r="C175" s="21" t="s">
        <v>151</v>
      </c>
      <c r="D175" s="20" t="s">
        <v>150</v>
      </c>
      <c r="E175" s="3">
        <v>13600000</v>
      </c>
      <c r="F175" s="19">
        <v>44043</v>
      </c>
      <c r="G175" s="3">
        <v>13600000</v>
      </c>
      <c r="H175" s="2">
        <v>5.0000000000000001E-3</v>
      </c>
      <c r="I175" s="19">
        <v>44136</v>
      </c>
      <c r="J175" s="19">
        <v>44165</v>
      </c>
      <c r="K175" s="3">
        <f t="shared" si="8"/>
        <v>30</v>
      </c>
      <c r="L175" s="3">
        <f t="shared" si="9"/>
        <v>5574</v>
      </c>
      <c r="M175" s="3">
        <v>13600000</v>
      </c>
    </row>
    <row r="176" spans="1:13" s="18" customFormat="1" outlineLevel="2">
      <c r="A176" s="19" t="s">
        <v>26</v>
      </c>
      <c r="B176" s="20" t="s">
        <v>168</v>
      </c>
      <c r="C176" s="21" t="s">
        <v>27</v>
      </c>
      <c r="D176" s="20" t="s">
        <v>28</v>
      </c>
      <c r="E176" s="3">
        <v>28000000</v>
      </c>
      <c r="F176" s="19">
        <v>44046</v>
      </c>
      <c r="G176" s="3">
        <v>28000000</v>
      </c>
      <c r="H176" s="2">
        <v>5.0000000000000001E-3</v>
      </c>
      <c r="I176" s="19">
        <v>44136</v>
      </c>
      <c r="J176" s="19">
        <v>44165</v>
      </c>
      <c r="K176" s="3">
        <f t="shared" si="8"/>
        <v>30</v>
      </c>
      <c r="L176" s="3">
        <f t="shared" si="9"/>
        <v>11475</v>
      </c>
      <c r="M176" s="3">
        <v>28000000</v>
      </c>
    </row>
    <row r="177" spans="1:13" s="18" customFormat="1" outlineLevel="2">
      <c r="A177" s="19" t="s">
        <v>26</v>
      </c>
      <c r="B177" s="20" t="s">
        <v>167</v>
      </c>
      <c r="C177" s="21" t="s">
        <v>27</v>
      </c>
      <c r="D177" s="20" t="s">
        <v>28</v>
      </c>
      <c r="E177" s="3">
        <v>2700000</v>
      </c>
      <c r="F177" s="19">
        <v>44056</v>
      </c>
      <c r="G177" s="3">
        <v>2700000</v>
      </c>
      <c r="H177" s="2">
        <v>5.0000000000000001E-3</v>
      </c>
      <c r="I177" s="19">
        <v>44136</v>
      </c>
      <c r="J177" s="19">
        <v>44165</v>
      </c>
      <c r="K177" s="3">
        <f t="shared" si="8"/>
        <v>30</v>
      </c>
      <c r="L177" s="3">
        <f t="shared" si="9"/>
        <v>1107</v>
      </c>
      <c r="M177" s="3">
        <v>2700000</v>
      </c>
    </row>
    <row r="178" spans="1:13" s="18" customFormat="1" outlineLevel="2">
      <c r="A178" s="19" t="s">
        <v>26</v>
      </c>
      <c r="B178" s="20" t="s">
        <v>166</v>
      </c>
      <c r="C178" s="21" t="s">
        <v>27</v>
      </c>
      <c r="D178" s="20" t="s">
        <v>28</v>
      </c>
      <c r="E178" s="3">
        <v>29500000</v>
      </c>
      <c r="F178" s="19">
        <v>44074</v>
      </c>
      <c r="G178" s="3">
        <v>29500000</v>
      </c>
      <c r="H178" s="2">
        <v>5.0000000000000001E-3</v>
      </c>
      <c r="I178" s="19">
        <v>44136</v>
      </c>
      <c r="J178" s="19">
        <v>44165</v>
      </c>
      <c r="K178" s="3">
        <f t="shared" si="8"/>
        <v>30</v>
      </c>
      <c r="L178" s="3">
        <f t="shared" si="9"/>
        <v>12090</v>
      </c>
      <c r="M178" s="3">
        <v>29500000</v>
      </c>
    </row>
    <row r="179" spans="1:13" s="18" customFormat="1" outlineLevel="2">
      <c r="A179" s="19" t="s">
        <v>26</v>
      </c>
      <c r="B179" s="20" t="s">
        <v>165</v>
      </c>
      <c r="C179" s="21" t="s">
        <v>162</v>
      </c>
      <c r="D179" s="20" t="s">
        <v>161</v>
      </c>
      <c r="E179" s="3">
        <v>120000000</v>
      </c>
      <c r="F179" s="19">
        <v>44046</v>
      </c>
      <c r="G179" s="3">
        <v>120000000</v>
      </c>
      <c r="H179" s="2">
        <v>5.0000000000000001E-3</v>
      </c>
      <c r="I179" s="19">
        <v>44136</v>
      </c>
      <c r="J179" s="19">
        <v>44165</v>
      </c>
      <c r="K179" s="3">
        <f t="shared" si="8"/>
        <v>30</v>
      </c>
      <c r="L179" s="3">
        <f t="shared" si="9"/>
        <v>49180</v>
      </c>
      <c r="M179" s="3">
        <v>120000000</v>
      </c>
    </row>
    <row r="180" spans="1:13" s="18" customFormat="1" outlineLevel="2">
      <c r="A180" s="19" t="s">
        <v>26</v>
      </c>
      <c r="B180" s="20" t="s">
        <v>180</v>
      </c>
      <c r="C180" s="21" t="s">
        <v>33</v>
      </c>
      <c r="D180" s="20" t="s">
        <v>34</v>
      </c>
      <c r="E180" s="3">
        <v>8736000</v>
      </c>
      <c r="F180" s="19">
        <v>44047</v>
      </c>
      <c r="G180" s="3">
        <v>8736000</v>
      </c>
      <c r="H180" s="2">
        <v>5.0000000000000001E-3</v>
      </c>
      <c r="I180" s="19">
        <v>44136</v>
      </c>
      <c r="J180" s="19">
        <v>44165</v>
      </c>
      <c r="K180" s="3">
        <f t="shared" si="8"/>
        <v>30</v>
      </c>
      <c r="L180" s="3">
        <f t="shared" si="9"/>
        <v>3580</v>
      </c>
      <c r="M180" s="3">
        <v>8736000</v>
      </c>
    </row>
    <row r="181" spans="1:13" s="18" customFormat="1" outlineLevel="2">
      <c r="A181" s="19" t="s">
        <v>26</v>
      </c>
      <c r="B181" s="20" t="s">
        <v>179</v>
      </c>
      <c r="C181" s="21" t="s">
        <v>33</v>
      </c>
      <c r="D181" s="20" t="s">
        <v>34</v>
      </c>
      <c r="E181" s="3">
        <v>8988000</v>
      </c>
      <c r="F181" s="19">
        <v>44067</v>
      </c>
      <c r="G181" s="3">
        <v>8988000</v>
      </c>
      <c r="H181" s="2">
        <v>5.0000000000000001E-3</v>
      </c>
      <c r="I181" s="19">
        <v>44136</v>
      </c>
      <c r="J181" s="19">
        <v>44165</v>
      </c>
      <c r="K181" s="3">
        <f t="shared" ref="K181:K212" si="10">J181-I181+1</f>
        <v>30</v>
      </c>
      <c r="L181" s="3">
        <f t="shared" ref="L181:L212" si="11">ROUND(G181*H181*K181/366,0)</f>
        <v>3684</v>
      </c>
      <c r="M181" s="3">
        <v>8988000</v>
      </c>
    </row>
    <row r="182" spans="1:13" s="18" customFormat="1" outlineLevel="2">
      <c r="A182" s="19" t="s">
        <v>26</v>
      </c>
      <c r="B182" s="20" t="s">
        <v>178</v>
      </c>
      <c r="C182" s="21" t="s">
        <v>33</v>
      </c>
      <c r="D182" s="20" t="s">
        <v>34</v>
      </c>
      <c r="E182" s="3">
        <v>34608000</v>
      </c>
      <c r="F182" s="19">
        <v>44070</v>
      </c>
      <c r="G182" s="3">
        <v>34608000</v>
      </c>
      <c r="H182" s="2">
        <v>5.0000000000000001E-3</v>
      </c>
      <c r="I182" s="19">
        <v>44136</v>
      </c>
      <c r="J182" s="19">
        <v>44165</v>
      </c>
      <c r="K182" s="3">
        <f t="shared" si="10"/>
        <v>30</v>
      </c>
      <c r="L182" s="3">
        <f t="shared" si="11"/>
        <v>14184</v>
      </c>
      <c r="M182" s="3">
        <v>34608000</v>
      </c>
    </row>
    <row r="183" spans="1:13" s="18" customFormat="1" outlineLevel="2">
      <c r="A183" s="19" t="s">
        <v>26</v>
      </c>
      <c r="B183" s="20" t="s">
        <v>30</v>
      </c>
      <c r="C183" s="21" t="s">
        <v>27</v>
      </c>
      <c r="D183" s="20" t="s">
        <v>28</v>
      </c>
      <c r="E183" s="3">
        <v>38000000</v>
      </c>
      <c r="F183" s="19">
        <v>43850</v>
      </c>
      <c r="G183" s="3">
        <v>38000000</v>
      </c>
      <c r="H183" s="2">
        <v>5.0000000000000001E-3</v>
      </c>
      <c r="I183" s="19">
        <v>44136</v>
      </c>
      <c r="J183" s="19">
        <v>44165</v>
      </c>
      <c r="K183" s="3">
        <f t="shared" si="10"/>
        <v>30</v>
      </c>
      <c r="L183" s="3">
        <f t="shared" si="11"/>
        <v>15574</v>
      </c>
      <c r="M183" s="3">
        <v>38000000</v>
      </c>
    </row>
    <row r="184" spans="1:13" s="18" customFormat="1" outlineLevel="2">
      <c r="A184" s="19" t="s">
        <v>26</v>
      </c>
      <c r="B184" s="20" t="s">
        <v>177</v>
      </c>
      <c r="C184" s="21" t="s">
        <v>175</v>
      </c>
      <c r="D184" s="20" t="s">
        <v>174</v>
      </c>
      <c r="E184" s="3">
        <v>13000000</v>
      </c>
      <c r="F184" s="19">
        <v>44047</v>
      </c>
      <c r="G184" s="3">
        <v>13000000</v>
      </c>
      <c r="H184" s="2">
        <v>5.0000000000000001E-3</v>
      </c>
      <c r="I184" s="19">
        <v>44136</v>
      </c>
      <c r="J184" s="19">
        <v>44165</v>
      </c>
      <c r="K184" s="3">
        <f t="shared" si="10"/>
        <v>30</v>
      </c>
      <c r="L184" s="3">
        <f t="shared" si="11"/>
        <v>5328</v>
      </c>
      <c r="M184" s="3">
        <v>13000000</v>
      </c>
    </row>
    <row r="185" spans="1:13" s="18" customFormat="1" outlineLevel="2">
      <c r="A185" s="19" t="s">
        <v>26</v>
      </c>
      <c r="B185" s="20" t="s">
        <v>176</v>
      </c>
      <c r="C185" s="21" t="s">
        <v>175</v>
      </c>
      <c r="D185" s="20" t="s">
        <v>174</v>
      </c>
      <c r="E185" s="3">
        <v>5000000</v>
      </c>
      <c r="F185" s="19">
        <v>44053</v>
      </c>
      <c r="G185" s="3">
        <v>5000000</v>
      </c>
      <c r="H185" s="2">
        <v>5.0000000000000001E-3</v>
      </c>
      <c r="I185" s="19">
        <v>44136</v>
      </c>
      <c r="J185" s="19">
        <v>44165</v>
      </c>
      <c r="K185" s="3">
        <f t="shared" si="10"/>
        <v>30</v>
      </c>
      <c r="L185" s="3">
        <f t="shared" si="11"/>
        <v>2049</v>
      </c>
      <c r="M185" s="3">
        <v>5000000</v>
      </c>
    </row>
    <row r="186" spans="1:13" s="18" customFormat="1" outlineLevel="2">
      <c r="A186" s="19" t="s">
        <v>26</v>
      </c>
      <c r="B186" s="20" t="s">
        <v>173</v>
      </c>
      <c r="C186" s="21" t="s">
        <v>156</v>
      </c>
      <c r="D186" s="20" t="s">
        <v>155</v>
      </c>
      <c r="E186" s="3">
        <v>5300000</v>
      </c>
      <c r="F186" s="19">
        <v>44050</v>
      </c>
      <c r="G186" s="3">
        <v>5210170</v>
      </c>
      <c r="H186" s="2">
        <v>5.0000000000000001E-3</v>
      </c>
      <c r="I186" s="19">
        <v>44136</v>
      </c>
      <c r="J186" s="19">
        <v>44150</v>
      </c>
      <c r="K186" s="3">
        <f t="shared" si="10"/>
        <v>15</v>
      </c>
      <c r="L186" s="3">
        <f t="shared" si="11"/>
        <v>1068</v>
      </c>
      <c r="M186" s="3">
        <v>5165255</v>
      </c>
    </row>
    <row r="187" spans="1:13" s="18" customFormat="1" outlineLevel="2">
      <c r="A187" s="19" t="s">
        <v>26</v>
      </c>
      <c r="B187" s="20" t="s">
        <v>173</v>
      </c>
      <c r="C187" s="21" t="s">
        <v>156</v>
      </c>
      <c r="D187" s="20"/>
      <c r="E187" s="3"/>
      <c r="F187" s="19"/>
      <c r="G187" s="3">
        <v>5165255</v>
      </c>
      <c r="H187" s="2">
        <v>5.0000000000000001E-3</v>
      </c>
      <c r="I187" s="19">
        <v>44151</v>
      </c>
      <c r="J187" s="19">
        <v>44165</v>
      </c>
      <c r="K187" s="3">
        <f t="shared" si="10"/>
        <v>15</v>
      </c>
      <c r="L187" s="3">
        <f t="shared" si="11"/>
        <v>1058</v>
      </c>
      <c r="M187" s="3"/>
    </row>
    <row r="188" spans="1:13" s="18" customFormat="1" outlineLevel="2">
      <c r="A188" s="19" t="s">
        <v>26</v>
      </c>
      <c r="B188" s="20" t="s">
        <v>172</v>
      </c>
      <c r="C188" s="21" t="s">
        <v>72</v>
      </c>
      <c r="D188" s="20" t="s">
        <v>71</v>
      </c>
      <c r="E188" s="3">
        <v>40000000</v>
      </c>
      <c r="F188" s="19">
        <v>44060</v>
      </c>
      <c r="G188" s="3">
        <v>40000000</v>
      </c>
      <c r="H188" s="2">
        <v>5.0000000000000001E-3</v>
      </c>
      <c r="I188" s="19">
        <v>44136</v>
      </c>
      <c r="J188" s="19">
        <v>44165</v>
      </c>
      <c r="K188" s="3">
        <f t="shared" si="10"/>
        <v>30</v>
      </c>
      <c r="L188" s="3">
        <f t="shared" si="11"/>
        <v>16393</v>
      </c>
      <c r="M188" s="3">
        <v>40000000</v>
      </c>
    </row>
    <row r="189" spans="1:13" s="18" customFormat="1" outlineLevel="2">
      <c r="A189" s="19" t="s">
        <v>26</v>
      </c>
      <c r="B189" s="20" t="s">
        <v>171</v>
      </c>
      <c r="C189" s="21" t="s">
        <v>107</v>
      </c>
      <c r="D189" s="20" t="s">
        <v>106</v>
      </c>
      <c r="E189" s="3">
        <v>10000000</v>
      </c>
      <c r="F189" s="19">
        <v>44067</v>
      </c>
      <c r="G189" s="3">
        <v>10000000</v>
      </c>
      <c r="H189" s="2">
        <v>5.0000000000000001E-3</v>
      </c>
      <c r="I189" s="19">
        <v>44136</v>
      </c>
      <c r="J189" s="19">
        <v>44165</v>
      </c>
      <c r="K189" s="3">
        <f t="shared" si="10"/>
        <v>30</v>
      </c>
      <c r="L189" s="3">
        <f t="shared" si="11"/>
        <v>4098</v>
      </c>
      <c r="M189" s="3">
        <v>10000000</v>
      </c>
    </row>
    <row r="190" spans="1:13" s="18" customFormat="1" outlineLevel="2">
      <c r="A190" s="19" t="s">
        <v>26</v>
      </c>
      <c r="B190" s="20" t="s">
        <v>201</v>
      </c>
      <c r="C190" s="21" t="s">
        <v>162</v>
      </c>
      <c r="D190" s="20" t="s">
        <v>161</v>
      </c>
      <c r="E190" s="3">
        <v>125000000</v>
      </c>
      <c r="F190" s="19">
        <v>44075</v>
      </c>
      <c r="G190" s="3">
        <v>125000000</v>
      </c>
      <c r="H190" s="2">
        <v>5.0000000000000001E-3</v>
      </c>
      <c r="I190" s="19">
        <v>44136</v>
      </c>
      <c r="J190" s="19">
        <v>44165</v>
      </c>
      <c r="K190" s="3">
        <f t="shared" si="10"/>
        <v>30</v>
      </c>
      <c r="L190" s="3">
        <f t="shared" si="11"/>
        <v>51230</v>
      </c>
      <c r="M190" s="3">
        <v>125000000</v>
      </c>
    </row>
    <row r="191" spans="1:13" s="18" customFormat="1" outlineLevel="2">
      <c r="A191" s="19" t="s">
        <v>26</v>
      </c>
      <c r="B191" s="20" t="s">
        <v>200</v>
      </c>
      <c r="C191" s="21" t="s">
        <v>162</v>
      </c>
      <c r="D191" s="20" t="s">
        <v>161</v>
      </c>
      <c r="E191" s="3">
        <v>105000000</v>
      </c>
      <c r="F191" s="19">
        <v>44104</v>
      </c>
      <c r="G191" s="3">
        <v>105000000</v>
      </c>
      <c r="H191" s="2">
        <v>5.0000000000000001E-3</v>
      </c>
      <c r="I191" s="19">
        <v>44136</v>
      </c>
      <c r="J191" s="19">
        <v>44165</v>
      </c>
      <c r="K191" s="3">
        <f t="shared" si="10"/>
        <v>30</v>
      </c>
      <c r="L191" s="3">
        <f t="shared" si="11"/>
        <v>43033</v>
      </c>
      <c r="M191" s="3">
        <v>105000000</v>
      </c>
    </row>
    <row r="192" spans="1:13" s="18" customFormat="1" outlineLevel="2">
      <c r="A192" s="19" t="s">
        <v>26</v>
      </c>
      <c r="B192" s="20" t="s">
        <v>199</v>
      </c>
      <c r="C192" s="21" t="s">
        <v>175</v>
      </c>
      <c r="D192" s="20" t="s">
        <v>174</v>
      </c>
      <c r="E192" s="3">
        <v>13000000</v>
      </c>
      <c r="F192" s="19">
        <v>44077</v>
      </c>
      <c r="G192" s="3">
        <v>13000000</v>
      </c>
      <c r="H192" s="2">
        <v>5.0000000000000001E-3</v>
      </c>
      <c r="I192" s="19">
        <v>44136</v>
      </c>
      <c r="J192" s="19">
        <v>44165</v>
      </c>
      <c r="K192" s="3">
        <f t="shared" si="10"/>
        <v>30</v>
      </c>
      <c r="L192" s="3">
        <f t="shared" si="11"/>
        <v>5328</v>
      </c>
      <c r="M192" s="3">
        <v>13000000</v>
      </c>
    </row>
    <row r="193" spans="1:13" s="18" customFormat="1" outlineLevel="2">
      <c r="A193" s="19" t="s">
        <v>26</v>
      </c>
      <c r="B193" s="20" t="s">
        <v>198</v>
      </c>
      <c r="C193" s="21" t="s">
        <v>175</v>
      </c>
      <c r="D193" s="20" t="s">
        <v>174</v>
      </c>
      <c r="E193" s="3">
        <v>5800000</v>
      </c>
      <c r="F193" s="19">
        <v>44083</v>
      </c>
      <c r="G193" s="3">
        <v>5800000</v>
      </c>
      <c r="H193" s="2">
        <v>5.0000000000000001E-3</v>
      </c>
      <c r="I193" s="19">
        <v>44136</v>
      </c>
      <c r="J193" s="19">
        <v>44165</v>
      </c>
      <c r="K193" s="3">
        <f t="shared" si="10"/>
        <v>30</v>
      </c>
      <c r="L193" s="3">
        <f t="shared" si="11"/>
        <v>2377</v>
      </c>
      <c r="M193" s="3">
        <v>5800000</v>
      </c>
    </row>
    <row r="194" spans="1:13" s="18" customFormat="1" outlineLevel="2">
      <c r="A194" s="19" t="s">
        <v>26</v>
      </c>
      <c r="B194" s="20" t="s">
        <v>197</v>
      </c>
      <c r="C194" s="21" t="s">
        <v>33</v>
      </c>
      <c r="D194" s="20" t="s">
        <v>34</v>
      </c>
      <c r="E194" s="3">
        <v>4989600</v>
      </c>
      <c r="F194" s="19">
        <v>44088</v>
      </c>
      <c r="G194" s="3">
        <v>4989600</v>
      </c>
      <c r="H194" s="2">
        <v>5.0000000000000001E-3</v>
      </c>
      <c r="I194" s="19">
        <v>44136</v>
      </c>
      <c r="J194" s="19">
        <v>44165</v>
      </c>
      <c r="K194" s="3">
        <f t="shared" si="10"/>
        <v>30</v>
      </c>
      <c r="L194" s="3">
        <f t="shared" si="11"/>
        <v>2045</v>
      </c>
      <c r="M194" s="3">
        <v>4989600</v>
      </c>
    </row>
    <row r="195" spans="1:13" s="18" customFormat="1" outlineLevel="2">
      <c r="A195" s="19" t="s">
        <v>26</v>
      </c>
      <c r="B195" s="20" t="s">
        <v>31</v>
      </c>
      <c r="C195" s="21" t="s">
        <v>27</v>
      </c>
      <c r="D195" s="20" t="s">
        <v>28</v>
      </c>
      <c r="E195" s="3">
        <v>10000000</v>
      </c>
      <c r="F195" s="19">
        <v>43850</v>
      </c>
      <c r="G195" s="3">
        <v>10000000</v>
      </c>
      <c r="H195" s="2">
        <v>5.0000000000000001E-3</v>
      </c>
      <c r="I195" s="19">
        <v>44136</v>
      </c>
      <c r="J195" s="19">
        <v>44165</v>
      </c>
      <c r="K195" s="3">
        <f t="shared" si="10"/>
        <v>30</v>
      </c>
      <c r="L195" s="3">
        <f t="shared" si="11"/>
        <v>4098</v>
      </c>
      <c r="M195" s="3">
        <v>10000000</v>
      </c>
    </row>
    <row r="196" spans="1:13" s="18" customFormat="1" outlineLevel="2">
      <c r="A196" s="19" t="s">
        <v>26</v>
      </c>
      <c r="B196" s="20" t="s">
        <v>196</v>
      </c>
      <c r="C196" s="21" t="s">
        <v>113</v>
      </c>
      <c r="D196" s="20" t="s">
        <v>112</v>
      </c>
      <c r="E196" s="3">
        <v>96000000</v>
      </c>
      <c r="F196" s="19">
        <v>44089</v>
      </c>
      <c r="G196" s="3">
        <v>96000000</v>
      </c>
      <c r="H196" s="2">
        <v>5.0000000000000001E-3</v>
      </c>
      <c r="I196" s="19">
        <v>44136</v>
      </c>
      <c r="J196" s="19">
        <v>44165</v>
      </c>
      <c r="K196" s="3">
        <f t="shared" si="10"/>
        <v>30</v>
      </c>
      <c r="L196" s="3">
        <f t="shared" si="11"/>
        <v>39344</v>
      </c>
      <c r="M196" s="3">
        <v>96000000</v>
      </c>
    </row>
    <row r="197" spans="1:13" s="18" customFormat="1" outlineLevel="2">
      <c r="A197" s="19" t="s">
        <v>26</v>
      </c>
      <c r="B197" s="20" t="s">
        <v>195</v>
      </c>
      <c r="C197" s="21" t="s">
        <v>113</v>
      </c>
      <c r="D197" s="20" t="s">
        <v>112</v>
      </c>
      <c r="E197" s="3">
        <v>16000000</v>
      </c>
      <c r="F197" s="19">
        <v>44089</v>
      </c>
      <c r="G197" s="3">
        <v>16000000</v>
      </c>
      <c r="H197" s="2">
        <v>5.0000000000000001E-3</v>
      </c>
      <c r="I197" s="19">
        <v>44136</v>
      </c>
      <c r="J197" s="19">
        <v>44165</v>
      </c>
      <c r="K197" s="3">
        <f t="shared" si="10"/>
        <v>30</v>
      </c>
      <c r="L197" s="3">
        <f t="shared" si="11"/>
        <v>6557</v>
      </c>
      <c r="M197" s="3">
        <v>16000000</v>
      </c>
    </row>
    <row r="198" spans="1:13" s="18" customFormat="1" outlineLevel="2">
      <c r="A198" s="19" t="s">
        <v>26</v>
      </c>
      <c r="B198" s="20" t="s">
        <v>194</v>
      </c>
      <c r="C198" s="21" t="s">
        <v>27</v>
      </c>
      <c r="D198" s="20" t="s">
        <v>28</v>
      </c>
      <c r="E198" s="3">
        <v>21600000</v>
      </c>
      <c r="F198" s="19">
        <v>44095</v>
      </c>
      <c r="G198" s="3">
        <v>21600000</v>
      </c>
      <c r="H198" s="2">
        <v>5.0000000000000001E-3</v>
      </c>
      <c r="I198" s="19">
        <v>44136</v>
      </c>
      <c r="J198" s="19">
        <v>44165</v>
      </c>
      <c r="K198" s="3">
        <f t="shared" si="10"/>
        <v>30</v>
      </c>
      <c r="L198" s="3">
        <f t="shared" si="11"/>
        <v>8852</v>
      </c>
      <c r="M198" s="3">
        <v>21600000</v>
      </c>
    </row>
    <row r="199" spans="1:13" s="18" customFormat="1" outlineLevel="2">
      <c r="A199" s="19" t="s">
        <v>26</v>
      </c>
      <c r="B199" s="20" t="s">
        <v>193</v>
      </c>
      <c r="C199" s="21" t="s">
        <v>192</v>
      </c>
      <c r="D199" s="20" t="s">
        <v>110</v>
      </c>
      <c r="E199" s="3">
        <v>40000000</v>
      </c>
      <c r="F199" s="19">
        <v>44100</v>
      </c>
      <c r="G199" s="3">
        <v>40000000</v>
      </c>
      <c r="H199" s="2">
        <v>5.0000000000000001E-3</v>
      </c>
      <c r="I199" s="19">
        <v>44136</v>
      </c>
      <c r="J199" s="19">
        <v>44165</v>
      </c>
      <c r="K199" s="3">
        <f t="shared" si="10"/>
        <v>30</v>
      </c>
      <c r="L199" s="3">
        <f t="shared" si="11"/>
        <v>16393</v>
      </c>
      <c r="M199" s="3">
        <v>40000000</v>
      </c>
    </row>
    <row r="200" spans="1:13" s="18" customFormat="1" outlineLevel="2">
      <c r="A200" s="19" t="s">
        <v>26</v>
      </c>
      <c r="B200" s="20" t="s">
        <v>191</v>
      </c>
      <c r="C200" s="21" t="s">
        <v>115</v>
      </c>
      <c r="D200" s="20" t="s">
        <v>114</v>
      </c>
      <c r="E200" s="3">
        <v>2000000</v>
      </c>
      <c r="F200" s="19">
        <v>44103</v>
      </c>
      <c r="G200" s="3">
        <v>2000000</v>
      </c>
      <c r="H200" s="2">
        <v>5.0000000000000001E-3</v>
      </c>
      <c r="I200" s="19">
        <v>44136</v>
      </c>
      <c r="J200" s="19">
        <v>44165</v>
      </c>
      <c r="K200" s="3">
        <f t="shared" si="10"/>
        <v>30</v>
      </c>
      <c r="L200" s="3">
        <f t="shared" si="11"/>
        <v>820</v>
      </c>
      <c r="M200" s="3">
        <v>2000000</v>
      </c>
    </row>
    <row r="201" spans="1:13" s="18" customFormat="1" outlineLevel="2">
      <c r="A201" s="19" t="s">
        <v>26</v>
      </c>
      <c r="B201" s="20" t="s">
        <v>223</v>
      </c>
      <c r="C201" s="21" t="s">
        <v>175</v>
      </c>
      <c r="D201" s="20" t="s">
        <v>174</v>
      </c>
      <c r="E201" s="3">
        <v>13200000</v>
      </c>
      <c r="F201" s="19">
        <v>44109</v>
      </c>
      <c r="G201" s="3">
        <v>13200000</v>
      </c>
      <c r="H201" s="2">
        <v>5.0000000000000001E-3</v>
      </c>
      <c r="I201" s="19">
        <v>44136</v>
      </c>
      <c r="J201" s="19">
        <v>44165</v>
      </c>
      <c r="K201" s="3">
        <f t="shared" si="10"/>
        <v>30</v>
      </c>
      <c r="L201" s="3">
        <f t="shared" si="11"/>
        <v>5410</v>
      </c>
      <c r="M201" s="3">
        <v>13200000</v>
      </c>
    </row>
    <row r="202" spans="1:13" s="18" customFormat="1" outlineLevel="2">
      <c r="A202" s="19" t="s">
        <v>26</v>
      </c>
      <c r="B202" s="20" t="s">
        <v>222</v>
      </c>
      <c r="C202" s="21" t="s">
        <v>175</v>
      </c>
      <c r="D202" s="20" t="s">
        <v>174</v>
      </c>
      <c r="E202" s="3">
        <v>3000000</v>
      </c>
      <c r="F202" s="19">
        <v>44116</v>
      </c>
      <c r="G202" s="3">
        <v>3000000</v>
      </c>
      <c r="H202" s="2">
        <v>5.0000000000000001E-3</v>
      </c>
      <c r="I202" s="19">
        <v>44136</v>
      </c>
      <c r="J202" s="19">
        <v>44165</v>
      </c>
      <c r="K202" s="3">
        <f t="shared" si="10"/>
        <v>30</v>
      </c>
      <c r="L202" s="3">
        <f t="shared" si="11"/>
        <v>1230</v>
      </c>
      <c r="M202" s="3">
        <v>3000000</v>
      </c>
    </row>
    <row r="203" spans="1:13" s="18" customFormat="1" outlineLevel="2">
      <c r="A203" s="19" t="s">
        <v>26</v>
      </c>
      <c r="B203" s="20" t="s">
        <v>221</v>
      </c>
      <c r="C203" s="21" t="s">
        <v>33</v>
      </c>
      <c r="D203" s="20" t="s">
        <v>34</v>
      </c>
      <c r="E203" s="3">
        <v>8736000</v>
      </c>
      <c r="F203" s="19">
        <v>44109</v>
      </c>
      <c r="G203" s="3">
        <v>8736000</v>
      </c>
      <c r="H203" s="2">
        <v>5.0000000000000001E-3</v>
      </c>
      <c r="I203" s="19">
        <v>44136</v>
      </c>
      <c r="J203" s="19">
        <v>44165</v>
      </c>
      <c r="K203" s="3">
        <f t="shared" si="10"/>
        <v>30</v>
      </c>
      <c r="L203" s="3">
        <f t="shared" si="11"/>
        <v>3580</v>
      </c>
      <c r="M203" s="3">
        <v>8736000</v>
      </c>
    </row>
    <row r="204" spans="1:13" s="18" customFormat="1" outlineLevel="2">
      <c r="A204" s="19" t="s">
        <v>26</v>
      </c>
      <c r="B204" s="20" t="s">
        <v>220</v>
      </c>
      <c r="C204" s="21" t="s">
        <v>33</v>
      </c>
      <c r="D204" s="20" t="s">
        <v>34</v>
      </c>
      <c r="E204" s="3">
        <v>4273920</v>
      </c>
      <c r="F204" s="19">
        <v>44111</v>
      </c>
      <c r="G204" s="3">
        <v>4273920</v>
      </c>
      <c r="H204" s="2">
        <v>5.0000000000000001E-3</v>
      </c>
      <c r="I204" s="19">
        <v>44136</v>
      </c>
      <c r="J204" s="19">
        <v>44165</v>
      </c>
      <c r="K204" s="3">
        <f t="shared" si="10"/>
        <v>30</v>
      </c>
      <c r="L204" s="3">
        <f t="shared" si="11"/>
        <v>1752</v>
      </c>
      <c r="M204" s="3">
        <v>4273920</v>
      </c>
    </row>
    <row r="205" spans="1:13" s="18" customFormat="1" outlineLevel="2">
      <c r="A205" s="19" t="s">
        <v>26</v>
      </c>
      <c r="B205" s="20" t="s">
        <v>219</v>
      </c>
      <c r="C205" s="21" t="s">
        <v>33</v>
      </c>
      <c r="D205" s="20" t="s">
        <v>34</v>
      </c>
      <c r="E205" s="3">
        <v>4368000</v>
      </c>
      <c r="F205" s="19">
        <v>44132</v>
      </c>
      <c r="G205" s="3">
        <v>4368000</v>
      </c>
      <c r="H205" s="2">
        <v>5.0000000000000001E-3</v>
      </c>
      <c r="I205" s="19">
        <v>44136</v>
      </c>
      <c r="J205" s="19">
        <v>44165</v>
      </c>
      <c r="K205" s="3">
        <f t="shared" si="10"/>
        <v>30</v>
      </c>
      <c r="L205" s="3">
        <f t="shared" si="11"/>
        <v>1790</v>
      </c>
      <c r="M205" s="3">
        <v>4368000</v>
      </c>
    </row>
    <row r="206" spans="1:13" s="18" customFormat="1" outlineLevel="2">
      <c r="A206" s="19" t="s">
        <v>26</v>
      </c>
      <c r="B206" s="20" t="s">
        <v>32</v>
      </c>
      <c r="C206" s="21" t="s">
        <v>33</v>
      </c>
      <c r="D206" s="20" t="s">
        <v>34</v>
      </c>
      <c r="E206" s="3">
        <v>96176976</v>
      </c>
      <c r="F206" s="19">
        <v>43861</v>
      </c>
      <c r="G206" s="3">
        <v>96176976</v>
      </c>
      <c r="H206" s="2">
        <v>5.0000000000000001E-3</v>
      </c>
      <c r="I206" s="19">
        <v>44136</v>
      </c>
      <c r="J206" s="19">
        <v>44165</v>
      </c>
      <c r="K206" s="3">
        <f t="shared" si="10"/>
        <v>30</v>
      </c>
      <c r="L206" s="3">
        <f t="shared" si="11"/>
        <v>39417</v>
      </c>
      <c r="M206" s="3">
        <v>96176976</v>
      </c>
    </row>
    <row r="207" spans="1:13" s="18" customFormat="1" outlineLevel="2">
      <c r="A207" s="19" t="s">
        <v>26</v>
      </c>
      <c r="B207" s="20" t="s">
        <v>218</v>
      </c>
      <c r="C207" s="21" t="s">
        <v>33</v>
      </c>
      <c r="D207" s="20" t="s">
        <v>34</v>
      </c>
      <c r="E207" s="3">
        <v>8064000</v>
      </c>
      <c r="F207" s="19">
        <v>44133</v>
      </c>
      <c r="G207" s="3">
        <v>8064000</v>
      </c>
      <c r="H207" s="2">
        <v>5.0000000000000001E-3</v>
      </c>
      <c r="I207" s="19">
        <v>44136</v>
      </c>
      <c r="J207" s="19">
        <v>44165</v>
      </c>
      <c r="K207" s="3">
        <f t="shared" si="10"/>
        <v>30</v>
      </c>
      <c r="L207" s="3">
        <f t="shared" si="11"/>
        <v>3305</v>
      </c>
      <c r="M207" s="3">
        <v>8064000</v>
      </c>
    </row>
    <row r="208" spans="1:13" s="18" customFormat="1" outlineLevel="2">
      <c r="A208" s="19" t="s">
        <v>26</v>
      </c>
      <c r="B208" s="20" t="s">
        <v>217</v>
      </c>
      <c r="C208" s="21" t="s">
        <v>33</v>
      </c>
      <c r="D208" s="20" t="s">
        <v>34</v>
      </c>
      <c r="E208" s="3">
        <v>113400</v>
      </c>
      <c r="F208" s="19">
        <v>44133</v>
      </c>
      <c r="G208" s="3">
        <v>113400</v>
      </c>
      <c r="H208" s="2">
        <v>5.0000000000000001E-3</v>
      </c>
      <c r="I208" s="19">
        <v>44136</v>
      </c>
      <c r="J208" s="19">
        <v>44165</v>
      </c>
      <c r="K208" s="3">
        <f t="shared" si="10"/>
        <v>30</v>
      </c>
      <c r="L208" s="3">
        <f t="shared" si="11"/>
        <v>46</v>
      </c>
      <c r="M208" s="3">
        <v>113400</v>
      </c>
    </row>
    <row r="209" spans="1:13" s="18" customFormat="1" outlineLevel="2">
      <c r="A209" s="19" t="s">
        <v>26</v>
      </c>
      <c r="B209" s="20" t="s">
        <v>216</v>
      </c>
      <c r="C209" s="21" t="s">
        <v>214</v>
      </c>
      <c r="D209" s="20" t="s">
        <v>213</v>
      </c>
      <c r="E209" s="3">
        <v>93700000</v>
      </c>
      <c r="F209" s="19">
        <v>44109</v>
      </c>
      <c r="G209" s="3">
        <v>93700000</v>
      </c>
      <c r="H209" s="2">
        <v>5.0000000000000001E-3</v>
      </c>
      <c r="I209" s="19">
        <v>44136</v>
      </c>
      <c r="J209" s="19">
        <v>44165</v>
      </c>
      <c r="K209" s="3">
        <f t="shared" si="10"/>
        <v>30</v>
      </c>
      <c r="L209" s="3">
        <f t="shared" si="11"/>
        <v>38402</v>
      </c>
      <c r="M209" s="3">
        <v>93700000</v>
      </c>
    </row>
    <row r="210" spans="1:13" s="18" customFormat="1" outlineLevel="2">
      <c r="A210" s="19" t="s">
        <v>26</v>
      </c>
      <c r="B210" s="20" t="s">
        <v>215</v>
      </c>
      <c r="C210" s="21" t="s">
        <v>214</v>
      </c>
      <c r="D210" s="20" t="s">
        <v>213</v>
      </c>
      <c r="E210" s="3">
        <v>21400000</v>
      </c>
      <c r="F210" s="19">
        <v>44109</v>
      </c>
      <c r="G210" s="3">
        <v>21400000</v>
      </c>
      <c r="H210" s="2">
        <v>5.0000000000000001E-3</v>
      </c>
      <c r="I210" s="19">
        <v>44136</v>
      </c>
      <c r="J210" s="19">
        <v>44165</v>
      </c>
      <c r="K210" s="3">
        <f t="shared" si="10"/>
        <v>30</v>
      </c>
      <c r="L210" s="3">
        <f t="shared" si="11"/>
        <v>8770</v>
      </c>
      <c r="M210" s="3">
        <v>21400000</v>
      </c>
    </row>
    <row r="211" spans="1:13" s="18" customFormat="1" outlineLevel="2">
      <c r="A211" s="19" t="s">
        <v>26</v>
      </c>
      <c r="B211" s="20" t="s">
        <v>212</v>
      </c>
      <c r="C211" s="21" t="s">
        <v>27</v>
      </c>
      <c r="D211" s="20" t="s">
        <v>28</v>
      </c>
      <c r="E211" s="3">
        <v>7150000</v>
      </c>
      <c r="F211" s="19">
        <v>44119</v>
      </c>
      <c r="G211" s="3">
        <v>7150000</v>
      </c>
      <c r="H211" s="2">
        <v>5.0000000000000001E-3</v>
      </c>
      <c r="I211" s="19">
        <v>44136</v>
      </c>
      <c r="J211" s="19">
        <v>44165</v>
      </c>
      <c r="K211" s="3">
        <f t="shared" si="10"/>
        <v>30</v>
      </c>
      <c r="L211" s="3">
        <f t="shared" si="11"/>
        <v>2930</v>
      </c>
      <c r="M211" s="3">
        <v>7150000</v>
      </c>
    </row>
    <row r="212" spans="1:13" s="18" customFormat="1" outlineLevel="2">
      <c r="A212" s="19" t="s">
        <v>26</v>
      </c>
      <c r="B212" s="20" t="s">
        <v>211</v>
      </c>
      <c r="C212" s="21" t="s">
        <v>27</v>
      </c>
      <c r="D212" s="20" t="s">
        <v>28</v>
      </c>
      <c r="E212" s="3">
        <v>14400000</v>
      </c>
      <c r="F212" s="19">
        <v>44124</v>
      </c>
      <c r="G212" s="3">
        <v>14400000</v>
      </c>
      <c r="H212" s="2">
        <v>5.0000000000000001E-3</v>
      </c>
      <c r="I212" s="19">
        <v>44136</v>
      </c>
      <c r="J212" s="19">
        <v>44165</v>
      </c>
      <c r="K212" s="3">
        <f t="shared" si="10"/>
        <v>30</v>
      </c>
      <c r="L212" s="3">
        <f t="shared" si="11"/>
        <v>5902</v>
      </c>
      <c r="M212" s="3">
        <v>14400000</v>
      </c>
    </row>
    <row r="213" spans="1:13" s="18" customFormat="1" outlineLevel="2">
      <c r="A213" s="19" t="s">
        <v>26</v>
      </c>
      <c r="B213" s="20" t="s">
        <v>210</v>
      </c>
      <c r="C213" s="21" t="s">
        <v>115</v>
      </c>
      <c r="D213" s="20" t="s">
        <v>114</v>
      </c>
      <c r="E213" s="3">
        <v>24000000</v>
      </c>
      <c r="F213" s="19">
        <v>44120</v>
      </c>
      <c r="G213" s="3">
        <v>24000000</v>
      </c>
      <c r="H213" s="2">
        <v>5.0000000000000001E-3</v>
      </c>
      <c r="I213" s="19">
        <v>44136</v>
      </c>
      <c r="J213" s="19">
        <v>44165</v>
      </c>
      <c r="K213" s="3">
        <f t="shared" ref="K213:K232" si="12">J213-I213+1</f>
        <v>30</v>
      </c>
      <c r="L213" s="3">
        <f t="shared" ref="L213:L232" si="13">ROUND(G213*H213*K213/366,0)</f>
        <v>9836</v>
      </c>
      <c r="M213" s="3">
        <v>24000000</v>
      </c>
    </row>
    <row r="214" spans="1:13" s="18" customFormat="1" outlineLevel="2">
      <c r="A214" s="19" t="s">
        <v>26</v>
      </c>
      <c r="B214" s="20" t="s">
        <v>209</v>
      </c>
      <c r="C214" s="21" t="s">
        <v>115</v>
      </c>
      <c r="D214" s="20" t="s">
        <v>114</v>
      </c>
      <c r="E214" s="3">
        <v>24000000</v>
      </c>
      <c r="F214" s="19">
        <v>44127</v>
      </c>
      <c r="G214" s="3">
        <v>24000000</v>
      </c>
      <c r="H214" s="2">
        <v>5.0000000000000001E-3</v>
      </c>
      <c r="I214" s="19">
        <v>44136</v>
      </c>
      <c r="J214" s="19">
        <v>44165</v>
      </c>
      <c r="K214" s="3">
        <f t="shared" si="12"/>
        <v>30</v>
      </c>
      <c r="L214" s="3">
        <f t="shared" si="13"/>
        <v>9836</v>
      </c>
      <c r="M214" s="3">
        <v>24000000</v>
      </c>
    </row>
    <row r="215" spans="1:13" s="18" customFormat="1" outlineLevel="2">
      <c r="A215" s="19" t="s">
        <v>26</v>
      </c>
      <c r="B215" s="20" t="s">
        <v>208</v>
      </c>
      <c r="C215" s="21" t="s">
        <v>192</v>
      </c>
      <c r="D215" s="20" t="s">
        <v>110</v>
      </c>
      <c r="E215" s="3">
        <v>5000000</v>
      </c>
      <c r="F215" s="19">
        <v>44134</v>
      </c>
      <c r="G215" s="3">
        <v>5000000</v>
      </c>
      <c r="H215" s="2">
        <v>5.0000000000000001E-3</v>
      </c>
      <c r="I215" s="19">
        <v>44136</v>
      </c>
      <c r="J215" s="19">
        <v>44165</v>
      </c>
      <c r="K215" s="3">
        <f t="shared" si="12"/>
        <v>30</v>
      </c>
      <c r="L215" s="3">
        <f t="shared" si="13"/>
        <v>2049</v>
      </c>
      <c r="M215" s="3">
        <v>5000000</v>
      </c>
    </row>
    <row r="216" spans="1:13" s="18" customFormat="1" outlineLevel="2">
      <c r="A216" s="19" t="s">
        <v>26</v>
      </c>
      <c r="B216" s="20" t="s">
        <v>249</v>
      </c>
      <c r="C216" s="21" t="s">
        <v>175</v>
      </c>
      <c r="D216" s="20" t="s">
        <v>174</v>
      </c>
      <c r="E216" s="3">
        <v>16000000</v>
      </c>
      <c r="F216" s="19">
        <v>44139</v>
      </c>
      <c r="G216" s="3">
        <v>16000000</v>
      </c>
      <c r="H216" s="2">
        <v>5.0000000000000001E-3</v>
      </c>
      <c r="I216" s="19">
        <v>44139</v>
      </c>
      <c r="J216" s="19">
        <v>44165</v>
      </c>
      <c r="K216" s="3">
        <f t="shared" si="12"/>
        <v>27</v>
      </c>
      <c r="L216" s="3">
        <f t="shared" si="13"/>
        <v>5902</v>
      </c>
      <c r="M216" s="3">
        <v>16000000</v>
      </c>
    </row>
    <row r="217" spans="1:13" s="18" customFormat="1" outlineLevel="2">
      <c r="A217" s="19" t="s">
        <v>26</v>
      </c>
      <c r="B217" s="20" t="s">
        <v>48</v>
      </c>
      <c r="C217" s="21" t="s">
        <v>27</v>
      </c>
      <c r="D217" s="20" t="s">
        <v>28</v>
      </c>
      <c r="E217" s="3">
        <v>1800000</v>
      </c>
      <c r="F217" s="19">
        <v>43876</v>
      </c>
      <c r="G217" s="3">
        <v>1800000</v>
      </c>
      <c r="H217" s="2">
        <v>5.0000000000000001E-3</v>
      </c>
      <c r="I217" s="19">
        <v>44136</v>
      </c>
      <c r="J217" s="19">
        <v>44165</v>
      </c>
      <c r="K217" s="3">
        <f t="shared" si="12"/>
        <v>30</v>
      </c>
      <c r="L217" s="3">
        <f t="shared" si="13"/>
        <v>738</v>
      </c>
      <c r="M217" s="3">
        <v>1800000</v>
      </c>
    </row>
    <row r="218" spans="1:13" s="18" customFormat="1" outlineLevel="2">
      <c r="A218" s="19" t="s">
        <v>26</v>
      </c>
      <c r="B218" s="20" t="s">
        <v>248</v>
      </c>
      <c r="C218" s="21" t="s">
        <v>175</v>
      </c>
      <c r="D218" s="20" t="s">
        <v>174</v>
      </c>
      <c r="E218" s="3">
        <v>6000000</v>
      </c>
      <c r="F218" s="19">
        <v>44145</v>
      </c>
      <c r="G218" s="3">
        <v>6000000</v>
      </c>
      <c r="H218" s="2">
        <v>5.0000000000000001E-3</v>
      </c>
      <c r="I218" s="19">
        <v>44145</v>
      </c>
      <c r="J218" s="19">
        <v>44165</v>
      </c>
      <c r="K218" s="3">
        <f t="shared" si="12"/>
        <v>21</v>
      </c>
      <c r="L218" s="3">
        <f t="shared" si="13"/>
        <v>1721</v>
      </c>
      <c r="M218" s="3">
        <v>6000000</v>
      </c>
    </row>
    <row r="219" spans="1:13" s="18" customFormat="1" outlineLevel="2">
      <c r="A219" s="19" t="s">
        <v>26</v>
      </c>
      <c r="B219" s="20" t="s">
        <v>247</v>
      </c>
      <c r="C219" s="21" t="s">
        <v>27</v>
      </c>
      <c r="D219" s="20" t="s">
        <v>28</v>
      </c>
      <c r="E219" s="3">
        <v>19000000</v>
      </c>
      <c r="F219" s="19">
        <v>44140</v>
      </c>
      <c r="G219" s="3">
        <v>19000000</v>
      </c>
      <c r="H219" s="2">
        <v>5.0000000000000001E-3</v>
      </c>
      <c r="I219" s="19">
        <v>44140</v>
      </c>
      <c r="J219" s="19">
        <v>44165</v>
      </c>
      <c r="K219" s="3">
        <f t="shared" si="12"/>
        <v>26</v>
      </c>
      <c r="L219" s="3">
        <f t="shared" si="13"/>
        <v>6749</v>
      </c>
      <c r="M219" s="3">
        <v>19000000</v>
      </c>
    </row>
    <row r="220" spans="1:13" s="18" customFormat="1" outlineLevel="2">
      <c r="A220" s="19" t="s">
        <v>26</v>
      </c>
      <c r="B220" s="20" t="s">
        <v>246</v>
      </c>
      <c r="C220" s="21" t="s">
        <v>27</v>
      </c>
      <c r="D220" s="20" t="s">
        <v>28</v>
      </c>
      <c r="E220" s="3">
        <v>1800000</v>
      </c>
      <c r="F220" s="19">
        <v>44165</v>
      </c>
      <c r="G220" s="3">
        <v>1800000</v>
      </c>
      <c r="H220" s="2">
        <v>5.0000000000000001E-3</v>
      </c>
      <c r="I220" s="19">
        <v>44165</v>
      </c>
      <c r="J220" s="19">
        <v>44165</v>
      </c>
      <c r="K220" s="3">
        <f t="shared" si="12"/>
        <v>1</v>
      </c>
      <c r="L220" s="3">
        <f t="shared" si="13"/>
        <v>25</v>
      </c>
      <c r="M220" s="3">
        <v>1800000</v>
      </c>
    </row>
    <row r="221" spans="1:13" s="18" customFormat="1" outlineLevel="2">
      <c r="A221" s="19" t="s">
        <v>26</v>
      </c>
      <c r="B221" s="20" t="s">
        <v>245</v>
      </c>
      <c r="C221" s="21" t="s">
        <v>27</v>
      </c>
      <c r="D221" s="20" t="s">
        <v>28</v>
      </c>
      <c r="E221" s="3">
        <v>5500000</v>
      </c>
      <c r="F221" s="19">
        <v>44165</v>
      </c>
      <c r="G221" s="3">
        <v>5500000</v>
      </c>
      <c r="H221" s="2">
        <v>5.0000000000000001E-3</v>
      </c>
      <c r="I221" s="19">
        <v>44165</v>
      </c>
      <c r="J221" s="19">
        <v>44165</v>
      </c>
      <c r="K221" s="3">
        <f t="shared" si="12"/>
        <v>1</v>
      </c>
      <c r="L221" s="3">
        <f t="shared" si="13"/>
        <v>75</v>
      </c>
      <c r="M221" s="3">
        <v>5500000</v>
      </c>
    </row>
    <row r="222" spans="1:13" s="18" customFormat="1" outlineLevel="2">
      <c r="A222" s="19" t="s">
        <v>26</v>
      </c>
      <c r="B222" s="20" t="s">
        <v>244</v>
      </c>
      <c r="C222" s="21" t="s">
        <v>27</v>
      </c>
      <c r="D222" s="20" t="s">
        <v>28</v>
      </c>
      <c r="E222" s="3">
        <v>8600000</v>
      </c>
      <c r="F222" s="19">
        <v>44165</v>
      </c>
      <c r="G222" s="3">
        <v>8600000</v>
      </c>
      <c r="H222" s="2">
        <v>5.0000000000000001E-3</v>
      </c>
      <c r="I222" s="19">
        <v>44165</v>
      </c>
      <c r="J222" s="19">
        <v>44165</v>
      </c>
      <c r="K222" s="3">
        <f t="shared" si="12"/>
        <v>1</v>
      </c>
      <c r="L222" s="3">
        <f t="shared" si="13"/>
        <v>117</v>
      </c>
      <c r="M222" s="3">
        <v>8600000</v>
      </c>
    </row>
    <row r="223" spans="1:13" s="18" customFormat="1" outlineLevel="2">
      <c r="A223" s="19" t="s">
        <v>26</v>
      </c>
      <c r="B223" s="20" t="s">
        <v>243</v>
      </c>
      <c r="C223" s="21" t="s">
        <v>128</v>
      </c>
      <c r="D223" s="20" t="s">
        <v>127</v>
      </c>
      <c r="E223" s="3">
        <v>150000000</v>
      </c>
      <c r="F223" s="19">
        <v>44144</v>
      </c>
      <c r="G223" s="3">
        <v>150000000</v>
      </c>
      <c r="H223" s="2">
        <v>5.0000000000000001E-3</v>
      </c>
      <c r="I223" s="19">
        <v>44144</v>
      </c>
      <c r="J223" s="19">
        <v>44165</v>
      </c>
      <c r="K223" s="3">
        <f t="shared" si="12"/>
        <v>22</v>
      </c>
      <c r="L223" s="3">
        <f t="shared" si="13"/>
        <v>45082</v>
      </c>
      <c r="M223" s="3">
        <v>150000000</v>
      </c>
    </row>
    <row r="224" spans="1:13" s="18" customFormat="1" outlineLevel="2">
      <c r="A224" s="19" t="s">
        <v>26</v>
      </c>
      <c r="B224" s="20" t="s">
        <v>242</v>
      </c>
      <c r="C224" s="21" t="s">
        <v>115</v>
      </c>
      <c r="D224" s="20" t="s">
        <v>114</v>
      </c>
      <c r="E224" s="3">
        <v>2500000</v>
      </c>
      <c r="F224" s="19">
        <v>44147</v>
      </c>
      <c r="G224" s="3">
        <v>2500000</v>
      </c>
      <c r="H224" s="2">
        <v>5.0000000000000001E-3</v>
      </c>
      <c r="I224" s="19">
        <v>44147</v>
      </c>
      <c r="J224" s="19">
        <v>44165</v>
      </c>
      <c r="K224" s="3">
        <f t="shared" si="12"/>
        <v>19</v>
      </c>
      <c r="L224" s="3">
        <f t="shared" si="13"/>
        <v>649</v>
      </c>
      <c r="M224" s="3">
        <v>2500000</v>
      </c>
    </row>
    <row r="225" spans="1:13" s="18" customFormat="1" outlineLevel="2">
      <c r="A225" s="19" t="s">
        <v>26</v>
      </c>
      <c r="B225" s="20" t="s">
        <v>241</v>
      </c>
      <c r="C225" s="21" t="s">
        <v>115</v>
      </c>
      <c r="D225" s="20" t="s">
        <v>114</v>
      </c>
      <c r="E225" s="3">
        <v>18000000</v>
      </c>
      <c r="F225" s="19">
        <v>44158</v>
      </c>
      <c r="G225" s="3">
        <v>18000000</v>
      </c>
      <c r="H225" s="2">
        <v>5.0000000000000001E-3</v>
      </c>
      <c r="I225" s="19">
        <v>44158</v>
      </c>
      <c r="J225" s="19">
        <v>44165</v>
      </c>
      <c r="K225" s="3">
        <f t="shared" si="12"/>
        <v>8</v>
      </c>
      <c r="L225" s="3">
        <f t="shared" si="13"/>
        <v>1967</v>
      </c>
      <c r="M225" s="3">
        <v>18000000</v>
      </c>
    </row>
    <row r="226" spans="1:13" s="18" customFormat="1" outlineLevel="2">
      <c r="A226" s="19" t="s">
        <v>26</v>
      </c>
      <c r="B226" s="20" t="s">
        <v>240</v>
      </c>
      <c r="C226" s="21" t="s">
        <v>33</v>
      </c>
      <c r="D226" s="20" t="s">
        <v>34</v>
      </c>
      <c r="E226" s="3">
        <v>1764000</v>
      </c>
      <c r="F226" s="19">
        <v>44147</v>
      </c>
      <c r="G226" s="3">
        <v>1764000</v>
      </c>
      <c r="H226" s="2">
        <v>5.0000000000000001E-3</v>
      </c>
      <c r="I226" s="19">
        <v>44147</v>
      </c>
      <c r="J226" s="19">
        <v>44165</v>
      </c>
      <c r="K226" s="3">
        <f t="shared" si="12"/>
        <v>19</v>
      </c>
      <c r="L226" s="3">
        <f t="shared" si="13"/>
        <v>458</v>
      </c>
      <c r="M226" s="3">
        <v>1764000</v>
      </c>
    </row>
    <row r="227" spans="1:13" s="18" customFormat="1" outlineLevel="2">
      <c r="A227" s="19" t="s">
        <v>26</v>
      </c>
      <c r="B227" s="20" t="s">
        <v>239</v>
      </c>
      <c r="C227" s="21" t="s">
        <v>156</v>
      </c>
      <c r="D227" s="20" t="s">
        <v>155</v>
      </c>
      <c r="E227" s="3">
        <v>15000000</v>
      </c>
      <c r="F227" s="19">
        <v>44153</v>
      </c>
      <c r="G227" s="3">
        <v>15000000</v>
      </c>
      <c r="H227" s="2">
        <v>5.0000000000000001E-3</v>
      </c>
      <c r="I227" s="19">
        <v>44153</v>
      </c>
      <c r="J227" s="19">
        <v>44165</v>
      </c>
      <c r="K227" s="3">
        <f t="shared" si="12"/>
        <v>13</v>
      </c>
      <c r="L227" s="3">
        <f t="shared" si="13"/>
        <v>2664</v>
      </c>
      <c r="M227" s="3">
        <v>15000000</v>
      </c>
    </row>
    <row r="228" spans="1:13" s="18" customFormat="1" outlineLevel="2">
      <c r="A228" s="19" t="s">
        <v>26</v>
      </c>
      <c r="B228" s="20" t="s">
        <v>59</v>
      </c>
      <c r="C228" s="21" t="s">
        <v>72</v>
      </c>
      <c r="D228" s="20" t="s">
        <v>71</v>
      </c>
      <c r="E228" s="3">
        <v>30000000</v>
      </c>
      <c r="F228" s="19">
        <v>43906</v>
      </c>
      <c r="G228" s="3">
        <v>30000000</v>
      </c>
      <c r="H228" s="2">
        <v>5.0000000000000001E-3</v>
      </c>
      <c r="I228" s="19">
        <v>44136</v>
      </c>
      <c r="J228" s="19">
        <v>44165</v>
      </c>
      <c r="K228" s="3">
        <f t="shared" si="12"/>
        <v>30</v>
      </c>
      <c r="L228" s="3">
        <f t="shared" si="13"/>
        <v>12295</v>
      </c>
      <c r="M228" s="3">
        <v>30000000</v>
      </c>
    </row>
    <row r="229" spans="1:13" s="18" customFormat="1" outlineLevel="2">
      <c r="A229" s="19" t="s">
        <v>26</v>
      </c>
      <c r="B229" s="20" t="s">
        <v>238</v>
      </c>
      <c r="C229" s="21" t="s">
        <v>126</v>
      </c>
      <c r="D229" s="20" t="s">
        <v>125</v>
      </c>
      <c r="E229" s="3">
        <v>13481921</v>
      </c>
      <c r="F229" s="19">
        <v>44158</v>
      </c>
      <c r="G229" s="3">
        <v>13481921</v>
      </c>
      <c r="H229" s="2">
        <v>5.0000000000000001E-3</v>
      </c>
      <c r="I229" s="19">
        <v>44158</v>
      </c>
      <c r="J229" s="19">
        <v>44165</v>
      </c>
      <c r="K229" s="3">
        <f t="shared" si="12"/>
        <v>8</v>
      </c>
      <c r="L229" s="3">
        <f t="shared" si="13"/>
        <v>1473</v>
      </c>
      <c r="M229" s="3">
        <v>13481921</v>
      </c>
    </row>
    <row r="230" spans="1:13" s="18" customFormat="1" outlineLevel="2">
      <c r="A230" s="19" t="s">
        <v>26</v>
      </c>
      <c r="B230" s="20" t="s">
        <v>237</v>
      </c>
      <c r="C230" s="21" t="s">
        <v>205</v>
      </c>
      <c r="D230" s="20" t="s">
        <v>204</v>
      </c>
      <c r="E230" s="3">
        <v>2682500</v>
      </c>
      <c r="F230" s="19">
        <v>44165</v>
      </c>
      <c r="G230" s="3">
        <v>2682500</v>
      </c>
      <c r="H230" s="2">
        <v>5.0000000000000001E-3</v>
      </c>
      <c r="I230" s="19">
        <v>44165</v>
      </c>
      <c r="J230" s="19">
        <v>44165</v>
      </c>
      <c r="K230" s="3">
        <f t="shared" si="12"/>
        <v>1</v>
      </c>
      <c r="L230" s="3">
        <f t="shared" si="13"/>
        <v>37</v>
      </c>
      <c r="M230" s="3">
        <v>2682500</v>
      </c>
    </row>
    <row r="231" spans="1:13" s="18" customFormat="1" outlineLevel="2">
      <c r="A231" s="19" t="s">
        <v>26</v>
      </c>
      <c r="B231" s="20" t="s">
        <v>236</v>
      </c>
      <c r="C231" s="21" t="s">
        <v>205</v>
      </c>
      <c r="D231" s="20" t="s">
        <v>204</v>
      </c>
      <c r="E231" s="3">
        <v>8047500</v>
      </c>
      <c r="F231" s="19">
        <v>44165</v>
      </c>
      <c r="G231" s="3">
        <v>8047500</v>
      </c>
      <c r="H231" s="2">
        <v>5.0000000000000001E-3</v>
      </c>
      <c r="I231" s="19">
        <v>44165</v>
      </c>
      <c r="J231" s="19">
        <v>44165</v>
      </c>
      <c r="K231" s="3">
        <f t="shared" si="12"/>
        <v>1</v>
      </c>
      <c r="L231" s="3">
        <f t="shared" si="13"/>
        <v>110</v>
      </c>
      <c r="M231" s="3">
        <v>8047500</v>
      </c>
    </row>
    <row r="232" spans="1:13" s="18" customFormat="1" outlineLevel="2">
      <c r="A232" s="19" t="s">
        <v>26</v>
      </c>
      <c r="B232" s="20" t="s">
        <v>58</v>
      </c>
      <c r="C232" s="21" t="s">
        <v>72</v>
      </c>
      <c r="D232" s="20" t="s">
        <v>71</v>
      </c>
      <c r="E232" s="3">
        <v>50000000</v>
      </c>
      <c r="F232" s="19">
        <v>43908</v>
      </c>
      <c r="G232" s="3">
        <v>50000000</v>
      </c>
      <c r="H232" s="2">
        <v>5.0000000000000001E-3</v>
      </c>
      <c r="I232" s="19">
        <v>44136</v>
      </c>
      <c r="J232" s="19">
        <v>44165</v>
      </c>
      <c r="K232" s="3">
        <f t="shared" si="12"/>
        <v>30</v>
      </c>
      <c r="L232" s="3">
        <f t="shared" si="13"/>
        <v>20492</v>
      </c>
      <c r="M232" s="3">
        <v>50000000</v>
      </c>
    </row>
    <row r="233" spans="1:13" s="18" customFormat="1" ht="13.5" outlineLevel="1">
      <c r="A233" s="22" t="s">
        <v>35</v>
      </c>
      <c r="B233" s="23"/>
      <c r="C233" s="24"/>
      <c r="D233" s="23"/>
      <c r="E233" s="25">
        <f>SUBTOTAL(9,E149:E232)</f>
        <v>2905656217</v>
      </c>
      <c r="F233" s="26"/>
      <c r="G233" s="25"/>
      <c r="H233" s="27"/>
      <c r="I233" s="26"/>
      <c r="J233" s="26"/>
      <c r="K233" s="25"/>
      <c r="L233" s="25">
        <f>SUBTOTAL(9,L149:L232)</f>
        <v>1146966</v>
      </c>
      <c r="M233" s="25">
        <f>SUBTOTAL(9,M149:M232)</f>
        <v>2903101304</v>
      </c>
    </row>
    <row r="234" spans="1:13" s="18" customFormat="1" outlineLevel="2">
      <c r="A234" s="19" t="s">
        <v>170</v>
      </c>
      <c r="B234" s="20" t="s">
        <v>16</v>
      </c>
      <c r="C234" s="21" t="s">
        <v>72</v>
      </c>
      <c r="D234" s="20" t="s">
        <v>71</v>
      </c>
      <c r="E234" s="3">
        <v>1210000</v>
      </c>
      <c r="F234" s="19">
        <v>44061</v>
      </c>
      <c r="G234" s="3">
        <v>1210000</v>
      </c>
      <c r="H234" s="2">
        <v>5.0000000000000001E-3</v>
      </c>
      <c r="I234" s="19">
        <v>44136</v>
      </c>
      <c r="J234" s="19">
        <v>44165</v>
      </c>
      <c r="K234" s="3">
        <f>J234-I234+1</f>
        <v>30</v>
      </c>
      <c r="L234" s="3">
        <f>ROUND(G234*H234*K234/366,0)</f>
        <v>496</v>
      </c>
      <c r="M234" s="3">
        <v>1210000</v>
      </c>
    </row>
    <row r="235" spans="1:13" s="18" customFormat="1" ht="13.5" outlineLevel="1">
      <c r="A235" s="22" t="s">
        <v>169</v>
      </c>
      <c r="B235" s="23"/>
      <c r="C235" s="24"/>
      <c r="D235" s="23"/>
      <c r="E235" s="25">
        <f>SUBTOTAL(9,E234:E234)</f>
        <v>1210000</v>
      </c>
      <c r="F235" s="26"/>
      <c r="G235" s="25"/>
      <c r="H235" s="27"/>
      <c r="I235" s="26"/>
      <c r="J235" s="26"/>
      <c r="K235" s="25"/>
      <c r="L235" s="25">
        <f>SUBTOTAL(9,L234:L234)</f>
        <v>496</v>
      </c>
      <c r="M235" s="25">
        <f>SUBTOTAL(9,M234:M234)</f>
        <v>1210000</v>
      </c>
    </row>
    <row r="236" spans="1:13" s="18" customFormat="1" outlineLevel="2">
      <c r="A236" s="19" t="s">
        <v>36</v>
      </c>
      <c r="B236" s="20" t="s">
        <v>16</v>
      </c>
      <c r="C236" s="21" t="s">
        <v>17</v>
      </c>
      <c r="D236" s="20" t="s">
        <v>18</v>
      </c>
      <c r="E236" s="3">
        <v>150000000</v>
      </c>
      <c r="F236" s="19">
        <v>43829</v>
      </c>
      <c r="G236" s="3">
        <v>125000000</v>
      </c>
      <c r="H236" s="2">
        <v>5.0000000000000001E-3</v>
      </c>
      <c r="I236" s="19">
        <v>44136</v>
      </c>
      <c r="J236" s="19">
        <v>44150</v>
      </c>
      <c r="K236" s="3">
        <f t="shared" ref="K236:K256" si="14">J236-I236+1</f>
        <v>15</v>
      </c>
      <c r="L236" s="3">
        <f t="shared" ref="L236:L256" si="15">ROUND(G236*H236*K236/366,0)</f>
        <v>25615</v>
      </c>
      <c r="M236" s="3">
        <v>122500000</v>
      </c>
    </row>
    <row r="237" spans="1:13" s="18" customFormat="1" outlineLevel="2">
      <c r="A237" s="19" t="s">
        <v>36</v>
      </c>
      <c r="B237" s="20" t="s">
        <v>16</v>
      </c>
      <c r="C237" s="21" t="s">
        <v>17</v>
      </c>
      <c r="D237" s="20"/>
      <c r="E237" s="3"/>
      <c r="F237" s="19"/>
      <c r="G237" s="3">
        <v>122500000</v>
      </c>
      <c r="H237" s="2">
        <v>5.0000000000000001E-3</v>
      </c>
      <c r="I237" s="19">
        <v>44151</v>
      </c>
      <c r="J237" s="19">
        <v>44165</v>
      </c>
      <c r="K237" s="3">
        <f t="shared" si="14"/>
        <v>15</v>
      </c>
      <c r="L237" s="3">
        <f t="shared" si="15"/>
        <v>25102</v>
      </c>
      <c r="M237" s="3"/>
    </row>
    <row r="238" spans="1:13" s="18" customFormat="1" outlineLevel="2">
      <c r="A238" s="19" t="s">
        <v>36</v>
      </c>
      <c r="B238" s="20" t="s">
        <v>61</v>
      </c>
      <c r="C238" s="21" t="s">
        <v>17</v>
      </c>
      <c r="D238" s="20" t="s">
        <v>18</v>
      </c>
      <c r="E238" s="3">
        <v>9460000</v>
      </c>
      <c r="F238" s="19">
        <v>43990</v>
      </c>
      <c r="G238" s="3">
        <v>8600000</v>
      </c>
      <c r="H238" s="2">
        <v>5.0000000000000001E-3</v>
      </c>
      <c r="I238" s="19">
        <v>44136</v>
      </c>
      <c r="J238" s="19">
        <v>44150</v>
      </c>
      <c r="K238" s="3">
        <f t="shared" si="14"/>
        <v>15</v>
      </c>
      <c r="L238" s="3">
        <f t="shared" si="15"/>
        <v>1762</v>
      </c>
      <c r="M238" s="3">
        <v>8428000</v>
      </c>
    </row>
    <row r="239" spans="1:13" s="18" customFormat="1" outlineLevel="2">
      <c r="A239" s="19" t="s">
        <v>36</v>
      </c>
      <c r="B239" s="20" t="s">
        <v>61</v>
      </c>
      <c r="C239" s="21" t="s">
        <v>17</v>
      </c>
      <c r="D239" s="20"/>
      <c r="E239" s="3"/>
      <c r="F239" s="19"/>
      <c r="G239" s="3">
        <v>8428000</v>
      </c>
      <c r="H239" s="2">
        <v>5.0000000000000001E-3</v>
      </c>
      <c r="I239" s="19">
        <v>44151</v>
      </c>
      <c r="J239" s="19">
        <v>44165</v>
      </c>
      <c r="K239" s="3">
        <f t="shared" si="14"/>
        <v>15</v>
      </c>
      <c r="L239" s="3">
        <f t="shared" si="15"/>
        <v>1727</v>
      </c>
      <c r="M239" s="3"/>
    </row>
    <row r="240" spans="1:13" s="18" customFormat="1" outlineLevel="2">
      <c r="A240" s="19" t="s">
        <v>36</v>
      </c>
      <c r="B240" s="20" t="s">
        <v>60</v>
      </c>
      <c r="C240" s="21" t="s">
        <v>107</v>
      </c>
      <c r="D240" s="20" t="s">
        <v>106</v>
      </c>
      <c r="E240" s="3">
        <v>5000000</v>
      </c>
      <c r="F240" s="19">
        <v>44046</v>
      </c>
      <c r="G240" s="3">
        <v>5000000</v>
      </c>
      <c r="H240" s="2">
        <v>5.0000000000000001E-3</v>
      </c>
      <c r="I240" s="19">
        <v>44136</v>
      </c>
      <c r="J240" s="19">
        <v>44165</v>
      </c>
      <c r="K240" s="3">
        <f t="shared" si="14"/>
        <v>30</v>
      </c>
      <c r="L240" s="3">
        <f t="shared" si="15"/>
        <v>2049</v>
      </c>
      <c r="M240" s="3">
        <v>5000000</v>
      </c>
    </row>
    <row r="241" spans="1:13" s="18" customFormat="1" outlineLevel="2">
      <c r="A241" s="19" t="s">
        <v>36</v>
      </c>
      <c r="B241" s="20" t="s">
        <v>66</v>
      </c>
      <c r="C241" s="21" t="s">
        <v>27</v>
      </c>
      <c r="D241" s="20" t="s">
        <v>28</v>
      </c>
      <c r="E241" s="3">
        <v>20000000</v>
      </c>
      <c r="F241" s="19">
        <v>44155</v>
      </c>
      <c r="G241" s="3">
        <v>20000000</v>
      </c>
      <c r="H241" s="2">
        <v>5.0000000000000001E-3</v>
      </c>
      <c r="I241" s="19">
        <v>44155</v>
      </c>
      <c r="J241" s="19">
        <v>44165</v>
      </c>
      <c r="K241" s="3">
        <f t="shared" si="14"/>
        <v>11</v>
      </c>
      <c r="L241" s="3">
        <f t="shared" si="15"/>
        <v>3005</v>
      </c>
      <c r="M241" s="3">
        <v>20000000</v>
      </c>
    </row>
    <row r="242" spans="1:13" s="18" customFormat="1" outlineLevel="2">
      <c r="A242" s="19" t="s">
        <v>36</v>
      </c>
      <c r="B242" s="20" t="s">
        <v>23</v>
      </c>
      <c r="C242" s="21" t="s">
        <v>17</v>
      </c>
      <c r="D242" s="20" t="s">
        <v>18</v>
      </c>
      <c r="E242" s="3">
        <v>32900000</v>
      </c>
      <c r="F242" s="19">
        <v>43829</v>
      </c>
      <c r="G242" s="3">
        <v>27416670</v>
      </c>
      <c r="H242" s="2">
        <v>5.0000000000000001E-3</v>
      </c>
      <c r="I242" s="19">
        <v>44136</v>
      </c>
      <c r="J242" s="19">
        <v>44150</v>
      </c>
      <c r="K242" s="3">
        <f t="shared" si="14"/>
        <v>15</v>
      </c>
      <c r="L242" s="3">
        <f t="shared" si="15"/>
        <v>5618</v>
      </c>
      <c r="M242" s="3">
        <v>26868337</v>
      </c>
    </row>
    <row r="243" spans="1:13" s="18" customFormat="1" outlineLevel="2">
      <c r="A243" s="19" t="s">
        <v>36</v>
      </c>
      <c r="B243" s="20" t="s">
        <v>23</v>
      </c>
      <c r="C243" s="21" t="s">
        <v>17</v>
      </c>
      <c r="D243" s="20"/>
      <c r="E243" s="3"/>
      <c r="F243" s="19"/>
      <c r="G243" s="3">
        <v>26868337</v>
      </c>
      <c r="H243" s="2">
        <v>5.0000000000000001E-3</v>
      </c>
      <c r="I243" s="19">
        <v>44151</v>
      </c>
      <c r="J243" s="19">
        <v>44165</v>
      </c>
      <c r="K243" s="3">
        <f t="shared" si="14"/>
        <v>15</v>
      </c>
      <c r="L243" s="3">
        <f t="shared" si="15"/>
        <v>5506</v>
      </c>
      <c r="M243" s="3"/>
    </row>
    <row r="244" spans="1:13" s="18" customFormat="1" outlineLevel="2">
      <c r="A244" s="19" t="s">
        <v>36</v>
      </c>
      <c r="B244" s="20" t="s">
        <v>29</v>
      </c>
      <c r="C244" s="21" t="s">
        <v>17</v>
      </c>
      <c r="D244" s="20" t="s">
        <v>18</v>
      </c>
      <c r="E244" s="3">
        <v>2790000</v>
      </c>
      <c r="F244" s="19">
        <v>43921</v>
      </c>
      <c r="G244" s="3">
        <v>2447371</v>
      </c>
      <c r="H244" s="2">
        <v>5.0000000000000001E-3</v>
      </c>
      <c r="I244" s="19">
        <v>44136</v>
      </c>
      <c r="J244" s="19">
        <v>44150</v>
      </c>
      <c r="K244" s="3">
        <f t="shared" si="14"/>
        <v>15</v>
      </c>
      <c r="L244" s="3">
        <f t="shared" si="15"/>
        <v>502</v>
      </c>
      <c r="M244" s="3">
        <v>2398424</v>
      </c>
    </row>
    <row r="245" spans="1:13" s="18" customFormat="1" outlineLevel="2">
      <c r="A245" s="19" t="s">
        <v>36</v>
      </c>
      <c r="B245" s="20" t="s">
        <v>29</v>
      </c>
      <c r="C245" s="21" t="s">
        <v>17</v>
      </c>
      <c r="D245" s="20"/>
      <c r="E245" s="3"/>
      <c r="F245" s="19"/>
      <c r="G245" s="3">
        <v>2398424</v>
      </c>
      <c r="H245" s="2">
        <v>5.0000000000000001E-3</v>
      </c>
      <c r="I245" s="19">
        <v>44151</v>
      </c>
      <c r="J245" s="19">
        <v>44165</v>
      </c>
      <c r="K245" s="3">
        <f t="shared" si="14"/>
        <v>15</v>
      </c>
      <c r="L245" s="3">
        <f t="shared" si="15"/>
        <v>491</v>
      </c>
      <c r="M245" s="3"/>
    </row>
    <row r="246" spans="1:13" s="18" customFormat="1" outlineLevel="2">
      <c r="A246" s="19" t="s">
        <v>36</v>
      </c>
      <c r="B246" s="20" t="s">
        <v>30</v>
      </c>
      <c r="C246" s="21" t="s">
        <v>57</v>
      </c>
      <c r="D246" s="20" t="s">
        <v>56</v>
      </c>
      <c r="E246" s="3">
        <v>12000000</v>
      </c>
      <c r="F246" s="19">
        <v>43948</v>
      </c>
      <c r="G246" s="3">
        <v>10800000</v>
      </c>
      <c r="H246" s="2">
        <v>5.0000000000000001E-3</v>
      </c>
      <c r="I246" s="19">
        <v>44136</v>
      </c>
      <c r="J246" s="19">
        <v>44150</v>
      </c>
      <c r="K246" s="3">
        <f t="shared" si="14"/>
        <v>15</v>
      </c>
      <c r="L246" s="3">
        <f t="shared" si="15"/>
        <v>2213</v>
      </c>
      <c r="M246" s="3">
        <v>10600000</v>
      </c>
    </row>
    <row r="247" spans="1:13" s="18" customFormat="1" outlineLevel="2">
      <c r="A247" s="19" t="s">
        <v>36</v>
      </c>
      <c r="B247" s="20" t="s">
        <v>30</v>
      </c>
      <c r="C247" s="21" t="s">
        <v>57</v>
      </c>
      <c r="D247" s="20"/>
      <c r="E247" s="3"/>
      <c r="F247" s="19"/>
      <c r="G247" s="3">
        <v>10600000</v>
      </c>
      <c r="H247" s="2">
        <v>5.0000000000000001E-3</v>
      </c>
      <c r="I247" s="19">
        <v>44151</v>
      </c>
      <c r="J247" s="19">
        <v>44165</v>
      </c>
      <c r="K247" s="3">
        <f t="shared" si="14"/>
        <v>15</v>
      </c>
      <c r="L247" s="3">
        <f t="shared" si="15"/>
        <v>2172</v>
      </c>
      <c r="M247" s="3"/>
    </row>
    <row r="248" spans="1:13" s="18" customFormat="1" outlineLevel="2">
      <c r="A248" s="19" t="s">
        <v>36</v>
      </c>
      <c r="B248" s="20" t="s">
        <v>31</v>
      </c>
      <c r="C248" s="21" t="s">
        <v>97</v>
      </c>
      <c r="D248" s="20" t="s">
        <v>96</v>
      </c>
      <c r="E248" s="3">
        <v>71750000</v>
      </c>
      <c r="F248" s="19">
        <v>43955</v>
      </c>
      <c r="G248" s="3">
        <v>71750000</v>
      </c>
      <c r="H248" s="2">
        <v>5.0000000000000001E-3</v>
      </c>
      <c r="I248" s="19">
        <v>44136</v>
      </c>
      <c r="J248" s="19">
        <v>44165</v>
      </c>
      <c r="K248" s="3">
        <f t="shared" si="14"/>
        <v>30</v>
      </c>
      <c r="L248" s="3">
        <f t="shared" si="15"/>
        <v>29406</v>
      </c>
      <c r="M248" s="3">
        <v>71750000</v>
      </c>
    </row>
    <row r="249" spans="1:13" s="18" customFormat="1" outlineLevel="2">
      <c r="A249" s="19" t="s">
        <v>36</v>
      </c>
      <c r="B249" s="20" t="s">
        <v>32</v>
      </c>
      <c r="C249" s="21" t="s">
        <v>57</v>
      </c>
      <c r="D249" s="20" t="s">
        <v>56</v>
      </c>
      <c r="E249" s="3">
        <v>10000000</v>
      </c>
      <c r="F249" s="19">
        <v>43963</v>
      </c>
      <c r="G249" s="3">
        <v>9000003</v>
      </c>
      <c r="H249" s="2">
        <v>5.0000000000000001E-3</v>
      </c>
      <c r="I249" s="19">
        <v>44136</v>
      </c>
      <c r="J249" s="19">
        <v>44150</v>
      </c>
      <c r="K249" s="3">
        <f t="shared" si="14"/>
        <v>15</v>
      </c>
      <c r="L249" s="3">
        <f t="shared" si="15"/>
        <v>1844</v>
      </c>
      <c r="M249" s="3">
        <v>8833337</v>
      </c>
    </row>
    <row r="250" spans="1:13" s="18" customFormat="1" outlineLevel="2">
      <c r="A250" s="19" t="s">
        <v>36</v>
      </c>
      <c r="B250" s="20" t="s">
        <v>32</v>
      </c>
      <c r="C250" s="21" t="s">
        <v>57</v>
      </c>
      <c r="D250" s="20"/>
      <c r="E250" s="3"/>
      <c r="F250" s="19"/>
      <c r="G250" s="3">
        <v>8833337</v>
      </c>
      <c r="H250" s="2">
        <v>5.0000000000000001E-3</v>
      </c>
      <c r="I250" s="19">
        <v>44151</v>
      </c>
      <c r="J250" s="19">
        <v>44165</v>
      </c>
      <c r="K250" s="3">
        <f t="shared" si="14"/>
        <v>15</v>
      </c>
      <c r="L250" s="3">
        <f t="shared" si="15"/>
        <v>1810</v>
      </c>
      <c r="M250" s="3"/>
    </row>
    <row r="251" spans="1:13" s="18" customFormat="1" outlineLevel="2">
      <c r="A251" s="19" t="s">
        <v>36</v>
      </c>
      <c r="B251" s="20" t="s">
        <v>48</v>
      </c>
      <c r="C251" s="21" t="s">
        <v>57</v>
      </c>
      <c r="D251" s="20" t="s">
        <v>56</v>
      </c>
      <c r="E251" s="3">
        <v>4000000</v>
      </c>
      <c r="F251" s="19">
        <v>43970</v>
      </c>
      <c r="G251" s="3">
        <v>3661020</v>
      </c>
      <c r="H251" s="2">
        <v>5.0000000000000001E-3</v>
      </c>
      <c r="I251" s="19">
        <v>44136</v>
      </c>
      <c r="J251" s="19">
        <v>44150</v>
      </c>
      <c r="K251" s="3">
        <f t="shared" si="14"/>
        <v>15</v>
      </c>
      <c r="L251" s="3">
        <f t="shared" si="15"/>
        <v>750</v>
      </c>
      <c r="M251" s="3">
        <v>3593224</v>
      </c>
    </row>
    <row r="252" spans="1:13" s="18" customFormat="1" outlineLevel="2">
      <c r="A252" s="19" t="s">
        <v>36</v>
      </c>
      <c r="B252" s="20" t="s">
        <v>48</v>
      </c>
      <c r="C252" s="21" t="s">
        <v>57</v>
      </c>
      <c r="D252" s="20"/>
      <c r="E252" s="3"/>
      <c r="F252" s="19"/>
      <c r="G252" s="3">
        <v>3593224</v>
      </c>
      <c r="H252" s="2">
        <v>5.0000000000000001E-3</v>
      </c>
      <c r="I252" s="19">
        <v>44151</v>
      </c>
      <c r="J252" s="19">
        <v>44165</v>
      </c>
      <c r="K252" s="3">
        <f t="shared" si="14"/>
        <v>15</v>
      </c>
      <c r="L252" s="3">
        <f t="shared" si="15"/>
        <v>736</v>
      </c>
      <c r="M252" s="3"/>
    </row>
    <row r="253" spans="1:13" s="18" customFormat="1" outlineLevel="2">
      <c r="A253" s="19" t="s">
        <v>36</v>
      </c>
      <c r="B253" s="20" t="s">
        <v>59</v>
      </c>
      <c r="C253" s="21" t="s">
        <v>57</v>
      </c>
      <c r="D253" s="20" t="s">
        <v>56</v>
      </c>
      <c r="E253" s="3">
        <v>18000000</v>
      </c>
      <c r="F253" s="19">
        <v>43977</v>
      </c>
      <c r="G253" s="3">
        <v>16474580</v>
      </c>
      <c r="H253" s="2">
        <v>5.0000000000000001E-3</v>
      </c>
      <c r="I253" s="19">
        <v>44136</v>
      </c>
      <c r="J253" s="19">
        <v>44150</v>
      </c>
      <c r="K253" s="3">
        <f t="shared" si="14"/>
        <v>15</v>
      </c>
      <c r="L253" s="3">
        <f t="shared" si="15"/>
        <v>3376</v>
      </c>
      <c r="M253" s="3">
        <v>16169496</v>
      </c>
    </row>
    <row r="254" spans="1:13" s="18" customFormat="1" outlineLevel="2">
      <c r="A254" s="19" t="s">
        <v>36</v>
      </c>
      <c r="B254" s="20" t="s">
        <v>59</v>
      </c>
      <c r="C254" s="21" t="s">
        <v>57</v>
      </c>
      <c r="D254" s="20"/>
      <c r="E254" s="3"/>
      <c r="F254" s="19"/>
      <c r="G254" s="3">
        <v>16169496</v>
      </c>
      <c r="H254" s="2">
        <v>5.0000000000000001E-3</v>
      </c>
      <c r="I254" s="19">
        <v>44151</v>
      </c>
      <c r="J254" s="19">
        <v>44165</v>
      </c>
      <c r="K254" s="3">
        <f t="shared" si="14"/>
        <v>15</v>
      </c>
      <c r="L254" s="3">
        <f t="shared" si="15"/>
        <v>3313</v>
      </c>
      <c r="M254" s="3"/>
    </row>
    <row r="255" spans="1:13" s="18" customFormat="1" outlineLevel="2">
      <c r="A255" s="19" t="s">
        <v>36</v>
      </c>
      <c r="B255" s="20" t="s">
        <v>58</v>
      </c>
      <c r="C255" s="21" t="s">
        <v>57</v>
      </c>
      <c r="D255" s="20" t="s">
        <v>56</v>
      </c>
      <c r="E255" s="3">
        <v>6000000</v>
      </c>
      <c r="F255" s="19">
        <v>43984</v>
      </c>
      <c r="G255" s="3">
        <v>5491530</v>
      </c>
      <c r="H255" s="2">
        <v>5.0000000000000001E-3</v>
      </c>
      <c r="I255" s="19">
        <v>44136</v>
      </c>
      <c r="J255" s="19">
        <v>44150</v>
      </c>
      <c r="K255" s="3">
        <f t="shared" si="14"/>
        <v>15</v>
      </c>
      <c r="L255" s="3">
        <f t="shared" si="15"/>
        <v>1125</v>
      </c>
      <c r="M255" s="3">
        <v>5389836</v>
      </c>
    </row>
    <row r="256" spans="1:13" s="18" customFormat="1" outlineLevel="2">
      <c r="A256" s="19" t="s">
        <v>36</v>
      </c>
      <c r="B256" s="20" t="s">
        <v>58</v>
      </c>
      <c r="C256" s="21" t="s">
        <v>57</v>
      </c>
      <c r="D256" s="20"/>
      <c r="E256" s="3"/>
      <c r="F256" s="19"/>
      <c r="G256" s="3">
        <v>5389836</v>
      </c>
      <c r="H256" s="2">
        <v>5.0000000000000001E-3</v>
      </c>
      <c r="I256" s="19">
        <v>44151</v>
      </c>
      <c r="J256" s="19">
        <v>44165</v>
      </c>
      <c r="K256" s="3">
        <f t="shared" si="14"/>
        <v>15</v>
      </c>
      <c r="L256" s="3">
        <f t="shared" si="15"/>
        <v>1104</v>
      </c>
      <c r="M256" s="3"/>
    </row>
    <row r="257" spans="1:13" s="18" customFormat="1" ht="13.5" outlineLevel="1">
      <c r="A257" s="22" t="s">
        <v>37</v>
      </c>
      <c r="B257" s="23"/>
      <c r="C257" s="24"/>
      <c r="D257" s="23"/>
      <c r="E257" s="25">
        <f>SUBTOTAL(9,E236:E256)</f>
        <v>341900000</v>
      </c>
      <c r="F257" s="26"/>
      <c r="G257" s="25"/>
      <c r="H257" s="27"/>
      <c r="I257" s="26"/>
      <c r="J257" s="26"/>
      <c r="K257" s="25"/>
      <c r="L257" s="25">
        <f>SUBTOTAL(9,L236:L256)</f>
        <v>119226</v>
      </c>
      <c r="M257" s="25">
        <f>SUBTOTAL(9,M236:M256)</f>
        <v>301530654</v>
      </c>
    </row>
    <row r="258" spans="1:13" s="18" customFormat="1" outlineLevel="2">
      <c r="A258" s="19" t="s">
        <v>38</v>
      </c>
      <c r="B258" s="20" t="s">
        <v>16</v>
      </c>
      <c r="C258" s="21" t="s">
        <v>17</v>
      </c>
      <c r="D258" s="20" t="s">
        <v>18</v>
      </c>
      <c r="E258" s="3">
        <v>50000000</v>
      </c>
      <c r="F258" s="19">
        <v>43829</v>
      </c>
      <c r="G258" s="3">
        <v>41666660</v>
      </c>
      <c r="H258" s="2">
        <v>5.0000000000000001E-3</v>
      </c>
      <c r="I258" s="19">
        <v>44136</v>
      </c>
      <c r="J258" s="19">
        <v>44149</v>
      </c>
      <c r="K258" s="3">
        <f t="shared" ref="K258:K268" si="16">J258-I258+1</f>
        <v>14</v>
      </c>
      <c r="L258" s="3">
        <f t="shared" ref="L258:L268" si="17">ROUND(G258*H258*K258/366,0)</f>
        <v>7969</v>
      </c>
      <c r="M258" s="3">
        <v>40833326</v>
      </c>
    </row>
    <row r="259" spans="1:13" s="18" customFormat="1" outlineLevel="2">
      <c r="A259" s="19" t="s">
        <v>38</v>
      </c>
      <c r="B259" s="20" t="s">
        <v>16</v>
      </c>
      <c r="C259" s="21" t="s">
        <v>17</v>
      </c>
      <c r="D259" s="20"/>
      <c r="E259" s="3"/>
      <c r="F259" s="19"/>
      <c r="G259" s="3">
        <v>40833326</v>
      </c>
      <c r="H259" s="2">
        <v>5.0000000000000001E-3</v>
      </c>
      <c r="I259" s="19">
        <v>44150</v>
      </c>
      <c r="J259" s="19">
        <v>44165</v>
      </c>
      <c r="K259" s="3">
        <f t="shared" si="16"/>
        <v>16</v>
      </c>
      <c r="L259" s="3">
        <f t="shared" si="17"/>
        <v>8925</v>
      </c>
      <c r="M259" s="3"/>
    </row>
    <row r="260" spans="1:13" s="18" customFormat="1" outlineLevel="2">
      <c r="A260" s="19" t="s">
        <v>38</v>
      </c>
      <c r="B260" s="20" t="s">
        <v>23</v>
      </c>
      <c r="C260" s="21" t="s">
        <v>17</v>
      </c>
      <c r="D260" s="20" t="s">
        <v>18</v>
      </c>
      <c r="E260" s="3">
        <v>25200000</v>
      </c>
      <c r="F260" s="19">
        <v>43829</v>
      </c>
      <c r="G260" s="3">
        <v>21000000</v>
      </c>
      <c r="H260" s="2">
        <v>5.0000000000000001E-3</v>
      </c>
      <c r="I260" s="19">
        <v>44136</v>
      </c>
      <c r="J260" s="19">
        <v>44149</v>
      </c>
      <c r="K260" s="3">
        <f t="shared" si="16"/>
        <v>14</v>
      </c>
      <c r="L260" s="3">
        <f t="shared" si="17"/>
        <v>4016</v>
      </c>
      <c r="M260" s="3">
        <v>20580000</v>
      </c>
    </row>
    <row r="261" spans="1:13" s="18" customFormat="1" outlineLevel="2">
      <c r="A261" s="19" t="s">
        <v>38</v>
      </c>
      <c r="B261" s="20" t="s">
        <v>23</v>
      </c>
      <c r="C261" s="21" t="s">
        <v>17</v>
      </c>
      <c r="D261" s="20"/>
      <c r="E261" s="3"/>
      <c r="F261" s="19"/>
      <c r="G261" s="3">
        <v>20580000</v>
      </c>
      <c r="H261" s="2">
        <v>5.0000000000000001E-3</v>
      </c>
      <c r="I261" s="19">
        <v>44150</v>
      </c>
      <c r="J261" s="19">
        <v>44165</v>
      </c>
      <c r="K261" s="3">
        <f t="shared" si="16"/>
        <v>16</v>
      </c>
      <c r="L261" s="3">
        <f t="shared" si="17"/>
        <v>4498</v>
      </c>
      <c r="M261" s="3"/>
    </row>
    <row r="262" spans="1:13" s="18" customFormat="1" outlineLevel="2">
      <c r="A262" s="19" t="s">
        <v>38</v>
      </c>
      <c r="B262" s="20" t="s">
        <v>29</v>
      </c>
      <c r="C262" s="21" t="s">
        <v>17</v>
      </c>
      <c r="D262" s="20" t="s">
        <v>18</v>
      </c>
      <c r="E262" s="3">
        <v>11310000</v>
      </c>
      <c r="F262" s="19">
        <v>43920</v>
      </c>
      <c r="G262" s="3">
        <v>9921053</v>
      </c>
      <c r="H262" s="2">
        <v>5.0000000000000001E-3</v>
      </c>
      <c r="I262" s="19">
        <v>44136</v>
      </c>
      <c r="J262" s="19">
        <v>44149</v>
      </c>
      <c r="K262" s="3">
        <f t="shared" si="16"/>
        <v>14</v>
      </c>
      <c r="L262" s="3">
        <f t="shared" si="17"/>
        <v>1897</v>
      </c>
      <c r="M262" s="3">
        <v>9722632</v>
      </c>
    </row>
    <row r="263" spans="1:13" s="18" customFormat="1" outlineLevel="2">
      <c r="A263" s="19" t="s">
        <v>38</v>
      </c>
      <c r="B263" s="20" t="s">
        <v>29</v>
      </c>
      <c r="C263" s="21" t="s">
        <v>17</v>
      </c>
      <c r="D263" s="20"/>
      <c r="E263" s="3"/>
      <c r="F263" s="19"/>
      <c r="G263" s="3">
        <v>9722632</v>
      </c>
      <c r="H263" s="2">
        <v>5.0000000000000001E-3</v>
      </c>
      <c r="I263" s="19">
        <v>44150</v>
      </c>
      <c r="J263" s="19">
        <v>44165</v>
      </c>
      <c r="K263" s="3">
        <f t="shared" si="16"/>
        <v>16</v>
      </c>
      <c r="L263" s="3">
        <f t="shared" si="17"/>
        <v>2125</v>
      </c>
      <c r="M263" s="3"/>
    </row>
    <row r="264" spans="1:13" s="18" customFormat="1" outlineLevel="2">
      <c r="A264" s="19" t="s">
        <v>38</v>
      </c>
      <c r="B264" s="20" t="s">
        <v>30</v>
      </c>
      <c r="C264" s="21" t="s">
        <v>17</v>
      </c>
      <c r="D264" s="20" t="s">
        <v>18</v>
      </c>
      <c r="E264" s="3">
        <v>6050000</v>
      </c>
      <c r="F264" s="19">
        <v>43990</v>
      </c>
      <c r="G264" s="3">
        <v>5500000</v>
      </c>
      <c r="H264" s="2">
        <v>5.0000000000000001E-3</v>
      </c>
      <c r="I264" s="19">
        <v>44136</v>
      </c>
      <c r="J264" s="19">
        <v>44149</v>
      </c>
      <c r="K264" s="3">
        <f t="shared" si="16"/>
        <v>14</v>
      </c>
      <c r="L264" s="3">
        <f t="shared" si="17"/>
        <v>1052</v>
      </c>
      <c r="M264" s="3">
        <v>5390000</v>
      </c>
    </row>
    <row r="265" spans="1:13" s="18" customFormat="1" outlineLevel="2">
      <c r="A265" s="19" t="s">
        <v>38</v>
      </c>
      <c r="B265" s="20" t="s">
        <v>30</v>
      </c>
      <c r="C265" s="21" t="s">
        <v>17</v>
      </c>
      <c r="D265" s="20"/>
      <c r="E265" s="3"/>
      <c r="F265" s="19"/>
      <c r="G265" s="3">
        <v>5390000</v>
      </c>
      <c r="H265" s="2">
        <v>5.0000000000000001E-3</v>
      </c>
      <c r="I265" s="19">
        <v>44150</v>
      </c>
      <c r="J265" s="19">
        <v>44165</v>
      </c>
      <c r="K265" s="3">
        <f t="shared" si="16"/>
        <v>16</v>
      </c>
      <c r="L265" s="3">
        <f t="shared" si="17"/>
        <v>1178</v>
      </c>
      <c r="M265" s="3"/>
    </row>
    <row r="266" spans="1:13" s="18" customFormat="1" outlineLevel="2">
      <c r="A266" s="19" t="s">
        <v>38</v>
      </c>
      <c r="B266" s="20" t="s">
        <v>31</v>
      </c>
      <c r="C266" s="21" t="s">
        <v>17</v>
      </c>
      <c r="D266" s="20" t="s">
        <v>18</v>
      </c>
      <c r="E266" s="3">
        <v>7541000</v>
      </c>
      <c r="F266" s="19">
        <v>44074</v>
      </c>
      <c r="G266" s="3">
        <v>7250962</v>
      </c>
      <c r="H266" s="2">
        <v>5.0000000000000001E-3</v>
      </c>
      <c r="I266" s="19">
        <v>44136</v>
      </c>
      <c r="J266" s="19">
        <v>44149</v>
      </c>
      <c r="K266" s="3">
        <f t="shared" si="16"/>
        <v>14</v>
      </c>
      <c r="L266" s="3">
        <f t="shared" si="17"/>
        <v>1387</v>
      </c>
      <c r="M266" s="3">
        <v>7105943</v>
      </c>
    </row>
    <row r="267" spans="1:13" s="18" customFormat="1" outlineLevel="2">
      <c r="A267" s="19" t="s">
        <v>38</v>
      </c>
      <c r="B267" s="20" t="s">
        <v>31</v>
      </c>
      <c r="C267" s="21" t="s">
        <v>17</v>
      </c>
      <c r="D267" s="20"/>
      <c r="E267" s="3"/>
      <c r="F267" s="19"/>
      <c r="G267" s="3">
        <v>7105943</v>
      </c>
      <c r="H267" s="2">
        <v>5.0000000000000001E-3</v>
      </c>
      <c r="I267" s="19">
        <v>44150</v>
      </c>
      <c r="J267" s="19">
        <v>44165</v>
      </c>
      <c r="K267" s="3">
        <f t="shared" si="16"/>
        <v>16</v>
      </c>
      <c r="L267" s="3">
        <f t="shared" si="17"/>
        <v>1553</v>
      </c>
      <c r="M267" s="3"/>
    </row>
    <row r="268" spans="1:13" s="18" customFormat="1" outlineLevel="2">
      <c r="A268" s="19" t="s">
        <v>38</v>
      </c>
      <c r="B268" s="20" t="s">
        <v>32</v>
      </c>
      <c r="C268" s="21" t="s">
        <v>17</v>
      </c>
      <c r="D268" s="20" t="s">
        <v>18</v>
      </c>
      <c r="E268" s="3">
        <v>8986000</v>
      </c>
      <c r="F268" s="19">
        <v>44160</v>
      </c>
      <c r="G268" s="3">
        <v>8986000</v>
      </c>
      <c r="H268" s="2">
        <v>5.0000000000000001E-3</v>
      </c>
      <c r="I268" s="19">
        <v>44160</v>
      </c>
      <c r="J268" s="19">
        <v>44165</v>
      </c>
      <c r="K268" s="3">
        <f t="shared" si="16"/>
        <v>6</v>
      </c>
      <c r="L268" s="3">
        <f t="shared" si="17"/>
        <v>737</v>
      </c>
      <c r="M268" s="3">
        <v>8986000</v>
      </c>
    </row>
    <row r="269" spans="1:13" s="18" customFormat="1" ht="13.5" outlineLevel="1">
      <c r="A269" s="22" t="s">
        <v>39</v>
      </c>
      <c r="B269" s="23"/>
      <c r="C269" s="24"/>
      <c r="D269" s="23"/>
      <c r="E269" s="25">
        <f>SUBTOTAL(9,E258:E268)</f>
        <v>109087000</v>
      </c>
      <c r="F269" s="26"/>
      <c r="G269" s="25"/>
      <c r="H269" s="27"/>
      <c r="I269" s="26"/>
      <c r="J269" s="26"/>
      <c r="K269" s="25"/>
      <c r="L269" s="25">
        <f>SUBTOTAL(9,L258:L268)</f>
        <v>35337</v>
      </c>
      <c r="M269" s="25">
        <f>SUBTOTAL(9,M258:M268)</f>
        <v>92617901</v>
      </c>
    </row>
    <row r="270" spans="1:13" s="18" customFormat="1" outlineLevel="2">
      <c r="A270" s="19" t="s">
        <v>108</v>
      </c>
      <c r="B270" s="20" t="s">
        <v>16</v>
      </c>
      <c r="C270" s="21" t="s">
        <v>107</v>
      </c>
      <c r="D270" s="20" t="s">
        <v>106</v>
      </c>
      <c r="E270" s="3">
        <v>4300000</v>
      </c>
      <c r="F270" s="19">
        <v>43966</v>
      </c>
      <c r="G270" s="3">
        <v>4300000</v>
      </c>
      <c r="H270" s="2">
        <v>5.0000000000000001E-3</v>
      </c>
      <c r="I270" s="19">
        <v>44136</v>
      </c>
      <c r="J270" s="19">
        <v>44165</v>
      </c>
      <c r="K270" s="3">
        <f>J270-I270+1</f>
        <v>30</v>
      </c>
      <c r="L270" s="3">
        <f>ROUND(G270*H270*K270/366,0)</f>
        <v>1762</v>
      </c>
      <c r="M270" s="3">
        <v>4300000</v>
      </c>
    </row>
    <row r="271" spans="1:13" s="18" customFormat="1" outlineLevel="2">
      <c r="A271" s="19" t="s">
        <v>108</v>
      </c>
      <c r="B271" s="20" t="s">
        <v>23</v>
      </c>
      <c r="C271" s="21" t="s">
        <v>113</v>
      </c>
      <c r="D271" s="20" t="s">
        <v>112</v>
      </c>
      <c r="E271" s="3">
        <v>120000000</v>
      </c>
      <c r="F271" s="19">
        <v>44060</v>
      </c>
      <c r="G271" s="3">
        <v>120000000</v>
      </c>
      <c r="H271" s="2">
        <v>5.0000000000000001E-3</v>
      </c>
      <c r="I271" s="19">
        <v>44136</v>
      </c>
      <c r="J271" s="19">
        <v>44165</v>
      </c>
      <c r="K271" s="3">
        <f>J271-I271+1</f>
        <v>30</v>
      </c>
      <c r="L271" s="3">
        <f>ROUND(G271*H271*K271/366,0)</f>
        <v>49180</v>
      </c>
      <c r="M271" s="3">
        <v>120000000</v>
      </c>
    </row>
    <row r="272" spans="1:13" s="18" customFormat="1" ht="13.5" outlineLevel="1">
      <c r="A272" s="22" t="s">
        <v>105</v>
      </c>
      <c r="B272" s="23"/>
      <c r="C272" s="24"/>
      <c r="D272" s="23"/>
      <c r="E272" s="25">
        <f>SUBTOTAL(9,E270:E271)</f>
        <v>124300000</v>
      </c>
      <c r="F272" s="26"/>
      <c r="G272" s="25"/>
      <c r="H272" s="27"/>
      <c r="I272" s="26"/>
      <c r="J272" s="26"/>
      <c r="K272" s="25"/>
      <c r="L272" s="25">
        <f>SUBTOTAL(9,L270:L271)</f>
        <v>50942</v>
      </c>
      <c r="M272" s="25">
        <f>SUBTOTAL(9,M270:M271)</f>
        <v>124300000</v>
      </c>
    </row>
    <row r="273" spans="1:13" s="18" customFormat="1" outlineLevel="2">
      <c r="A273" s="19" t="s">
        <v>124</v>
      </c>
      <c r="B273" s="20" t="s">
        <v>16</v>
      </c>
      <c r="C273" s="21" t="s">
        <v>77</v>
      </c>
      <c r="D273" s="20" t="s">
        <v>76</v>
      </c>
      <c r="E273" s="3">
        <v>38650000</v>
      </c>
      <c r="F273" s="19">
        <v>43986</v>
      </c>
      <c r="G273" s="3">
        <v>38650000</v>
      </c>
      <c r="H273" s="2">
        <v>5.0000000000000001E-3</v>
      </c>
      <c r="I273" s="19">
        <v>44136</v>
      </c>
      <c r="J273" s="19">
        <v>44165</v>
      </c>
      <c r="K273" s="3">
        <f t="shared" ref="K273:K284" si="18">J273-I273+1</f>
        <v>30</v>
      </c>
      <c r="L273" s="3">
        <f t="shared" ref="L273:L284" si="19">ROUND(G273*H273*K273/366,0)</f>
        <v>15840</v>
      </c>
      <c r="M273" s="3">
        <v>38650000</v>
      </c>
    </row>
    <row r="274" spans="1:13" s="18" customFormat="1" outlineLevel="2">
      <c r="A274" s="19" t="s">
        <v>124</v>
      </c>
      <c r="B274" s="20" t="s">
        <v>61</v>
      </c>
      <c r="C274" s="21" t="s">
        <v>115</v>
      </c>
      <c r="D274" s="20" t="s">
        <v>114</v>
      </c>
      <c r="E274" s="3">
        <v>23000000</v>
      </c>
      <c r="F274" s="19">
        <v>44155</v>
      </c>
      <c r="G274" s="3">
        <v>23000000</v>
      </c>
      <c r="H274" s="2">
        <v>5.0000000000000001E-3</v>
      </c>
      <c r="I274" s="19">
        <v>44155</v>
      </c>
      <c r="J274" s="19">
        <v>44165</v>
      </c>
      <c r="K274" s="3">
        <f t="shared" si="18"/>
        <v>11</v>
      </c>
      <c r="L274" s="3">
        <f t="shared" si="19"/>
        <v>3456</v>
      </c>
      <c r="M274" s="3">
        <v>23000000</v>
      </c>
    </row>
    <row r="275" spans="1:13" s="18" customFormat="1" outlineLevel="2">
      <c r="A275" s="19" t="s">
        <v>124</v>
      </c>
      <c r="B275" s="20" t="s">
        <v>60</v>
      </c>
      <c r="C275" s="21" t="s">
        <v>115</v>
      </c>
      <c r="D275" s="20" t="s">
        <v>114</v>
      </c>
      <c r="E275" s="3">
        <v>1000000</v>
      </c>
      <c r="F275" s="19">
        <v>44160</v>
      </c>
      <c r="G275" s="3">
        <v>1000000</v>
      </c>
      <c r="H275" s="2">
        <v>5.0000000000000001E-3</v>
      </c>
      <c r="I275" s="19">
        <v>44160</v>
      </c>
      <c r="J275" s="19">
        <v>44165</v>
      </c>
      <c r="K275" s="3">
        <f t="shared" si="18"/>
        <v>6</v>
      </c>
      <c r="L275" s="3">
        <f t="shared" si="19"/>
        <v>82</v>
      </c>
      <c r="M275" s="3">
        <v>1000000</v>
      </c>
    </row>
    <row r="276" spans="1:13" s="18" customFormat="1" outlineLevel="2">
      <c r="A276" s="19" t="s">
        <v>124</v>
      </c>
      <c r="B276" s="20" t="s">
        <v>66</v>
      </c>
      <c r="C276" s="21" t="s">
        <v>235</v>
      </c>
      <c r="D276" s="20" t="s">
        <v>234</v>
      </c>
      <c r="E276" s="3">
        <v>6030000</v>
      </c>
      <c r="F276" s="19">
        <v>44145</v>
      </c>
      <c r="G276" s="3">
        <v>6030000</v>
      </c>
      <c r="H276" s="2">
        <v>5.0000000000000001E-3</v>
      </c>
      <c r="I276" s="19">
        <v>44145</v>
      </c>
      <c r="J276" s="19">
        <v>44165</v>
      </c>
      <c r="K276" s="3">
        <f t="shared" si="18"/>
        <v>21</v>
      </c>
      <c r="L276" s="3">
        <f t="shared" si="19"/>
        <v>1730</v>
      </c>
      <c r="M276" s="3">
        <v>6030000</v>
      </c>
    </row>
    <row r="277" spans="1:13" s="18" customFormat="1" outlineLevel="2">
      <c r="A277" s="19" t="s">
        <v>124</v>
      </c>
      <c r="B277" s="20" t="s">
        <v>23</v>
      </c>
      <c r="C277" s="21" t="s">
        <v>104</v>
      </c>
      <c r="D277" s="20" t="s">
        <v>103</v>
      </c>
      <c r="E277" s="3">
        <v>23530000</v>
      </c>
      <c r="F277" s="19">
        <v>44013</v>
      </c>
      <c r="G277" s="3">
        <v>23530000</v>
      </c>
      <c r="H277" s="2">
        <v>5.0000000000000001E-3</v>
      </c>
      <c r="I277" s="19">
        <v>44136</v>
      </c>
      <c r="J277" s="19">
        <v>44165</v>
      </c>
      <c r="K277" s="3">
        <f t="shared" si="18"/>
        <v>30</v>
      </c>
      <c r="L277" s="3">
        <f t="shared" si="19"/>
        <v>9643</v>
      </c>
      <c r="M277" s="3">
        <v>23530000</v>
      </c>
    </row>
    <row r="278" spans="1:13" s="18" customFormat="1" outlineLevel="2">
      <c r="A278" s="19" t="s">
        <v>124</v>
      </c>
      <c r="B278" s="20" t="s">
        <v>29</v>
      </c>
      <c r="C278" s="21" t="s">
        <v>104</v>
      </c>
      <c r="D278" s="20" t="s">
        <v>103</v>
      </c>
      <c r="E278" s="3">
        <v>47470000</v>
      </c>
      <c r="F278" s="19">
        <v>44013</v>
      </c>
      <c r="G278" s="3">
        <v>47470000</v>
      </c>
      <c r="H278" s="2">
        <v>5.0000000000000001E-3</v>
      </c>
      <c r="I278" s="19">
        <v>44136</v>
      </c>
      <c r="J278" s="19">
        <v>44165</v>
      </c>
      <c r="K278" s="3">
        <f t="shared" si="18"/>
        <v>30</v>
      </c>
      <c r="L278" s="3">
        <f t="shared" si="19"/>
        <v>19455</v>
      </c>
      <c r="M278" s="3">
        <v>47470000</v>
      </c>
    </row>
    <row r="279" spans="1:13" s="18" customFormat="1" outlineLevel="2">
      <c r="A279" s="19" t="s">
        <v>124</v>
      </c>
      <c r="B279" s="20" t="s">
        <v>30</v>
      </c>
      <c r="C279" s="21" t="s">
        <v>149</v>
      </c>
      <c r="D279" s="20" t="s">
        <v>148</v>
      </c>
      <c r="E279" s="3">
        <v>6665394</v>
      </c>
      <c r="F279" s="19">
        <v>44029</v>
      </c>
      <c r="G279" s="3">
        <v>6665394</v>
      </c>
      <c r="H279" s="2">
        <v>5.0000000000000001E-3</v>
      </c>
      <c r="I279" s="19">
        <v>44136</v>
      </c>
      <c r="J279" s="19">
        <v>44165</v>
      </c>
      <c r="K279" s="3">
        <f t="shared" si="18"/>
        <v>30</v>
      </c>
      <c r="L279" s="3">
        <f t="shared" si="19"/>
        <v>2732</v>
      </c>
      <c r="M279" s="3">
        <v>6665394</v>
      </c>
    </row>
    <row r="280" spans="1:13" s="18" customFormat="1" outlineLevel="2">
      <c r="A280" s="19" t="s">
        <v>124</v>
      </c>
      <c r="B280" s="20" t="s">
        <v>31</v>
      </c>
      <c r="C280" s="21" t="s">
        <v>149</v>
      </c>
      <c r="D280" s="20" t="s">
        <v>148</v>
      </c>
      <c r="E280" s="3">
        <v>12334606</v>
      </c>
      <c r="F280" s="19">
        <v>44029</v>
      </c>
      <c r="G280" s="3">
        <v>12334606</v>
      </c>
      <c r="H280" s="2">
        <v>5.0000000000000001E-3</v>
      </c>
      <c r="I280" s="19">
        <v>44136</v>
      </c>
      <c r="J280" s="19">
        <v>44165</v>
      </c>
      <c r="K280" s="3">
        <f t="shared" si="18"/>
        <v>30</v>
      </c>
      <c r="L280" s="3">
        <f t="shared" si="19"/>
        <v>5055</v>
      </c>
      <c r="M280" s="3">
        <v>12334606</v>
      </c>
    </row>
    <row r="281" spans="1:13" s="18" customFormat="1" outlineLevel="2">
      <c r="A281" s="19" t="s">
        <v>124</v>
      </c>
      <c r="B281" s="20" t="s">
        <v>32</v>
      </c>
      <c r="C281" s="21" t="s">
        <v>164</v>
      </c>
      <c r="D281" s="20" t="s">
        <v>163</v>
      </c>
      <c r="E281" s="3">
        <v>131500000</v>
      </c>
      <c r="F281" s="19">
        <v>44089</v>
      </c>
      <c r="G281" s="3">
        <v>131500000</v>
      </c>
      <c r="H281" s="2">
        <v>5.0000000000000001E-3</v>
      </c>
      <c r="I281" s="19">
        <v>44136</v>
      </c>
      <c r="J281" s="19">
        <v>44165</v>
      </c>
      <c r="K281" s="3">
        <f t="shared" si="18"/>
        <v>30</v>
      </c>
      <c r="L281" s="3">
        <f t="shared" si="19"/>
        <v>53893</v>
      </c>
      <c r="M281" s="3">
        <v>131500000</v>
      </c>
    </row>
    <row r="282" spans="1:13" s="18" customFormat="1" outlineLevel="2">
      <c r="A282" s="19" t="s">
        <v>124</v>
      </c>
      <c r="B282" s="20" t="s">
        <v>48</v>
      </c>
      <c r="C282" s="21" t="s">
        <v>77</v>
      </c>
      <c r="D282" s="20" t="s">
        <v>76</v>
      </c>
      <c r="E282" s="3">
        <v>10400000</v>
      </c>
      <c r="F282" s="19">
        <v>44096</v>
      </c>
      <c r="G282" s="3">
        <v>10400000</v>
      </c>
      <c r="H282" s="2">
        <v>5.0000000000000001E-3</v>
      </c>
      <c r="I282" s="19">
        <v>44136</v>
      </c>
      <c r="J282" s="19">
        <v>44165</v>
      </c>
      <c r="K282" s="3">
        <f t="shared" si="18"/>
        <v>30</v>
      </c>
      <c r="L282" s="3">
        <f t="shared" si="19"/>
        <v>4262</v>
      </c>
      <c r="M282" s="3">
        <v>10400000</v>
      </c>
    </row>
    <row r="283" spans="1:13" s="18" customFormat="1" outlineLevel="2">
      <c r="A283" s="19" t="s">
        <v>124</v>
      </c>
      <c r="B283" s="20" t="s">
        <v>59</v>
      </c>
      <c r="C283" s="21" t="s">
        <v>233</v>
      </c>
      <c r="D283" s="20" t="s">
        <v>232</v>
      </c>
      <c r="E283" s="3">
        <v>10000000</v>
      </c>
      <c r="F283" s="19">
        <v>44139</v>
      </c>
      <c r="G283" s="3">
        <v>10000000</v>
      </c>
      <c r="H283" s="2">
        <v>5.0000000000000001E-3</v>
      </c>
      <c r="I283" s="19">
        <v>44139</v>
      </c>
      <c r="J283" s="19">
        <v>44165</v>
      </c>
      <c r="K283" s="3">
        <f t="shared" si="18"/>
        <v>27</v>
      </c>
      <c r="L283" s="3">
        <f t="shared" si="19"/>
        <v>3689</v>
      </c>
      <c r="M283" s="3">
        <v>10000000</v>
      </c>
    </row>
    <row r="284" spans="1:13" s="18" customFormat="1" outlineLevel="2">
      <c r="A284" s="19" t="s">
        <v>124</v>
      </c>
      <c r="B284" s="20" t="s">
        <v>58</v>
      </c>
      <c r="C284" s="21" t="s">
        <v>233</v>
      </c>
      <c r="D284" s="20" t="s">
        <v>232</v>
      </c>
      <c r="E284" s="3">
        <v>10000000</v>
      </c>
      <c r="F284" s="19">
        <v>44152</v>
      </c>
      <c r="G284" s="3">
        <v>10000000</v>
      </c>
      <c r="H284" s="2">
        <v>5.0000000000000001E-3</v>
      </c>
      <c r="I284" s="19">
        <v>44152</v>
      </c>
      <c r="J284" s="19">
        <v>44165</v>
      </c>
      <c r="K284" s="3">
        <f t="shared" si="18"/>
        <v>14</v>
      </c>
      <c r="L284" s="3">
        <f t="shared" si="19"/>
        <v>1913</v>
      </c>
      <c r="M284" s="3">
        <v>10000000</v>
      </c>
    </row>
    <row r="285" spans="1:13" s="18" customFormat="1" ht="13.5" outlineLevel="1">
      <c r="A285" s="22" t="s">
        <v>123</v>
      </c>
      <c r="B285" s="23"/>
      <c r="C285" s="24"/>
      <c r="D285" s="23"/>
      <c r="E285" s="25">
        <f>SUBTOTAL(9,E273:E284)</f>
        <v>320580000</v>
      </c>
      <c r="F285" s="26"/>
      <c r="G285" s="25"/>
      <c r="H285" s="27"/>
      <c r="I285" s="26"/>
      <c r="J285" s="26"/>
      <c r="K285" s="25"/>
      <c r="L285" s="25">
        <f>SUBTOTAL(9,L273:L284)</f>
        <v>121750</v>
      </c>
      <c r="M285" s="25">
        <f>SUBTOTAL(9,M273:M284)</f>
        <v>320580000</v>
      </c>
    </row>
    <row r="286" spans="1:13" s="18" customFormat="1" outlineLevel="2">
      <c r="A286" s="19" t="s">
        <v>70</v>
      </c>
      <c r="B286" s="20" t="s">
        <v>16</v>
      </c>
      <c r="C286" s="21" t="s">
        <v>69</v>
      </c>
      <c r="D286" s="20" t="s">
        <v>68</v>
      </c>
      <c r="E286" s="3">
        <v>330000000</v>
      </c>
      <c r="F286" s="19">
        <v>43915</v>
      </c>
      <c r="G286" s="3">
        <v>330000000</v>
      </c>
      <c r="H286" s="2">
        <v>5.0000000000000001E-3</v>
      </c>
      <c r="I286" s="19">
        <v>44136</v>
      </c>
      <c r="J286" s="19">
        <v>44165</v>
      </c>
      <c r="K286" s="3">
        <f>J286-I286+1</f>
        <v>30</v>
      </c>
      <c r="L286" s="3">
        <f>ROUND(G286*H286*K286/366,0)</f>
        <v>135246</v>
      </c>
      <c r="M286" s="3">
        <v>330000000</v>
      </c>
    </row>
    <row r="287" spans="1:13" s="18" customFormat="1" outlineLevel="2">
      <c r="A287" s="19" t="s">
        <v>70</v>
      </c>
      <c r="B287" s="20" t="s">
        <v>23</v>
      </c>
      <c r="C287" s="21" t="s">
        <v>69</v>
      </c>
      <c r="D287" s="20" t="s">
        <v>68</v>
      </c>
      <c r="E287" s="3">
        <v>93600000</v>
      </c>
      <c r="F287" s="19">
        <v>43955</v>
      </c>
      <c r="G287" s="3">
        <v>93600000</v>
      </c>
      <c r="H287" s="2">
        <v>5.0000000000000001E-3</v>
      </c>
      <c r="I287" s="19">
        <v>44136</v>
      </c>
      <c r="J287" s="19">
        <v>44165</v>
      </c>
      <c r="K287" s="3">
        <f>J287-I287+1</f>
        <v>30</v>
      </c>
      <c r="L287" s="3">
        <f>ROUND(G287*H287*K287/366,0)</f>
        <v>38361</v>
      </c>
      <c r="M287" s="3">
        <v>93600000</v>
      </c>
    </row>
    <row r="288" spans="1:13" s="18" customFormat="1" outlineLevel="2">
      <c r="A288" s="19" t="s">
        <v>70</v>
      </c>
      <c r="B288" s="20" t="s">
        <v>29</v>
      </c>
      <c r="C288" s="21" t="s">
        <v>69</v>
      </c>
      <c r="D288" s="20" t="s">
        <v>68</v>
      </c>
      <c r="E288" s="3">
        <v>576400000</v>
      </c>
      <c r="F288" s="19">
        <v>44013</v>
      </c>
      <c r="G288" s="3">
        <v>576400000</v>
      </c>
      <c r="H288" s="2">
        <v>5.0000000000000001E-3</v>
      </c>
      <c r="I288" s="19">
        <v>44136</v>
      </c>
      <c r="J288" s="19">
        <v>44165</v>
      </c>
      <c r="K288" s="3">
        <f>J288-I288+1</f>
        <v>30</v>
      </c>
      <c r="L288" s="3">
        <f>ROUND(G288*H288*K288/366,0)</f>
        <v>236230</v>
      </c>
      <c r="M288" s="3">
        <v>576400000</v>
      </c>
    </row>
    <row r="289" spans="1:13" s="18" customFormat="1" ht="13.5" outlineLevel="1">
      <c r="A289" s="22" t="s">
        <v>67</v>
      </c>
      <c r="B289" s="23"/>
      <c r="C289" s="24"/>
      <c r="D289" s="23"/>
      <c r="E289" s="25">
        <f>SUBTOTAL(9,E286:E288)</f>
        <v>1000000000</v>
      </c>
      <c r="F289" s="26"/>
      <c r="G289" s="25"/>
      <c r="H289" s="27"/>
      <c r="I289" s="26"/>
      <c r="J289" s="26"/>
      <c r="K289" s="25"/>
      <c r="L289" s="25">
        <f>SUBTOTAL(9,L286:L288)</f>
        <v>409837</v>
      </c>
      <c r="M289" s="25">
        <f>SUBTOTAL(9,M286:M288)</f>
        <v>1000000000</v>
      </c>
    </row>
    <row r="290" spans="1:13" s="18" customFormat="1" outlineLevel="2">
      <c r="A290" s="19" t="s">
        <v>91</v>
      </c>
      <c r="B290" s="20" t="s">
        <v>16</v>
      </c>
      <c r="C290" s="21" t="s">
        <v>90</v>
      </c>
      <c r="D290" s="20" t="s">
        <v>89</v>
      </c>
      <c r="E290" s="3">
        <v>3400000</v>
      </c>
      <c r="F290" s="19">
        <v>43927</v>
      </c>
      <c r="G290" s="3">
        <v>3400000</v>
      </c>
      <c r="H290" s="2">
        <v>5.0000000000000001E-3</v>
      </c>
      <c r="I290" s="19">
        <v>44136</v>
      </c>
      <c r="J290" s="19">
        <v>44165</v>
      </c>
      <c r="K290" s="3">
        <f t="shared" ref="K290:K308" si="20">J290-I290+1</f>
        <v>30</v>
      </c>
      <c r="L290" s="3">
        <f t="shared" ref="L290:L308" si="21">ROUND(G290*H290*K290/366,0)</f>
        <v>1393</v>
      </c>
      <c r="M290" s="3">
        <v>3400000</v>
      </c>
    </row>
    <row r="291" spans="1:13" s="18" customFormat="1" outlineLevel="2">
      <c r="A291" s="19" t="s">
        <v>91</v>
      </c>
      <c r="B291" s="20" t="s">
        <v>61</v>
      </c>
      <c r="C291" s="21" t="s">
        <v>189</v>
      </c>
      <c r="D291" s="20" t="s">
        <v>190</v>
      </c>
      <c r="E291" s="3">
        <v>620000</v>
      </c>
      <c r="F291" s="19">
        <v>44148</v>
      </c>
      <c r="G291" s="3">
        <v>620000</v>
      </c>
      <c r="H291" s="2">
        <v>5.0000000000000001E-3</v>
      </c>
      <c r="I291" s="19">
        <v>44148</v>
      </c>
      <c r="J291" s="19">
        <v>44150</v>
      </c>
      <c r="K291" s="3">
        <f t="shared" si="20"/>
        <v>3</v>
      </c>
      <c r="L291" s="3">
        <f t="shared" si="21"/>
        <v>25</v>
      </c>
      <c r="M291" s="3">
        <v>570000</v>
      </c>
    </row>
    <row r="292" spans="1:13" s="18" customFormat="1" outlineLevel="2">
      <c r="A292" s="19" t="s">
        <v>91</v>
      </c>
      <c r="B292" s="20" t="s">
        <v>61</v>
      </c>
      <c r="C292" s="21" t="s">
        <v>189</v>
      </c>
      <c r="D292" s="20"/>
      <c r="E292" s="3"/>
      <c r="F292" s="19"/>
      <c r="G292" s="3">
        <v>570000</v>
      </c>
      <c r="H292" s="2">
        <v>5.0000000000000001E-3</v>
      </c>
      <c r="I292" s="19">
        <v>44151</v>
      </c>
      <c r="J292" s="19">
        <v>44165</v>
      </c>
      <c r="K292" s="3">
        <f t="shared" si="20"/>
        <v>15</v>
      </c>
      <c r="L292" s="3">
        <f t="shared" si="21"/>
        <v>117</v>
      </c>
      <c r="M292" s="3"/>
    </row>
    <row r="293" spans="1:13" s="18" customFormat="1" outlineLevel="2">
      <c r="A293" s="19" t="s">
        <v>91</v>
      </c>
      <c r="B293" s="20" t="s">
        <v>60</v>
      </c>
      <c r="C293" s="21" t="s">
        <v>189</v>
      </c>
      <c r="D293" s="20" t="s">
        <v>190</v>
      </c>
      <c r="E293" s="3">
        <v>3910000</v>
      </c>
      <c r="F293" s="19">
        <v>44165</v>
      </c>
      <c r="G293" s="3">
        <v>3910000</v>
      </c>
      <c r="H293" s="2">
        <v>5.0000000000000001E-3</v>
      </c>
      <c r="I293" s="19">
        <v>44165</v>
      </c>
      <c r="J293" s="19">
        <v>44165</v>
      </c>
      <c r="K293" s="3">
        <f t="shared" si="20"/>
        <v>1</v>
      </c>
      <c r="L293" s="3">
        <f t="shared" si="21"/>
        <v>53</v>
      </c>
      <c r="M293" s="3">
        <v>3910000</v>
      </c>
    </row>
    <row r="294" spans="1:13" s="18" customFormat="1" outlineLevel="2">
      <c r="A294" s="19" t="s">
        <v>91</v>
      </c>
      <c r="B294" s="20" t="s">
        <v>66</v>
      </c>
      <c r="C294" s="21" t="s">
        <v>189</v>
      </c>
      <c r="D294" s="20" t="s">
        <v>190</v>
      </c>
      <c r="E294" s="3">
        <v>4030000</v>
      </c>
      <c r="F294" s="19">
        <v>44165</v>
      </c>
      <c r="G294" s="3">
        <v>4030000</v>
      </c>
      <c r="H294" s="2">
        <v>5.0000000000000001E-3</v>
      </c>
      <c r="I294" s="19">
        <v>44165</v>
      </c>
      <c r="J294" s="19">
        <v>44165</v>
      </c>
      <c r="K294" s="3">
        <f t="shared" si="20"/>
        <v>1</v>
      </c>
      <c r="L294" s="3">
        <f t="shared" si="21"/>
        <v>55</v>
      </c>
      <c r="M294" s="3">
        <v>4030000</v>
      </c>
    </row>
    <row r="295" spans="1:13" s="18" customFormat="1" outlineLevel="2">
      <c r="A295" s="19" t="s">
        <v>91</v>
      </c>
      <c r="B295" s="20" t="s">
        <v>65</v>
      </c>
      <c r="C295" s="21" t="s">
        <v>189</v>
      </c>
      <c r="D295" s="20" t="s">
        <v>190</v>
      </c>
      <c r="E295" s="3">
        <v>570000</v>
      </c>
      <c r="F295" s="19">
        <v>44155</v>
      </c>
      <c r="G295" s="3">
        <v>570000</v>
      </c>
      <c r="H295" s="2">
        <v>5.0000000000000001E-3</v>
      </c>
      <c r="I295" s="19">
        <v>44155</v>
      </c>
      <c r="J295" s="19">
        <v>44165</v>
      </c>
      <c r="K295" s="3">
        <f t="shared" si="20"/>
        <v>11</v>
      </c>
      <c r="L295" s="3">
        <f t="shared" si="21"/>
        <v>86</v>
      </c>
      <c r="M295" s="3">
        <v>570000</v>
      </c>
    </row>
    <row r="296" spans="1:13" s="18" customFormat="1" outlineLevel="2">
      <c r="A296" s="19" t="s">
        <v>91</v>
      </c>
      <c r="B296" s="20" t="s">
        <v>64</v>
      </c>
      <c r="C296" s="21" t="s">
        <v>189</v>
      </c>
      <c r="D296" s="20" t="s">
        <v>190</v>
      </c>
      <c r="E296" s="3">
        <v>6000000</v>
      </c>
      <c r="F296" s="19">
        <v>44155</v>
      </c>
      <c r="G296" s="3">
        <v>6000000</v>
      </c>
      <c r="H296" s="2">
        <v>5.0000000000000001E-3</v>
      </c>
      <c r="I296" s="19">
        <v>44155</v>
      </c>
      <c r="J296" s="19">
        <v>44165</v>
      </c>
      <c r="K296" s="3">
        <f t="shared" si="20"/>
        <v>11</v>
      </c>
      <c r="L296" s="3">
        <f t="shared" si="21"/>
        <v>902</v>
      </c>
      <c r="M296" s="3">
        <v>6000000</v>
      </c>
    </row>
    <row r="297" spans="1:13" s="18" customFormat="1" outlineLevel="2">
      <c r="A297" s="19" t="s">
        <v>91</v>
      </c>
      <c r="B297" s="20" t="s">
        <v>23</v>
      </c>
      <c r="C297" s="21" t="s">
        <v>90</v>
      </c>
      <c r="D297" s="20" t="s">
        <v>89</v>
      </c>
      <c r="E297" s="3">
        <v>70440000</v>
      </c>
      <c r="F297" s="19">
        <v>43951</v>
      </c>
      <c r="G297" s="3">
        <v>70440000</v>
      </c>
      <c r="H297" s="2">
        <v>5.0000000000000001E-3</v>
      </c>
      <c r="I297" s="19">
        <v>44136</v>
      </c>
      <c r="J297" s="19">
        <v>44165</v>
      </c>
      <c r="K297" s="3">
        <f t="shared" si="20"/>
        <v>30</v>
      </c>
      <c r="L297" s="3">
        <f t="shared" si="21"/>
        <v>28869</v>
      </c>
      <c r="M297" s="3">
        <v>70440000</v>
      </c>
    </row>
    <row r="298" spans="1:13" s="18" customFormat="1" outlineLevel="2">
      <c r="A298" s="19" t="s">
        <v>91</v>
      </c>
      <c r="B298" s="20" t="s">
        <v>29</v>
      </c>
      <c r="C298" s="21" t="s">
        <v>104</v>
      </c>
      <c r="D298" s="20" t="s">
        <v>103</v>
      </c>
      <c r="E298" s="3">
        <v>182300000</v>
      </c>
      <c r="F298" s="19">
        <v>43959</v>
      </c>
      <c r="G298" s="3">
        <v>182300000</v>
      </c>
      <c r="H298" s="2">
        <v>5.0000000000000001E-3</v>
      </c>
      <c r="I298" s="19">
        <v>44136</v>
      </c>
      <c r="J298" s="19">
        <v>44165</v>
      </c>
      <c r="K298" s="3">
        <f t="shared" si="20"/>
        <v>30</v>
      </c>
      <c r="L298" s="3">
        <f t="shared" si="21"/>
        <v>74713</v>
      </c>
      <c r="M298" s="3">
        <v>182300000</v>
      </c>
    </row>
    <row r="299" spans="1:13" s="18" customFormat="1" outlineLevel="2">
      <c r="A299" s="19" t="s">
        <v>91</v>
      </c>
      <c r="B299" s="20" t="s">
        <v>30</v>
      </c>
      <c r="C299" s="21" t="s">
        <v>189</v>
      </c>
      <c r="D299" s="20" t="s">
        <v>190</v>
      </c>
      <c r="E299" s="3">
        <v>610000</v>
      </c>
      <c r="F299" s="19">
        <v>44085</v>
      </c>
      <c r="G299" s="3">
        <v>580000</v>
      </c>
      <c r="H299" s="2">
        <v>5.0000000000000001E-3</v>
      </c>
      <c r="I299" s="19">
        <v>44136</v>
      </c>
      <c r="J299" s="19">
        <v>44150</v>
      </c>
      <c r="K299" s="3">
        <f t="shared" si="20"/>
        <v>15</v>
      </c>
      <c r="L299" s="3">
        <f t="shared" si="21"/>
        <v>119</v>
      </c>
      <c r="M299" s="3">
        <v>570000</v>
      </c>
    </row>
    <row r="300" spans="1:13" s="18" customFormat="1" outlineLevel="2">
      <c r="A300" s="19" t="s">
        <v>91</v>
      </c>
      <c r="B300" s="20" t="s">
        <v>30</v>
      </c>
      <c r="C300" s="21" t="s">
        <v>189</v>
      </c>
      <c r="D300" s="20"/>
      <c r="E300" s="3"/>
      <c r="F300" s="19"/>
      <c r="G300" s="3">
        <v>570000</v>
      </c>
      <c r="H300" s="2">
        <v>5.0000000000000001E-3</v>
      </c>
      <c r="I300" s="19">
        <v>44151</v>
      </c>
      <c r="J300" s="19">
        <v>44165</v>
      </c>
      <c r="K300" s="3">
        <f t="shared" si="20"/>
        <v>15</v>
      </c>
      <c r="L300" s="3">
        <f t="shared" si="21"/>
        <v>117</v>
      </c>
      <c r="M300" s="3"/>
    </row>
    <row r="301" spans="1:13" s="18" customFormat="1" outlineLevel="2">
      <c r="A301" s="19" t="s">
        <v>91</v>
      </c>
      <c r="B301" s="20" t="s">
        <v>31</v>
      </c>
      <c r="C301" s="21" t="s">
        <v>188</v>
      </c>
      <c r="D301" s="20" t="s">
        <v>89</v>
      </c>
      <c r="E301" s="3">
        <v>18080000</v>
      </c>
      <c r="F301" s="19">
        <v>44102</v>
      </c>
      <c r="G301" s="3">
        <v>18080000</v>
      </c>
      <c r="H301" s="2">
        <v>5.0000000000000001E-3</v>
      </c>
      <c r="I301" s="19">
        <v>44136</v>
      </c>
      <c r="J301" s="19">
        <v>44165</v>
      </c>
      <c r="K301" s="3">
        <f t="shared" si="20"/>
        <v>30</v>
      </c>
      <c r="L301" s="3">
        <f t="shared" si="21"/>
        <v>7410</v>
      </c>
      <c r="M301" s="3">
        <v>18080000</v>
      </c>
    </row>
    <row r="302" spans="1:13" s="18" customFormat="1" outlineLevel="2">
      <c r="A302" s="19" t="s">
        <v>91</v>
      </c>
      <c r="B302" s="20" t="s">
        <v>32</v>
      </c>
      <c r="C302" s="21" t="s">
        <v>188</v>
      </c>
      <c r="D302" s="20" t="s">
        <v>89</v>
      </c>
      <c r="E302" s="3">
        <v>50630000</v>
      </c>
      <c r="F302" s="19">
        <v>44131</v>
      </c>
      <c r="G302" s="3">
        <v>50630000</v>
      </c>
      <c r="H302" s="2">
        <v>5.0000000000000001E-3</v>
      </c>
      <c r="I302" s="19">
        <v>44136</v>
      </c>
      <c r="J302" s="19">
        <v>44165</v>
      </c>
      <c r="K302" s="3">
        <f t="shared" si="20"/>
        <v>30</v>
      </c>
      <c r="L302" s="3">
        <f t="shared" si="21"/>
        <v>20750</v>
      </c>
      <c r="M302" s="3">
        <v>50630000</v>
      </c>
    </row>
    <row r="303" spans="1:13" s="18" customFormat="1" outlineLevel="2">
      <c r="A303" s="19" t="s">
        <v>91</v>
      </c>
      <c r="B303" s="20" t="s">
        <v>48</v>
      </c>
      <c r="C303" s="21" t="s">
        <v>189</v>
      </c>
      <c r="D303" s="20" t="s">
        <v>190</v>
      </c>
      <c r="E303" s="3">
        <v>710000</v>
      </c>
      <c r="F303" s="19">
        <v>44110</v>
      </c>
      <c r="G303" s="3">
        <v>696000</v>
      </c>
      <c r="H303" s="2">
        <v>5.0000000000000001E-3</v>
      </c>
      <c r="I303" s="19">
        <v>44136</v>
      </c>
      <c r="J303" s="19">
        <v>44150</v>
      </c>
      <c r="K303" s="3">
        <f t="shared" si="20"/>
        <v>15</v>
      </c>
      <c r="L303" s="3">
        <f t="shared" si="21"/>
        <v>143</v>
      </c>
      <c r="M303" s="3">
        <v>684000</v>
      </c>
    </row>
    <row r="304" spans="1:13" s="18" customFormat="1" outlineLevel="2">
      <c r="A304" s="19" t="s">
        <v>91</v>
      </c>
      <c r="B304" s="20" t="s">
        <v>48</v>
      </c>
      <c r="C304" s="21" t="s">
        <v>189</v>
      </c>
      <c r="D304" s="20"/>
      <c r="E304" s="3"/>
      <c r="F304" s="19"/>
      <c r="G304" s="3">
        <v>684000</v>
      </c>
      <c r="H304" s="2">
        <v>5.0000000000000001E-3</v>
      </c>
      <c r="I304" s="19">
        <v>44151</v>
      </c>
      <c r="J304" s="19">
        <v>44165</v>
      </c>
      <c r="K304" s="3">
        <f t="shared" si="20"/>
        <v>15</v>
      </c>
      <c r="L304" s="3">
        <f t="shared" si="21"/>
        <v>140</v>
      </c>
      <c r="M304" s="3"/>
    </row>
    <row r="305" spans="1:13" s="18" customFormat="1" outlineLevel="2">
      <c r="A305" s="19" t="s">
        <v>91</v>
      </c>
      <c r="B305" s="20" t="s">
        <v>59</v>
      </c>
      <c r="C305" s="21" t="s">
        <v>189</v>
      </c>
      <c r="D305" s="20" t="s">
        <v>190</v>
      </c>
      <c r="E305" s="3">
        <v>830000</v>
      </c>
      <c r="F305" s="19">
        <v>44137</v>
      </c>
      <c r="G305" s="3">
        <v>830000</v>
      </c>
      <c r="H305" s="2">
        <v>5.0000000000000001E-3</v>
      </c>
      <c r="I305" s="19">
        <v>44137</v>
      </c>
      <c r="J305" s="19">
        <v>44150</v>
      </c>
      <c r="K305" s="3">
        <f t="shared" si="20"/>
        <v>14</v>
      </c>
      <c r="L305" s="3">
        <f t="shared" si="21"/>
        <v>159</v>
      </c>
      <c r="M305" s="3">
        <v>798000</v>
      </c>
    </row>
    <row r="306" spans="1:13" s="18" customFormat="1" outlineLevel="2">
      <c r="A306" s="19" t="s">
        <v>91</v>
      </c>
      <c r="B306" s="20" t="s">
        <v>59</v>
      </c>
      <c r="C306" s="21" t="s">
        <v>189</v>
      </c>
      <c r="D306" s="20"/>
      <c r="E306" s="3"/>
      <c r="F306" s="19"/>
      <c r="G306" s="3">
        <v>798000</v>
      </c>
      <c r="H306" s="2">
        <v>5.0000000000000001E-3</v>
      </c>
      <c r="I306" s="19">
        <v>44151</v>
      </c>
      <c r="J306" s="19">
        <v>44165</v>
      </c>
      <c r="K306" s="3">
        <f t="shared" si="20"/>
        <v>15</v>
      </c>
      <c r="L306" s="3">
        <f t="shared" si="21"/>
        <v>164</v>
      </c>
      <c r="M306" s="3"/>
    </row>
    <row r="307" spans="1:13" s="18" customFormat="1" outlineLevel="2">
      <c r="A307" s="19" t="s">
        <v>91</v>
      </c>
      <c r="B307" s="20" t="s">
        <v>58</v>
      </c>
      <c r="C307" s="21" t="s">
        <v>189</v>
      </c>
      <c r="D307" s="20" t="s">
        <v>190</v>
      </c>
      <c r="E307" s="3">
        <v>180000</v>
      </c>
      <c r="F307" s="19">
        <v>44141</v>
      </c>
      <c r="G307" s="3">
        <v>180000</v>
      </c>
      <c r="H307" s="2">
        <v>5.0000000000000001E-3</v>
      </c>
      <c r="I307" s="19">
        <v>44141</v>
      </c>
      <c r="J307" s="19">
        <v>44150</v>
      </c>
      <c r="K307" s="3">
        <f t="shared" si="20"/>
        <v>10</v>
      </c>
      <c r="L307" s="3">
        <f t="shared" si="21"/>
        <v>25</v>
      </c>
      <c r="M307" s="3">
        <v>171000</v>
      </c>
    </row>
    <row r="308" spans="1:13" s="18" customFormat="1" outlineLevel="2">
      <c r="A308" s="19" t="s">
        <v>91</v>
      </c>
      <c r="B308" s="20" t="s">
        <v>58</v>
      </c>
      <c r="C308" s="21" t="s">
        <v>189</v>
      </c>
      <c r="D308" s="20"/>
      <c r="E308" s="3"/>
      <c r="F308" s="19"/>
      <c r="G308" s="3">
        <v>171000</v>
      </c>
      <c r="H308" s="2">
        <v>5.0000000000000001E-3</v>
      </c>
      <c r="I308" s="19">
        <v>44151</v>
      </c>
      <c r="J308" s="19">
        <v>44165</v>
      </c>
      <c r="K308" s="3">
        <f t="shared" si="20"/>
        <v>15</v>
      </c>
      <c r="L308" s="3">
        <f t="shared" si="21"/>
        <v>35</v>
      </c>
      <c r="M308" s="3"/>
    </row>
    <row r="309" spans="1:13" s="18" customFormat="1" ht="13.5" outlineLevel="1">
      <c r="A309" s="22" t="s">
        <v>88</v>
      </c>
      <c r="B309" s="23"/>
      <c r="C309" s="24"/>
      <c r="D309" s="23"/>
      <c r="E309" s="25">
        <f>SUBTOTAL(9,E290:E308)</f>
        <v>342310000</v>
      </c>
      <c r="F309" s="26"/>
      <c r="G309" s="25"/>
      <c r="H309" s="27"/>
      <c r="I309" s="26"/>
      <c r="J309" s="26"/>
      <c r="K309" s="25"/>
      <c r="L309" s="25">
        <f>SUBTOTAL(9,L290:L308)</f>
        <v>135275</v>
      </c>
      <c r="M309" s="25">
        <f>SUBTOTAL(9,M290:M308)</f>
        <v>342153000</v>
      </c>
    </row>
    <row r="310" spans="1:13" s="18" customFormat="1" outlineLevel="2">
      <c r="A310" s="19" t="s">
        <v>231</v>
      </c>
      <c r="B310" s="20" t="s">
        <v>16</v>
      </c>
      <c r="C310" s="21" t="s">
        <v>158</v>
      </c>
      <c r="D310" s="20" t="s">
        <v>157</v>
      </c>
      <c r="E310" s="3">
        <v>26000000</v>
      </c>
      <c r="F310" s="19">
        <v>44140</v>
      </c>
      <c r="G310" s="3">
        <v>26000000</v>
      </c>
      <c r="H310" s="2">
        <v>5.0000000000000001E-3</v>
      </c>
      <c r="I310" s="19">
        <v>44140</v>
      </c>
      <c r="J310" s="19">
        <v>44165</v>
      </c>
      <c r="K310" s="3">
        <f>J310-I310+1</f>
        <v>26</v>
      </c>
      <c r="L310" s="3">
        <f>ROUND(G310*H310*K310/366,0)</f>
        <v>9235</v>
      </c>
      <c r="M310" s="3">
        <v>26000000</v>
      </c>
    </row>
    <row r="311" spans="1:13" s="18" customFormat="1" outlineLevel="2">
      <c r="A311" s="19" t="s">
        <v>231</v>
      </c>
      <c r="B311" s="20" t="s">
        <v>23</v>
      </c>
      <c r="C311" s="21" t="s">
        <v>158</v>
      </c>
      <c r="D311" s="20" t="s">
        <v>157</v>
      </c>
      <c r="E311" s="3">
        <v>10250000</v>
      </c>
      <c r="F311" s="19">
        <v>44140</v>
      </c>
      <c r="G311" s="3">
        <v>10250000</v>
      </c>
      <c r="H311" s="2">
        <v>5.0000000000000001E-3</v>
      </c>
      <c r="I311" s="19">
        <v>44140</v>
      </c>
      <c r="J311" s="19">
        <v>44165</v>
      </c>
      <c r="K311" s="3">
        <f>J311-I311+1</f>
        <v>26</v>
      </c>
      <c r="L311" s="3">
        <f>ROUND(G311*H311*K311/366,0)</f>
        <v>3641</v>
      </c>
      <c r="M311" s="3">
        <v>10250000</v>
      </c>
    </row>
    <row r="312" spans="1:13" s="18" customFormat="1" outlineLevel="2">
      <c r="A312" s="19" t="s">
        <v>231</v>
      </c>
      <c r="B312" s="20" t="s">
        <v>29</v>
      </c>
      <c r="C312" s="21" t="s">
        <v>158</v>
      </c>
      <c r="D312" s="20" t="s">
        <v>157</v>
      </c>
      <c r="E312" s="3">
        <v>3960000</v>
      </c>
      <c r="F312" s="19">
        <v>44148</v>
      </c>
      <c r="G312" s="3">
        <v>3960000</v>
      </c>
      <c r="H312" s="2">
        <v>5.0000000000000001E-3</v>
      </c>
      <c r="I312" s="19">
        <v>44148</v>
      </c>
      <c r="J312" s="19">
        <v>44165</v>
      </c>
      <c r="K312" s="3">
        <f>J312-I312+1</f>
        <v>18</v>
      </c>
      <c r="L312" s="3">
        <f>ROUND(G312*H312*K312/366,0)</f>
        <v>974</v>
      </c>
      <c r="M312" s="3">
        <v>3960000</v>
      </c>
    </row>
    <row r="313" spans="1:13" s="18" customFormat="1" ht="13.5" outlineLevel="1">
      <c r="A313" s="22" t="s">
        <v>230</v>
      </c>
      <c r="B313" s="23"/>
      <c r="C313" s="24"/>
      <c r="D313" s="23"/>
      <c r="E313" s="25">
        <f>SUBTOTAL(9,E310:E312)</f>
        <v>40210000</v>
      </c>
      <c r="F313" s="26"/>
      <c r="G313" s="25"/>
      <c r="H313" s="27"/>
      <c r="I313" s="26"/>
      <c r="J313" s="26"/>
      <c r="K313" s="25"/>
      <c r="L313" s="25">
        <f>SUBTOTAL(9,L310:L312)</f>
        <v>13850</v>
      </c>
      <c r="M313" s="25">
        <f>SUBTOTAL(9,M310:M312)</f>
        <v>40210000</v>
      </c>
    </row>
    <row r="314" spans="1:13" s="18" customFormat="1" outlineLevel="2">
      <c r="A314" s="19" t="s">
        <v>207</v>
      </c>
      <c r="B314" s="20" t="s">
        <v>16</v>
      </c>
      <c r="C314" s="21" t="s">
        <v>203</v>
      </c>
      <c r="D314" s="20" t="s">
        <v>202</v>
      </c>
      <c r="E314" s="3">
        <v>50000000</v>
      </c>
      <c r="F314" s="19">
        <v>44099</v>
      </c>
      <c r="G314" s="3">
        <v>50000000</v>
      </c>
      <c r="H314" s="2">
        <v>5.0000000000000001E-3</v>
      </c>
      <c r="I314" s="19">
        <v>44136</v>
      </c>
      <c r="J314" s="19">
        <v>44165</v>
      </c>
      <c r="K314" s="3">
        <f>J314-I314+1</f>
        <v>30</v>
      </c>
      <c r="L314" s="3">
        <f>ROUND(G314*H314*K314/366,0)</f>
        <v>20492</v>
      </c>
      <c r="M314" s="3">
        <v>50000000</v>
      </c>
    </row>
    <row r="315" spans="1:13" s="18" customFormat="1" ht="13.5" outlineLevel="1">
      <c r="A315" s="22" t="s">
        <v>206</v>
      </c>
      <c r="B315" s="23"/>
      <c r="C315" s="24"/>
      <c r="D315" s="23"/>
      <c r="E315" s="25">
        <f>SUBTOTAL(9,E314:E314)</f>
        <v>50000000</v>
      </c>
      <c r="F315" s="26"/>
      <c r="G315" s="25"/>
      <c r="H315" s="27"/>
      <c r="I315" s="26"/>
      <c r="J315" s="26"/>
      <c r="K315" s="25"/>
      <c r="L315" s="25">
        <f>SUBTOTAL(9,L314:L314)</f>
        <v>20492</v>
      </c>
      <c r="M315" s="25">
        <f>SUBTOTAL(9,M314:M314)</f>
        <v>50000000</v>
      </c>
    </row>
    <row r="316" spans="1:13" s="18" customFormat="1" outlineLevel="2">
      <c r="A316" s="19" t="s">
        <v>87</v>
      </c>
      <c r="B316" s="20" t="s">
        <v>16</v>
      </c>
      <c r="C316" s="21" t="s">
        <v>69</v>
      </c>
      <c r="D316" s="20" t="s">
        <v>68</v>
      </c>
      <c r="E316" s="3">
        <v>43200000</v>
      </c>
      <c r="F316" s="19">
        <v>43937</v>
      </c>
      <c r="G316" s="3">
        <v>43200000</v>
      </c>
      <c r="H316" s="2">
        <v>3.0000000000000001E-3</v>
      </c>
      <c r="I316" s="19">
        <v>44136</v>
      </c>
      <c r="J316" s="19">
        <v>44165</v>
      </c>
      <c r="K316" s="3">
        <f>J316-I316+1</f>
        <v>30</v>
      </c>
      <c r="L316" s="3">
        <f>ROUND(G316*H316*K316/366,0)</f>
        <v>10623</v>
      </c>
      <c r="M316" s="3">
        <v>43200000</v>
      </c>
    </row>
    <row r="317" spans="1:13" s="18" customFormat="1" outlineLevel="2">
      <c r="A317" s="19" t="s">
        <v>87</v>
      </c>
      <c r="B317" s="20" t="s">
        <v>23</v>
      </c>
      <c r="C317" s="21" t="s">
        <v>69</v>
      </c>
      <c r="D317" s="20" t="s">
        <v>68</v>
      </c>
      <c r="E317" s="3">
        <v>330000000</v>
      </c>
      <c r="F317" s="19">
        <v>44013</v>
      </c>
      <c r="G317" s="3">
        <v>330000000</v>
      </c>
      <c r="H317" s="2">
        <v>3.0000000000000001E-3</v>
      </c>
      <c r="I317" s="19">
        <v>44136</v>
      </c>
      <c r="J317" s="19">
        <v>44165</v>
      </c>
      <c r="K317" s="3">
        <f>J317-I317+1</f>
        <v>30</v>
      </c>
      <c r="L317" s="3">
        <f>ROUND(G317*H317*K317/366,0)</f>
        <v>81148</v>
      </c>
      <c r="M317" s="3">
        <v>330000000</v>
      </c>
    </row>
    <row r="318" spans="1:13" s="18" customFormat="1" outlineLevel="2">
      <c r="A318" s="19" t="s">
        <v>87</v>
      </c>
      <c r="B318" s="20" t="s">
        <v>29</v>
      </c>
      <c r="C318" s="21" t="s">
        <v>69</v>
      </c>
      <c r="D318" s="20" t="s">
        <v>68</v>
      </c>
      <c r="E318" s="3">
        <v>120000000</v>
      </c>
      <c r="F318" s="19">
        <v>44049</v>
      </c>
      <c r="G318" s="3">
        <v>120000000</v>
      </c>
      <c r="H318" s="2">
        <v>3.0000000000000001E-3</v>
      </c>
      <c r="I318" s="19">
        <v>44136</v>
      </c>
      <c r="J318" s="19">
        <v>44165</v>
      </c>
      <c r="K318" s="3">
        <f>J318-I318+1</f>
        <v>30</v>
      </c>
      <c r="L318" s="3">
        <f>ROUND(G318*H318*K318/366,0)</f>
        <v>29508</v>
      </c>
      <c r="M318" s="3">
        <v>120000000</v>
      </c>
    </row>
    <row r="319" spans="1:13" s="18" customFormat="1" outlineLevel="2">
      <c r="A319" s="19" t="s">
        <v>87</v>
      </c>
      <c r="B319" s="20" t="s">
        <v>30</v>
      </c>
      <c r="C319" s="21" t="s">
        <v>69</v>
      </c>
      <c r="D319" s="20" t="s">
        <v>68</v>
      </c>
      <c r="E319" s="3">
        <v>39840000</v>
      </c>
      <c r="F319" s="19">
        <v>44111</v>
      </c>
      <c r="G319" s="3">
        <v>39840000</v>
      </c>
      <c r="H319" s="2">
        <v>3.0000000000000001E-3</v>
      </c>
      <c r="I319" s="19">
        <v>44136</v>
      </c>
      <c r="J319" s="19">
        <v>44165</v>
      </c>
      <c r="K319" s="3">
        <f>J319-I319+1</f>
        <v>30</v>
      </c>
      <c r="L319" s="3">
        <f>ROUND(G319*H319*K319/366,0)</f>
        <v>9797</v>
      </c>
      <c r="M319" s="3">
        <v>39840000</v>
      </c>
    </row>
    <row r="320" spans="1:13" s="18" customFormat="1" ht="13.5" outlineLevel="1">
      <c r="A320" s="22" t="s">
        <v>86</v>
      </c>
      <c r="B320" s="23"/>
      <c r="C320" s="24"/>
      <c r="D320" s="23"/>
      <c r="E320" s="25">
        <f>SUBTOTAL(9,E316:E319)</f>
        <v>533040000</v>
      </c>
      <c r="F320" s="26"/>
      <c r="G320" s="25"/>
      <c r="H320" s="27"/>
      <c r="I320" s="26"/>
      <c r="J320" s="26"/>
      <c r="K320" s="25"/>
      <c r="L320" s="25">
        <f>SUBTOTAL(9,L316:L319)</f>
        <v>131076</v>
      </c>
      <c r="M320" s="25">
        <f>SUBTOTAL(9,M316:M319)</f>
        <v>533040000</v>
      </c>
    </row>
    <row r="321" spans="1:13" s="18" customFormat="1" outlineLevel="2">
      <c r="A321" s="19" t="s">
        <v>40</v>
      </c>
      <c r="B321" s="20" t="s">
        <v>16</v>
      </c>
      <c r="C321" s="21" t="s">
        <v>41</v>
      </c>
      <c r="D321" s="20" t="s">
        <v>42</v>
      </c>
      <c r="E321" s="3">
        <v>126000000</v>
      </c>
      <c r="F321" s="19">
        <v>43804</v>
      </c>
      <c r="G321" s="3">
        <v>126000000</v>
      </c>
      <c r="H321" s="2">
        <v>5.0000000000000001E-3</v>
      </c>
      <c r="I321" s="19">
        <v>44136</v>
      </c>
      <c r="J321" s="19">
        <v>44165</v>
      </c>
      <c r="K321" s="3">
        <f t="shared" ref="K321:K352" si="22">J321-I321+1</f>
        <v>30</v>
      </c>
      <c r="L321" s="3">
        <f t="shared" ref="L321:L352" si="23">ROUND(G321*H321*K321/366,0)</f>
        <v>51639</v>
      </c>
      <c r="M321" s="3">
        <v>126000000</v>
      </c>
    </row>
    <row r="322" spans="1:13" s="18" customFormat="1" outlineLevel="2">
      <c r="A322" s="19" t="s">
        <v>40</v>
      </c>
      <c r="B322" s="20" t="s">
        <v>61</v>
      </c>
      <c r="C322" s="21" t="s">
        <v>47</v>
      </c>
      <c r="D322" s="20" t="s">
        <v>42</v>
      </c>
      <c r="E322" s="3">
        <v>46600000</v>
      </c>
      <c r="F322" s="19">
        <v>43866</v>
      </c>
      <c r="G322" s="3">
        <v>46600000</v>
      </c>
      <c r="H322" s="2">
        <v>5.0000000000000001E-3</v>
      </c>
      <c r="I322" s="19">
        <v>44136</v>
      </c>
      <c r="J322" s="19">
        <v>44165</v>
      </c>
      <c r="K322" s="3">
        <f t="shared" si="22"/>
        <v>30</v>
      </c>
      <c r="L322" s="3">
        <f t="shared" si="23"/>
        <v>19098</v>
      </c>
      <c r="M322" s="3">
        <v>46600000</v>
      </c>
    </row>
    <row r="323" spans="1:13" s="18" customFormat="1" outlineLevel="2">
      <c r="A323" s="19" t="s">
        <v>40</v>
      </c>
      <c r="B323" s="20" t="s">
        <v>60</v>
      </c>
      <c r="C323" s="21" t="s">
        <v>47</v>
      </c>
      <c r="D323" s="20" t="s">
        <v>42</v>
      </c>
      <c r="E323" s="3">
        <v>1300000</v>
      </c>
      <c r="F323" s="19">
        <v>43866</v>
      </c>
      <c r="G323" s="3">
        <v>1300000</v>
      </c>
      <c r="H323" s="2">
        <v>5.0000000000000001E-3</v>
      </c>
      <c r="I323" s="19">
        <v>44136</v>
      </c>
      <c r="J323" s="19">
        <v>44165</v>
      </c>
      <c r="K323" s="3">
        <f t="shared" si="22"/>
        <v>30</v>
      </c>
      <c r="L323" s="3">
        <f t="shared" si="23"/>
        <v>533</v>
      </c>
      <c r="M323" s="3">
        <v>1300000</v>
      </c>
    </row>
    <row r="324" spans="1:13" s="18" customFormat="1" outlineLevel="2">
      <c r="A324" s="19" t="s">
        <v>40</v>
      </c>
      <c r="B324" s="20" t="s">
        <v>66</v>
      </c>
      <c r="C324" s="21" t="s">
        <v>43</v>
      </c>
      <c r="D324" s="20" t="s">
        <v>44</v>
      </c>
      <c r="E324" s="3">
        <v>9087600</v>
      </c>
      <c r="F324" s="19">
        <v>43901</v>
      </c>
      <c r="G324" s="3">
        <v>9087600</v>
      </c>
      <c r="H324" s="2">
        <v>5.0000000000000001E-3</v>
      </c>
      <c r="I324" s="19">
        <v>44136</v>
      </c>
      <c r="J324" s="19">
        <v>44165</v>
      </c>
      <c r="K324" s="3">
        <f t="shared" si="22"/>
        <v>30</v>
      </c>
      <c r="L324" s="3">
        <f t="shared" si="23"/>
        <v>3724</v>
      </c>
      <c r="M324" s="3">
        <v>9087600</v>
      </c>
    </row>
    <row r="325" spans="1:13" s="18" customFormat="1" outlineLevel="2">
      <c r="A325" s="19" t="s">
        <v>40</v>
      </c>
      <c r="B325" s="20" t="s">
        <v>65</v>
      </c>
      <c r="C325" s="21" t="s">
        <v>43</v>
      </c>
      <c r="D325" s="20" t="s">
        <v>44</v>
      </c>
      <c r="E325" s="3">
        <v>7270080</v>
      </c>
      <c r="F325" s="19">
        <v>43901</v>
      </c>
      <c r="G325" s="3">
        <v>7270080</v>
      </c>
      <c r="H325" s="2">
        <v>5.0000000000000001E-3</v>
      </c>
      <c r="I325" s="19">
        <v>44136</v>
      </c>
      <c r="J325" s="19">
        <v>44165</v>
      </c>
      <c r="K325" s="3">
        <f t="shared" si="22"/>
        <v>30</v>
      </c>
      <c r="L325" s="3">
        <f t="shared" si="23"/>
        <v>2980</v>
      </c>
      <c r="M325" s="3">
        <v>7270080</v>
      </c>
    </row>
    <row r="326" spans="1:13" s="18" customFormat="1" outlineLevel="2">
      <c r="A326" s="19" t="s">
        <v>40</v>
      </c>
      <c r="B326" s="20" t="s">
        <v>64</v>
      </c>
      <c r="C326" s="21" t="s">
        <v>47</v>
      </c>
      <c r="D326" s="20" t="s">
        <v>42</v>
      </c>
      <c r="E326" s="3">
        <v>99400000</v>
      </c>
      <c r="F326" s="19">
        <v>43917</v>
      </c>
      <c r="G326" s="3">
        <v>99400000</v>
      </c>
      <c r="H326" s="2">
        <v>5.0000000000000001E-3</v>
      </c>
      <c r="I326" s="19">
        <v>44136</v>
      </c>
      <c r="J326" s="19">
        <v>44165</v>
      </c>
      <c r="K326" s="3">
        <f t="shared" si="22"/>
        <v>30</v>
      </c>
      <c r="L326" s="3">
        <f t="shared" si="23"/>
        <v>40738</v>
      </c>
      <c r="M326" s="3">
        <v>99400000</v>
      </c>
    </row>
    <row r="327" spans="1:13" s="18" customFormat="1" outlineLevel="2">
      <c r="A327" s="19" t="s">
        <v>40</v>
      </c>
      <c r="B327" s="20" t="s">
        <v>85</v>
      </c>
      <c r="C327" s="21" t="s">
        <v>43</v>
      </c>
      <c r="D327" s="20" t="s">
        <v>44</v>
      </c>
      <c r="E327" s="3">
        <v>9087600</v>
      </c>
      <c r="F327" s="19">
        <v>43929</v>
      </c>
      <c r="G327" s="3">
        <v>9087600</v>
      </c>
      <c r="H327" s="2">
        <v>5.0000000000000001E-3</v>
      </c>
      <c r="I327" s="19">
        <v>44136</v>
      </c>
      <c r="J327" s="19">
        <v>44165</v>
      </c>
      <c r="K327" s="3">
        <f t="shared" si="22"/>
        <v>30</v>
      </c>
      <c r="L327" s="3">
        <f t="shared" si="23"/>
        <v>3724</v>
      </c>
      <c r="M327" s="3">
        <v>9087600</v>
      </c>
    </row>
    <row r="328" spans="1:13" s="18" customFormat="1" outlineLevel="2">
      <c r="A328" s="19" t="s">
        <v>40</v>
      </c>
      <c r="B328" s="20" t="s">
        <v>84</v>
      </c>
      <c r="C328" s="21" t="s">
        <v>43</v>
      </c>
      <c r="D328" s="20" t="s">
        <v>44</v>
      </c>
      <c r="E328" s="3">
        <v>13007640</v>
      </c>
      <c r="F328" s="19">
        <v>43929</v>
      </c>
      <c r="G328" s="3">
        <v>13007640</v>
      </c>
      <c r="H328" s="2">
        <v>5.0000000000000001E-3</v>
      </c>
      <c r="I328" s="19">
        <v>44136</v>
      </c>
      <c r="J328" s="19">
        <v>44165</v>
      </c>
      <c r="K328" s="3">
        <f t="shared" si="22"/>
        <v>30</v>
      </c>
      <c r="L328" s="3">
        <f t="shared" si="23"/>
        <v>5331</v>
      </c>
      <c r="M328" s="3">
        <v>13007640</v>
      </c>
    </row>
    <row r="329" spans="1:13" s="18" customFormat="1" outlineLevel="2">
      <c r="A329" s="19" t="s">
        <v>40</v>
      </c>
      <c r="B329" s="20" t="s">
        <v>83</v>
      </c>
      <c r="C329" s="21" t="s">
        <v>82</v>
      </c>
      <c r="D329" s="20" t="s">
        <v>81</v>
      </c>
      <c r="E329" s="3">
        <v>61668037</v>
      </c>
      <c r="F329" s="19">
        <v>43949</v>
      </c>
      <c r="G329" s="3">
        <v>61668037</v>
      </c>
      <c r="H329" s="2">
        <v>5.0000000000000001E-3</v>
      </c>
      <c r="I329" s="19">
        <v>44136</v>
      </c>
      <c r="J329" s="19">
        <v>44165</v>
      </c>
      <c r="K329" s="3">
        <f t="shared" si="22"/>
        <v>30</v>
      </c>
      <c r="L329" s="3">
        <f t="shared" si="23"/>
        <v>25274</v>
      </c>
      <c r="M329" s="3">
        <v>61668037</v>
      </c>
    </row>
    <row r="330" spans="1:13" s="18" customFormat="1" outlineLevel="2">
      <c r="A330" s="19" t="s">
        <v>40</v>
      </c>
      <c r="B330" s="20" t="s">
        <v>102</v>
      </c>
      <c r="C330" s="21" t="s">
        <v>43</v>
      </c>
      <c r="D330" s="20" t="s">
        <v>44</v>
      </c>
      <c r="E330" s="3">
        <v>13007640</v>
      </c>
      <c r="F330" s="19">
        <v>43964</v>
      </c>
      <c r="G330" s="3">
        <v>13007640</v>
      </c>
      <c r="H330" s="2">
        <v>5.0000000000000001E-3</v>
      </c>
      <c r="I330" s="19">
        <v>44136</v>
      </c>
      <c r="J330" s="19">
        <v>44165</v>
      </c>
      <c r="K330" s="3">
        <f t="shared" si="22"/>
        <v>30</v>
      </c>
      <c r="L330" s="3">
        <f t="shared" si="23"/>
        <v>5331</v>
      </c>
      <c r="M330" s="3">
        <v>13007640</v>
      </c>
    </row>
    <row r="331" spans="1:13" s="18" customFormat="1" outlineLevel="2">
      <c r="A331" s="19" t="s">
        <v>40</v>
      </c>
      <c r="B331" s="20" t="s">
        <v>101</v>
      </c>
      <c r="C331" s="21" t="s">
        <v>43</v>
      </c>
      <c r="D331" s="20" t="s">
        <v>44</v>
      </c>
      <c r="E331" s="3">
        <v>6361320</v>
      </c>
      <c r="F331" s="19">
        <v>43964</v>
      </c>
      <c r="G331" s="3">
        <v>6361320</v>
      </c>
      <c r="H331" s="2">
        <v>5.0000000000000001E-3</v>
      </c>
      <c r="I331" s="19">
        <v>44136</v>
      </c>
      <c r="J331" s="19">
        <v>44165</v>
      </c>
      <c r="K331" s="3">
        <f t="shared" si="22"/>
        <v>30</v>
      </c>
      <c r="L331" s="3">
        <f t="shared" si="23"/>
        <v>2607</v>
      </c>
      <c r="M331" s="3">
        <v>6361320</v>
      </c>
    </row>
    <row r="332" spans="1:13" s="18" customFormat="1" outlineLevel="2">
      <c r="A332" s="19" t="s">
        <v>40</v>
      </c>
      <c r="B332" s="20" t="s">
        <v>23</v>
      </c>
      <c r="C332" s="21" t="s">
        <v>43</v>
      </c>
      <c r="D332" s="20" t="s">
        <v>44</v>
      </c>
      <c r="E332" s="3">
        <v>5452560</v>
      </c>
      <c r="F332" s="19">
        <v>43810</v>
      </c>
      <c r="G332" s="3">
        <v>5452560</v>
      </c>
      <c r="H332" s="2">
        <v>5.0000000000000001E-3</v>
      </c>
      <c r="I332" s="19">
        <v>44136</v>
      </c>
      <c r="J332" s="19">
        <v>44165</v>
      </c>
      <c r="K332" s="3">
        <f t="shared" si="22"/>
        <v>30</v>
      </c>
      <c r="L332" s="3">
        <f t="shared" si="23"/>
        <v>2235</v>
      </c>
      <c r="M332" s="3">
        <v>5452560</v>
      </c>
    </row>
    <row r="333" spans="1:13" s="18" customFormat="1" outlineLevel="2">
      <c r="A333" s="19" t="s">
        <v>40</v>
      </c>
      <c r="B333" s="20" t="s">
        <v>100</v>
      </c>
      <c r="C333" s="21" t="s">
        <v>47</v>
      </c>
      <c r="D333" s="20" t="s">
        <v>42</v>
      </c>
      <c r="E333" s="3">
        <v>69800000</v>
      </c>
      <c r="F333" s="19">
        <v>43956</v>
      </c>
      <c r="G333" s="3">
        <v>69800000</v>
      </c>
      <c r="H333" s="2">
        <v>5.0000000000000001E-3</v>
      </c>
      <c r="I333" s="19">
        <v>44136</v>
      </c>
      <c r="J333" s="19">
        <v>44165</v>
      </c>
      <c r="K333" s="3">
        <f t="shared" si="22"/>
        <v>30</v>
      </c>
      <c r="L333" s="3">
        <f t="shared" si="23"/>
        <v>28607</v>
      </c>
      <c r="M333" s="3">
        <v>69800000</v>
      </c>
    </row>
    <row r="334" spans="1:13" s="18" customFormat="1" outlineLevel="2">
      <c r="A334" s="19" t="s">
        <v>40</v>
      </c>
      <c r="B334" s="20" t="s">
        <v>99</v>
      </c>
      <c r="C334" s="21" t="s">
        <v>47</v>
      </c>
      <c r="D334" s="20" t="s">
        <v>42</v>
      </c>
      <c r="E334" s="3">
        <v>1500000</v>
      </c>
      <c r="F334" s="19">
        <v>43956</v>
      </c>
      <c r="G334" s="3">
        <v>1500000</v>
      </c>
      <c r="H334" s="2">
        <v>5.0000000000000001E-3</v>
      </c>
      <c r="I334" s="19">
        <v>44136</v>
      </c>
      <c r="J334" s="19">
        <v>44165</v>
      </c>
      <c r="K334" s="3">
        <f t="shared" si="22"/>
        <v>30</v>
      </c>
      <c r="L334" s="3">
        <f t="shared" si="23"/>
        <v>615</v>
      </c>
      <c r="M334" s="3">
        <v>1500000</v>
      </c>
    </row>
    <row r="335" spans="1:13" s="18" customFormat="1" outlineLevel="2">
      <c r="A335" s="19" t="s">
        <v>40</v>
      </c>
      <c r="B335" s="20" t="s">
        <v>98</v>
      </c>
      <c r="C335" s="21" t="s">
        <v>97</v>
      </c>
      <c r="D335" s="20" t="s">
        <v>96</v>
      </c>
      <c r="E335" s="3">
        <v>50000000</v>
      </c>
      <c r="F335" s="19">
        <v>43976</v>
      </c>
      <c r="G335" s="3">
        <v>50000000</v>
      </c>
      <c r="H335" s="2">
        <v>5.0000000000000001E-3</v>
      </c>
      <c r="I335" s="19">
        <v>44136</v>
      </c>
      <c r="J335" s="19">
        <v>44165</v>
      </c>
      <c r="K335" s="3">
        <f t="shared" si="22"/>
        <v>30</v>
      </c>
      <c r="L335" s="3">
        <f t="shared" si="23"/>
        <v>20492</v>
      </c>
      <c r="M335" s="3">
        <v>50000000</v>
      </c>
    </row>
    <row r="336" spans="1:13" s="18" customFormat="1" outlineLevel="2">
      <c r="A336" s="19" t="s">
        <v>40</v>
      </c>
      <c r="B336" s="20" t="s">
        <v>122</v>
      </c>
      <c r="C336" s="21" t="s">
        <v>43</v>
      </c>
      <c r="D336" s="20" t="s">
        <v>44</v>
      </c>
      <c r="E336" s="3">
        <v>6657720</v>
      </c>
      <c r="F336" s="19">
        <v>43992</v>
      </c>
      <c r="G336" s="3">
        <v>6657720</v>
      </c>
      <c r="H336" s="2">
        <v>5.0000000000000001E-3</v>
      </c>
      <c r="I336" s="19">
        <v>44136</v>
      </c>
      <c r="J336" s="19">
        <v>44165</v>
      </c>
      <c r="K336" s="3">
        <f t="shared" si="22"/>
        <v>30</v>
      </c>
      <c r="L336" s="3">
        <f t="shared" si="23"/>
        <v>2729</v>
      </c>
      <c r="M336" s="3">
        <v>6657720</v>
      </c>
    </row>
    <row r="337" spans="1:13" s="18" customFormat="1" outlineLevel="2">
      <c r="A337" s="19" t="s">
        <v>40</v>
      </c>
      <c r="B337" s="20" t="s">
        <v>121</v>
      </c>
      <c r="C337" s="21" t="s">
        <v>43</v>
      </c>
      <c r="D337" s="20" t="s">
        <v>44</v>
      </c>
      <c r="E337" s="3">
        <v>6361320</v>
      </c>
      <c r="F337" s="19">
        <v>43992</v>
      </c>
      <c r="G337" s="3">
        <v>6361320</v>
      </c>
      <c r="H337" s="2">
        <v>5.0000000000000001E-3</v>
      </c>
      <c r="I337" s="19">
        <v>44136</v>
      </c>
      <c r="J337" s="19">
        <v>44165</v>
      </c>
      <c r="K337" s="3">
        <f t="shared" si="22"/>
        <v>30</v>
      </c>
      <c r="L337" s="3">
        <f t="shared" si="23"/>
        <v>2607</v>
      </c>
      <c r="M337" s="3">
        <v>6361320</v>
      </c>
    </row>
    <row r="338" spans="1:13" s="18" customFormat="1" outlineLevel="2">
      <c r="A338" s="19" t="s">
        <v>40</v>
      </c>
      <c r="B338" s="20" t="s">
        <v>120</v>
      </c>
      <c r="C338" s="21" t="s">
        <v>47</v>
      </c>
      <c r="D338" s="20" t="s">
        <v>42</v>
      </c>
      <c r="E338" s="3">
        <v>41200000</v>
      </c>
      <c r="F338" s="19">
        <v>43987</v>
      </c>
      <c r="G338" s="3">
        <v>41200000</v>
      </c>
      <c r="H338" s="2">
        <v>5.0000000000000001E-3</v>
      </c>
      <c r="I338" s="19">
        <v>44136</v>
      </c>
      <c r="J338" s="19">
        <v>44165</v>
      </c>
      <c r="K338" s="3">
        <f t="shared" si="22"/>
        <v>30</v>
      </c>
      <c r="L338" s="3">
        <f t="shared" si="23"/>
        <v>16885</v>
      </c>
      <c r="M338" s="3">
        <v>41200000</v>
      </c>
    </row>
    <row r="339" spans="1:13" s="18" customFormat="1" outlineLevel="2">
      <c r="A339" s="19" t="s">
        <v>40</v>
      </c>
      <c r="B339" s="20" t="s">
        <v>147</v>
      </c>
      <c r="C339" s="21" t="s">
        <v>43</v>
      </c>
      <c r="D339" s="20" t="s">
        <v>44</v>
      </c>
      <c r="E339" s="3">
        <v>6657720</v>
      </c>
      <c r="F339" s="19">
        <v>44020</v>
      </c>
      <c r="G339" s="3">
        <v>6657720</v>
      </c>
      <c r="H339" s="2">
        <v>5.0000000000000001E-3</v>
      </c>
      <c r="I339" s="19">
        <v>44136</v>
      </c>
      <c r="J339" s="19">
        <v>44165</v>
      </c>
      <c r="K339" s="3">
        <f t="shared" si="22"/>
        <v>30</v>
      </c>
      <c r="L339" s="3">
        <f t="shared" si="23"/>
        <v>2729</v>
      </c>
      <c r="M339" s="3">
        <v>6657720</v>
      </c>
    </row>
    <row r="340" spans="1:13" s="18" customFormat="1" outlineLevel="2">
      <c r="A340" s="19" t="s">
        <v>40</v>
      </c>
      <c r="B340" s="20" t="s">
        <v>146</v>
      </c>
      <c r="C340" s="21" t="s">
        <v>43</v>
      </c>
      <c r="D340" s="20" t="s">
        <v>44</v>
      </c>
      <c r="E340" s="3">
        <v>6657720</v>
      </c>
      <c r="F340" s="19">
        <v>44020</v>
      </c>
      <c r="G340" s="3">
        <v>6657720</v>
      </c>
      <c r="H340" s="2">
        <v>5.0000000000000001E-3</v>
      </c>
      <c r="I340" s="19">
        <v>44136</v>
      </c>
      <c r="J340" s="19">
        <v>44165</v>
      </c>
      <c r="K340" s="3">
        <f t="shared" si="22"/>
        <v>30</v>
      </c>
      <c r="L340" s="3">
        <f t="shared" si="23"/>
        <v>2729</v>
      </c>
      <c r="M340" s="3">
        <v>6657720</v>
      </c>
    </row>
    <row r="341" spans="1:13" s="18" customFormat="1" outlineLevel="2">
      <c r="A341" s="19" t="s">
        <v>40</v>
      </c>
      <c r="B341" s="20" t="s">
        <v>145</v>
      </c>
      <c r="C341" s="21" t="s">
        <v>47</v>
      </c>
      <c r="D341" s="20" t="s">
        <v>42</v>
      </c>
      <c r="E341" s="3">
        <v>11800000</v>
      </c>
      <c r="F341" s="19">
        <v>44015</v>
      </c>
      <c r="G341" s="3">
        <v>11800000</v>
      </c>
      <c r="H341" s="2">
        <v>5.0000000000000001E-3</v>
      </c>
      <c r="I341" s="19">
        <v>44136</v>
      </c>
      <c r="J341" s="19">
        <v>44165</v>
      </c>
      <c r="K341" s="3">
        <f t="shared" si="22"/>
        <v>30</v>
      </c>
      <c r="L341" s="3">
        <f t="shared" si="23"/>
        <v>4836</v>
      </c>
      <c r="M341" s="3">
        <v>11800000</v>
      </c>
    </row>
    <row r="342" spans="1:13" s="18" customFormat="1" outlineLevel="2">
      <c r="A342" s="19" t="s">
        <v>40</v>
      </c>
      <c r="B342" s="20" t="s">
        <v>144</v>
      </c>
      <c r="C342" s="21" t="s">
        <v>47</v>
      </c>
      <c r="D342" s="20" t="s">
        <v>42</v>
      </c>
      <c r="E342" s="3">
        <v>2600000</v>
      </c>
      <c r="F342" s="19">
        <v>44015</v>
      </c>
      <c r="G342" s="3">
        <v>2600000</v>
      </c>
      <c r="H342" s="2">
        <v>5.0000000000000001E-3</v>
      </c>
      <c r="I342" s="19">
        <v>44136</v>
      </c>
      <c r="J342" s="19">
        <v>44165</v>
      </c>
      <c r="K342" s="3">
        <f t="shared" si="22"/>
        <v>30</v>
      </c>
      <c r="L342" s="3">
        <f t="shared" si="23"/>
        <v>1066</v>
      </c>
      <c r="M342" s="3">
        <v>2600000</v>
      </c>
    </row>
    <row r="343" spans="1:13" s="18" customFormat="1" outlineLevel="2">
      <c r="A343" s="19" t="s">
        <v>40</v>
      </c>
      <c r="B343" s="20" t="s">
        <v>29</v>
      </c>
      <c r="C343" s="21" t="s">
        <v>45</v>
      </c>
      <c r="D343" s="20" t="s">
        <v>46</v>
      </c>
      <c r="E343" s="3">
        <v>220000000</v>
      </c>
      <c r="F343" s="19">
        <v>43815</v>
      </c>
      <c r="G343" s="3">
        <v>220000000</v>
      </c>
      <c r="H343" s="2">
        <v>5.0000000000000001E-3</v>
      </c>
      <c r="I343" s="19">
        <v>44136</v>
      </c>
      <c r="J343" s="19">
        <v>44165</v>
      </c>
      <c r="K343" s="3">
        <f t="shared" si="22"/>
        <v>30</v>
      </c>
      <c r="L343" s="3">
        <f t="shared" si="23"/>
        <v>90164</v>
      </c>
      <c r="M343" s="3">
        <v>220000000</v>
      </c>
    </row>
    <row r="344" spans="1:13" s="18" customFormat="1" outlineLevel="2">
      <c r="A344" s="19" t="s">
        <v>40</v>
      </c>
      <c r="B344" s="20" t="s">
        <v>143</v>
      </c>
      <c r="C344" s="21" t="s">
        <v>27</v>
      </c>
      <c r="D344" s="20" t="s">
        <v>28</v>
      </c>
      <c r="E344" s="3">
        <v>10400000</v>
      </c>
      <c r="F344" s="19">
        <v>44033</v>
      </c>
      <c r="G344" s="3">
        <v>10400000</v>
      </c>
      <c r="H344" s="2">
        <v>5.0000000000000001E-3</v>
      </c>
      <c r="I344" s="19">
        <v>44136</v>
      </c>
      <c r="J344" s="19">
        <v>44165</v>
      </c>
      <c r="K344" s="3">
        <f t="shared" si="22"/>
        <v>30</v>
      </c>
      <c r="L344" s="3">
        <f t="shared" si="23"/>
        <v>4262</v>
      </c>
      <c r="M344" s="3">
        <v>10400000</v>
      </c>
    </row>
    <row r="345" spans="1:13" s="18" customFormat="1" outlineLevel="2">
      <c r="A345" s="19" t="s">
        <v>40</v>
      </c>
      <c r="B345" s="20" t="s">
        <v>142</v>
      </c>
      <c r="C345" s="21" t="s">
        <v>141</v>
      </c>
      <c r="D345" s="20" t="s">
        <v>140</v>
      </c>
      <c r="E345" s="3">
        <v>28200000</v>
      </c>
      <c r="F345" s="19">
        <v>44027</v>
      </c>
      <c r="G345" s="3">
        <v>28200000</v>
      </c>
      <c r="H345" s="2">
        <v>5.0000000000000001E-3</v>
      </c>
      <c r="I345" s="19">
        <v>44136</v>
      </c>
      <c r="J345" s="19">
        <v>44165</v>
      </c>
      <c r="K345" s="3">
        <f t="shared" si="22"/>
        <v>30</v>
      </c>
      <c r="L345" s="3">
        <f t="shared" si="23"/>
        <v>11557</v>
      </c>
      <c r="M345" s="3">
        <v>28200000</v>
      </c>
    </row>
    <row r="346" spans="1:13" s="18" customFormat="1" outlineLevel="2">
      <c r="A346" s="19" t="s">
        <v>40</v>
      </c>
      <c r="B346" s="20" t="s">
        <v>152</v>
      </c>
      <c r="C346" s="21" t="s">
        <v>43</v>
      </c>
      <c r="D346" s="20" t="s">
        <v>44</v>
      </c>
      <c r="E346" s="3">
        <v>6657720</v>
      </c>
      <c r="F346" s="19">
        <v>44055</v>
      </c>
      <c r="G346" s="3">
        <v>6657720</v>
      </c>
      <c r="H346" s="2">
        <v>5.0000000000000001E-3</v>
      </c>
      <c r="I346" s="19">
        <v>44136</v>
      </c>
      <c r="J346" s="19">
        <v>44165</v>
      </c>
      <c r="K346" s="3">
        <f t="shared" si="22"/>
        <v>30</v>
      </c>
      <c r="L346" s="3">
        <f t="shared" si="23"/>
        <v>2729</v>
      </c>
      <c r="M346" s="3">
        <v>6657720</v>
      </c>
    </row>
    <row r="347" spans="1:13" s="18" customFormat="1" outlineLevel="2">
      <c r="A347" s="19" t="s">
        <v>40</v>
      </c>
      <c r="B347" s="20" t="s">
        <v>168</v>
      </c>
      <c r="C347" s="21" t="s">
        <v>43</v>
      </c>
      <c r="D347" s="20" t="s">
        <v>44</v>
      </c>
      <c r="E347" s="3">
        <v>6714720</v>
      </c>
      <c r="F347" s="19">
        <v>44055</v>
      </c>
      <c r="G347" s="3">
        <v>6714720</v>
      </c>
      <c r="H347" s="2">
        <v>5.0000000000000001E-3</v>
      </c>
      <c r="I347" s="19">
        <v>44136</v>
      </c>
      <c r="J347" s="19">
        <v>44165</v>
      </c>
      <c r="K347" s="3">
        <f t="shared" si="22"/>
        <v>30</v>
      </c>
      <c r="L347" s="3">
        <f t="shared" si="23"/>
        <v>2752</v>
      </c>
      <c r="M347" s="3">
        <v>6714720</v>
      </c>
    </row>
    <row r="348" spans="1:13" s="18" customFormat="1" outlineLevel="2">
      <c r="A348" s="19" t="s">
        <v>40</v>
      </c>
      <c r="B348" s="20" t="s">
        <v>167</v>
      </c>
      <c r="C348" s="21" t="s">
        <v>47</v>
      </c>
      <c r="D348" s="20" t="s">
        <v>42</v>
      </c>
      <c r="E348" s="3">
        <v>47630000</v>
      </c>
      <c r="F348" s="19">
        <v>44048</v>
      </c>
      <c r="G348" s="3">
        <v>47630000</v>
      </c>
      <c r="H348" s="2">
        <v>5.0000000000000001E-3</v>
      </c>
      <c r="I348" s="19">
        <v>44136</v>
      </c>
      <c r="J348" s="19">
        <v>44165</v>
      </c>
      <c r="K348" s="3">
        <f t="shared" si="22"/>
        <v>30</v>
      </c>
      <c r="L348" s="3">
        <f t="shared" si="23"/>
        <v>19520</v>
      </c>
      <c r="M348" s="3">
        <v>47630000</v>
      </c>
    </row>
    <row r="349" spans="1:13" s="18" customFormat="1" outlineLevel="2">
      <c r="A349" s="19" t="s">
        <v>40</v>
      </c>
      <c r="B349" s="20" t="s">
        <v>166</v>
      </c>
      <c r="C349" s="21" t="s">
        <v>47</v>
      </c>
      <c r="D349" s="20" t="s">
        <v>42</v>
      </c>
      <c r="E349" s="3">
        <v>1970000</v>
      </c>
      <c r="F349" s="19">
        <v>44048</v>
      </c>
      <c r="G349" s="3">
        <v>1970000</v>
      </c>
      <c r="H349" s="2">
        <v>5.0000000000000001E-3</v>
      </c>
      <c r="I349" s="19">
        <v>44136</v>
      </c>
      <c r="J349" s="19">
        <v>44165</v>
      </c>
      <c r="K349" s="3">
        <f t="shared" si="22"/>
        <v>30</v>
      </c>
      <c r="L349" s="3">
        <f t="shared" si="23"/>
        <v>807</v>
      </c>
      <c r="M349" s="3">
        <v>1970000</v>
      </c>
    </row>
    <row r="350" spans="1:13" s="18" customFormat="1" outlineLevel="2">
      <c r="A350" s="19" t="s">
        <v>40</v>
      </c>
      <c r="B350" s="20" t="s">
        <v>165</v>
      </c>
      <c r="C350" s="21" t="s">
        <v>164</v>
      </c>
      <c r="D350" s="20" t="s">
        <v>163</v>
      </c>
      <c r="E350" s="3">
        <v>27700000</v>
      </c>
      <c r="F350" s="19">
        <v>44071</v>
      </c>
      <c r="G350" s="3">
        <v>27700000</v>
      </c>
      <c r="H350" s="2">
        <v>5.0000000000000001E-3</v>
      </c>
      <c r="I350" s="19">
        <v>44136</v>
      </c>
      <c r="J350" s="19">
        <v>44165</v>
      </c>
      <c r="K350" s="3">
        <f t="shared" si="22"/>
        <v>30</v>
      </c>
      <c r="L350" s="3">
        <f t="shared" si="23"/>
        <v>11352</v>
      </c>
      <c r="M350" s="3">
        <v>27700000</v>
      </c>
    </row>
    <row r="351" spans="1:13" s="18" customFormat="1" outlineLevel="2">
      <c r="A351" s="19" t="s">
        <v>40</v>
      </c>
      <c r="B351" s="20" t="s">
        <v>180</v>
      </c>
      <c r="C351" s="21" t="s">
        <v>43</v>
      </c>
      <c r="D351" s="20" t="s">
        <v>44</v>
      </c>
      <c r="E351" s="3">
        <v>6714720</v>
      </c>
      <c r="F351" s="19">
        <v>44083</v>
      </c>
      <c r="G351" s="3">
        <v>6714720</v>
      </c>
      <c r="H351" s="2">
        <v>5.0000000000000001E-3</v>
      </c>
      <c r="I351" s="19">
        <v>44136</v>
      </c>
      <c r="J351" s="19">
        <v>44165</v>
      </c>
      <c r="K351" s="3">
        <f t="shared" si="22"/>
        <v>30</v>
      </c>
      <c r="L351" s="3">
        <f t="shared" si="23"/>
        <v>2752</v>
      </c>
      <c r="M351" s="3">
        <v>6714720</v>
      </c>
    </row>
    <row r="352" spans="1:13" s="18" customFormat="1" outlineLevel="2">
      <c r="A352" s="19" t="s">
        <v>40</v>
      </c>
      <c r="B352" s="20" t="s">
        <v>179</v>
      </c>
      <c r="C352" s="21" t="s">
        <v>43</v>
      </c>
      <c r="D352" s="20" t="s">
        <v>44</v>
      </c>
      <c r="E352" s="3">
        <v>5805960</v>
      </c>
      <c r="F352" s="19">
        <v>44083</v>
      </c>
      <c r="G352" s="3">
        <v>5805960</v>
      </c>
      <c r="H352" s="2">
        <v>5.0000000000000001E-3</v>
      </c>
      <c r="I352" s="19">
        <v>44136</v>
      </c>
      <c r="J352" s="19">
        <v>44165</v>
      </c>
      <c r="K352" s="3">
        <f t="shared" si="22"/>
        <v>30</v>
      </c>
      <c r="L352" s="3">
        <f t="shared" si="23"/>
        <v>2379</v>
      </c>
      <c r="M352" s="3">
        <v>5805960</v>
      </c>
    </row>
    <row r="353" spans="1:13" s="18" customFormat="1" outlineLevel="2">
      <c r="A353" s="19" t="s">
        <v>40</v>
      </c>
      <c r="B353" s="20" t="s">
        <v>178</v>
      </c>
      <c r="C353" s="21" t="s">
        <v>47</v>
      </c>
      <c r="D353" s="20" t="s">
        <v>42</v>
      </c>
      <c r="E353" s="3">
        <v>19100000</v>
      </c>
      <c r="F353" s="19">
        <v>44078</v>
      </c>
      <c r="G353" s="3">
        <v>19100000</v>
      </c>
      <c r="H353" s="2">
        <v>5.0000000000000001E-3</v>
      </c>
      <c r="I353" s="19">
        <v>44136</v>
      </c>
      <c r="J353" s="19">
        <v>44165</v>
      </c>
      <c r="K353" s="3">
        <f t="shared" ref="K353:K380" si="24">J353-I353+1</f>
        <v>30</v>
      </c>
      <c r="L353" s="3">
        <f t="shared" ref="L353:L380" si="25">ROUND(G353*H353*K353/366,0)</f>
        <v>7828</v>
      </c>
      <c r="M353" s="3">
        <v>19100000</v>
      </c>
    </row>
    <row r="354" spans="1:13" s="18" customFormat="1" outlineLevel="2">
      <c r="A354" s="19" t="s">
        <v>40</v>
      </c>
      <c r="B354" s="20" t="s">
        <v>30</v>
      </c>
      <c r="C354" s="21" t="s">
        <v>43</v>
      </c>
      <c r="D354" s="20" t="s">
        <v>44</v>
      </c>
      <c r="E354" s="3">
        <v>5452560</v>
      </c>
      <c r="F354" s="19">
        <v>43838</v>
      </c>
      <c r="G354" s="3">
        <v>5452560</v>
      </c>
      <c r="H354" s="2">
        <v>5.0000000000000001E-3</v>
      </c>
      <c r="I354" s="19">
        <v>44136</v>
      </c>
      <c r="J354" s="19">
        <v>44165</v>
      </c>
      <c r="K354" s="3">
        <f t="shared" si="24"/>
        <v>30</v>
      </c>
      <c r="L354" s="3">
        <f t="shared" si="25"/>
        <v>2235</v>
      </c>
      <c r="M354" s="3">
        <v>5452560</v>
      </c>
    </row>
    <row r="355" spans="1:13" s="18" customFormat="1" outlineLevel="2">
      <c r="A355" s="19" t="s">
        <v>40</v>
      </c>
      <c r="B355" s="20" t="s">
        <v>177</v>
      </c>
      <c r="C355" s="21" t="s">
        <v>97</v>
      </c>
      <c r="D355" s="20" t="s">
        <v>96</v>
      </c>
      <c r="E355" s="3">
        <v>31000000</v>
      </c>
      <c r="F355" s="19">
        <v>44102</v>
      </c>
      <c r="G355" s="3">
        <v>31000000</v>
      </c>
      <c r="H355" s="2">
        <v>5.0000000000000001E-3</v>
      </c>
      <c r="I355" s="19">
        <v>44136</v>
      </c>
      <c r="J355" s="19">
        <v>44165</v>
      </c>
      <c r="K355" s="3">
        <f t="shared" si="24"/>
        <v>30</v>
      </c>
      <c r="L355" s="3">
        <f t="shared" si="25"/>
        <v>12705</v>
      </c>
      <c r="M355" s="3">
        <v>31000000</v>
      </c>
    </row>
    <row r="356" spans="1:13" s="18" customFormat="1" outlineLevel="2">
      <c r="A356" s="19" t="s">
        <v>40</v>
      </c>
      <c r="B356" s="20" t="s">
        <v>176</v>
      </c>
      <c r="C356" s="21" t="s">
        <v>27</v>
      </c>
      <c r="D356" s="20" t="s">
        <v>28</v>
      </c>
      <c r="E356" s="3">
        <v>10700000</v>
      </c>
      <c r="F356" s="19">
        <v>44104</v>
      </c>
      <c r="G356" s="3">
        <v>10700000</v>
      </c>
      <c r="H356" s="2">
        <v>5.0000000000000001E-3</v>
      </c>
      <c r="I356" s="19">
        <v>44136</v>
      </c>
      <c r="J356" s="19">
        <v>44165</v>
      </c>
      <c r="K356" s="3">
        <f t="shared" si="24"/>
        <v>30</v>
      </c>
      <c r="L356" s="3">
        <f t="shared" si="25"/>
        <v>4385</v>
      </c>
      <c r="M356" s="3">
        <v>10700000</v>
      </c>
    </row>
    <row r="357" spans="1:13" s="18" customFormat="1" outlineLevel="2">
      <c r="A357" s="19" t="s">
        <v>40</v>
      </c>
      <c r="B357" s="20" t="s">
        <v>173</v>
      </c>
      <c r="C357" s="21" t="s">
        <v>187</v>
      </c>
      <c r="D357" s="20" t="s">
        <v>186</v>
      </c>
      <c r="E357" s="3">
        <v>1000000000</v>
      </c>
      <c r="F357" s="19">
        <v>44102</v>
      </c>
      <c r="G357" s="3">
        <v>1000000000</v>
      </c>
      <c r="H357" s="2">
        <v>5.0000000000000001E-3</v>
      </c>
      <c r="I357" s="19">
        <v>44136</v>
      </c>
      <c r="J357" s="19">
        <v>44165</v>
      </c>
      <c r="K357" s="3">
        <f t="shared" si="24"/>
        <v>30</v>
      </c>
      <c r="L357" s="3">
        <f t="shared" si="25"/>
        <v>409836</v>
      </c>
      <c r="M357" s="3">
        <v>1000000000</v>
      </c>
    </row>
    <row r="358" spans="1:13" s="18" customFormat="1" outlineLevel="2">
      <c r="A358" s="19" t="s">
        <v>40</v>
      </c>
      <c r="B358" s="20" t="s">
        <v>172</v>
      </c>
      <c r="C358" s="21" t="s">
        <v>43</v>
      </c>
      <c r="D358" s="20" t="s">
        <v>44</v>
      </c>
      <c r="E358" s="3">
        <v>5805960</v>
      </c>
      <c r="F358" s="19">
        <v>44111</v>
      </c>
      <c r="G358" s="3">
        <v>5805960</v>
      </c>
      <c r="H358" s="2">
        <v>5.0000000000000001E-3</v>
      </c>
      <c r="I358" s="19">
        <v>44136</v>
      </c>
      <c r="J358" s="19">
        <v>44165</v>
      </c>
      <c r="K358" s="3">
        <f t="shared" si="24"/>
        <v>30</v>
      </c>
      <c r="L358" s="3">
        <f t="shared" si="25"/>
        <v>2379</v>
      </c>
      <c r="M358" s="3">
        <v>5805960</v>
      </c>
    </row>
    <row r="359" spans="1:13" s="18" customFormat="1" outlineLevel="2">
      <c r="A359" s="19" t="s">
        <v>40</v>
      </c>
      <c r="B359" s="20" t="s">
        <v>171</v>
      </c>
      <c r="C359" s="21" t="s">
        <v>43</v>
      </c>
      <c r="D359" s="20" t="s">
        <v>44</v>
      </c>
      <c r="E359" s="3">
        <v>5805960</v>
      </c>
      <c r="F359" s="19">
        <v>44111</v>
      </c>
      <c r="G359" s="3">
        <v>5805960</v>
      </c>
      <c r="H359" s="2">
        <v>5.0000000000000001E-3</v>
      </c>
      <c r="I359" s="19">
        <v>44136</v>
      </c>
      <c r="J359" s="19">
        <v>44165</v>
      </c>
      <c r="K359" s="3">
        <f t="shared" si="24"/>
        <v>30</v>
      </c>
      <c r="L359" s="3">
        <f t="shared" si="25"/>
        <v>2379</v>
      </c>
      <c r="M359" s="3">
        <v>5805960</v>
      </c>
    </row>
    <row r="360" spans="1:13" s="18" customFormat="1" outlineLevel="2">
      <c r="A360" s="19" t="s">
        <v>40</v>
      </c>
      <c r="B360" s="20" t="s">
        <v>201</v>
      </c>
      <c r="C360" s="21" t="s">
        <v>47</v>
      </c>
      <c r="D360" s="20" t="s">
        <v>42</v>
      </c>
      <c r="E360" s="3">
        <v>18400000</v>
      </c>
      <c r="F360" s="19">
        <v>44109</v>
      </c>
      <c r="G360" s="3">
        <v>18400000</v>
      </c>
      <c r="H360" s="2">
        <v>5.0000000000000001E-3</v>
      </c>
      <c r="I360" s="19">
        <v>44136</v>
      </c>
      <c r="J360" s="19">
        <v>44165</v>
      </c>
      <c r="K360" s="3">
        <f t="shared" si="24"/>
        <v>30</v>
      </c>
      <c r="L360" s="3">
        <f t="shared" si="25"/>
        <v>7541</v>
      </c>
      <c r="M360" s="3">
        <v>18400000</v>
      </c>
    </row>
    <row r="361" spans="1:13" s="18" customFormat="1" outlineLevel="2">
      <c r="A361" s="19" t="s">
        <v>40</v>
      </c>
      <c r="B361" s="20" t="s">
        <v>200</v>
      </c>
      <c r="C361" s="21" t="s">
        <v>47</v>
      </c>
      <c r="D361" s="20" t="s">
        <v>42</v>
      </c>
      <c r="E361" s="3">
        <v>1500000</v>
      </c>
      <c r="F361" s="19">
        <v>44109</v>
      </c>
      <c r="G361" s="3">
        <v>1500000</v>
      </c>
      <c r="H361" s="2">
        <v>5.0000000000000001E-3</v>
      </c>
      <c r="I361" s="19">
        <v>44136</v>
      </c>
      <c r="J361" s="19">
        <v>44165</v>
      </c>
      <c r="K361" s="3">
        <f t="shared" si="24"/>
        <v>30</v>
      </c>
      <c r="L361" s="3">
        <f t="shared" si="25"/>
        <v>615</v>
      </c>
      <c r="M361" s="3">
        <v>1500000</v>
      </c>
    </row>
    <row r="362" spans="1:13" s="18" customFormat="1" outlineLevel="2">
      <c r="A362" s="19" t="s">
        <v>40</v>
      </c>
      <c r="B362" s="20" t="s">
        <v>199</v>
      </c>
      <c r="C362" s="21" t="s">
        <v>115</v>
      </c>
      <c r="D362" s="20" t="s">
        <v>114</v>
      </c>
      <c r="E362" s="3">
        <v>3480000</v>
      </c>
      <c r="F362" s="19">
        <v>44125</v>
      </c>
      <c r="G362" s="3">
        <v>3480000</v>
      </c>
      <c r="H362" s="2">
        <v>5.0000000000000001E-3</v>
      </c>
      <c r="I362" s="19">
        <v>44136</v>
      </c>
      <c r="J362" s="19">
        <v>44165</v>
      </c>
      <c r="K362" s="3">
        <f t="shared" si="24"/>
        <v>30</v>
      </c>
      <c r="L362" s="3">
        <f t="shared" si="25"/>
        <v>1426</v>
      </c>
      <c r="M362" s="3">
        <v>3480000</v>
      </c>
    </row>
    <row r="363" spans="1:13" s="18" customFormat="1" outlineLevel="2">
      <c r="A363" s="19" t="s">
        <v>40</v>
      </c>
      <c r="B363" s="20" t="s">
        <v>198</v>
      </c>
      <c r="C363" s="21" t="s">
        <v>82</v>
      </c>
      <c r="D363" s="20" t="s">
        <v>81</v>
      </c>
      <c r="E363" s="3">
        <v>32000000</v>
      </c>
      <c r="F363" s="19">
        <v>44133</v>
      </c>
      <c r="G363" s="3">
        <v>32000000</v>
      </c>
      <c r="H363" s="2">
        <v>5.0000000000000001E-3</v>
      </c>
      <c r="I363" s="19">
        <v>44136</v>
      </c>
      <c r="J363" s="19">
        <v>44165</v>
      </c>
      <c r="K363" s="3">
        <f t="shared" si="24"/>
        <v>30</v>
      </c>
      <c r="L363" s="3">
        <f t="shared" si="25"/>
        <v>13115</v>
      </c>
      <c r="M363" s="3">
        <v>32000000</v>
      </c>
    </row>
    <row r="364" spans="1:13" s="18" customFormat="1" outlineLevel="2">
      <c r="A364" s="19" t="s">
        <v>40</v>
      </c>
      <c r="B364" s="20" t="s">
        <v>197</v>
      </c>
      <c r="C364" s="21" t="s">
        <v>43</v>
      </c>
      <c r="D364" s="20" t="s">
        <v>44</v>
      </c>
      <c r="E364" s="3">
        <v>5805960</v>
      </c>
      <c r="F364" s="19">
        <v>44146</v>
      </c>
      <c r="G364" s="3">
        <v>5805960</v>
      </c>
      <c r="H364" s="2">
        <v>5.0000000000000001E-3</v>
      </c>
      <c r="I364" s="19">
        <v>44146</v>
      </c>
      <c r="J364" s="19">
        <v>44165</v>
      </c>
      <c r="K364" s="3">
        <f t="shared" si="24"/>
        <v>20</v>
      </c>
      <c r="L364" s="3">
        <f t="shared" si="25"/>
        <v>1586</v>
      </c>
      <c r="M364" s="3">
        <v>5805960</v>
      </c>
    </row>
    <row r="365" spans="1:13" s="18" customFormat="1" outlineLevel="2">
      <c r="A365" s="19" t="s">
        <v>40</v>
      </c>
      <c r="B365" s="20" t="s">
        <v>31</v>
      </c>
      <c r="C365" s="21" t="s">
        <v>43</v>
      </c>
      <c r="D365" s="20" t="s">
        <v>44</v>
      </c>
      <c r="E365" s="3">
        <v>5452560</v>
      </c>
      <c r="F365" s="19">
        <v>43838</v>
      </c>
      <c r="G365" s="3">
        <v>5452560</v>
      </c>
      <c r="H365" s="2">
        <v>5.0000000000000001E-3</v>
      </c>
      <c r="I365" s="19">
        <v>44136</v>
      </c>
      <c r="J365" s="19">
        <v>44165</v>
      </c>
      <c r="K365" s="3">
        <f t="shared" si="24"/>
        <v>30</v>
      </c>
      <c r="L365" s="3">
        <f t="shared" si="25"/>
        <v>2235</v>
      </c>
      <c r="M365" s="3">
        <v>5452560</v>
      </c>
    </row>
    <row r="366" spans="1:13" s="18" customFormat="1" outlineLevel="2">
      <c r="A366" s="19" t="s">
        <v>40</v>
      </c>
      <c r="B366" s="20" t="s">
        <v>196</v>
      </c>
      <c r="C366" s="21" t="s">
        <v>43</v>
      </c>
      <c r="D366" s="20" t="s">
        <v>44</v>
      </c>
      <c r="E366" s="3">
        <v>14338200</v>
      </c>
      <c r="F366" s="19">
        <v>44146</v>
      </c>
      <c r="G366" s="3">
        <v>14338200</v>
      </c>
      <c r="H366" s="2">
        <v>5.0000000000000001E-3</v>
      </c>
      <c r="I366" s="19">
        <v>44146</v>
      </c>
      <c r="J366" s="19">
        <v>44165</v>
      </c>
      <c r="K366" s="3">
        <f t="shared" si="24"/>
        <v>20</v>
      </c>
      <c r="L366" s="3">
        <f t="shared" si="25"/>
        <v>3918</v>
      </c>
      <c r="M366" s="3">
        <v>14338200</v>
      </c>
    </row>
    <row r="367" spans="1:13" s="18" customFormat="1" outlineLevel="2">
      <c r="A367" s="19" t="s">
        <v>40</v>
      </c>
      <c r="B367" s="20" t="s">
        <v>195</v>
      </c>
      <c r="C367" s="21" t="s">
        <v>47</v>
      </c>
      <c r="D367" s="20" t="s">
        <v>42</v>
      </c>
      <c r="E367" s="3">
        <v>31500000</v>
      </c>
      <c r="F367" s="19">
        <v>44140</v>
      </c>
      <c r="G367" s="3">
        <v>31500000</v>
      </c>
      <c r="H367" s="2">
        <v>5.0000000000000001E-3</v>
      </c>
      <c r="I367" s="19">
        <v>44140</v>
      </c>
      <c r="J367" s="19">
        <v>44165</v>
      </c>
      <c r="K367" s="3">
        <f t="shared" si="24"/>
        <v>26</v>
      </c>
      <c r="L367" s="3">
        <f t="shared" si="25"/>
        <v>11189</v>
      </c>
      <c r="M367" s="3">
        <v>31500000</v>
      </c>
    </row>
    <row r="368" spans="1:13" s="18" customFormat="1" outlineLevel="2">
      <c r="A368" s="19" t="s">
        <v>40</v>
      </c>
      <c r="B368" s="20" t="s">
        <v>194</v>
      </c>
      <c r="C368" s="21" t="s">
        <v>115</v>
      </c>
      <c r="D368" s="20" t="s">
        <v>114</v>
      </c>
      <c r="E368" s="3">
        <v>2500000</v>
      </c>
      <c r="F368" s="19">
        <v>44146</v>
      </c>
      <c r="G368" s="3">
        <v>2500000</v>
      </c>
      <c r="H368" s="2">
        <v>5.0000000000000001E-3</v>
      </c>
      <c r="I368" s="19">
        <v>44146</v>
      </c>
      <c r="J368" s="19">
        <v>44165</v>
      </c>
      <c r="K368" s="3">
        <f t="shared" si="24"/>
        <v>20</v>
      </c>
      <c r="L368" s="3">
        <f t="shared" si="25"/>
        <v>683</v>
      </c>
      <c r="M368" s="3">
        <v>2500000</v>
      </c>
    </row>
    <row r="369" spans="1:13" s="18" customFormat="1" outlineLevel="2">
      <c r="A369" s="19" t="s">
        <v>40</v>
      </c>
      <c r="B369" s="20" t="s">
        <v>193</v>
      </c>
      <c r="C369" s="21" t="s">
        <v>82</v>
      </c>
      <c r="D369" s="20" t="s">
        <v>81</v>
      </c>
      <c r="E369" s="3">
        <v>30000000</v>
      </c>
      <c r="F369" s="19">
        <v>44140</v>
      </c>
      <c r="G369" s="3">
        <v>30000000</v>
      </c>
      <c r="H369" s="2">
        <v>5.0000000000000001E-3</v>
      </c>
      <c r="I369" s="19">
        <v>44140</v>
      </c>
      <c r="J369" s="19">
        <v>44165</v>
      </c>
      <c r="K369" s="3">
        <f t="shared" si="24"/>
        <v>26</v>
      </c>
      <c r="L369" s="3">
        <f t="shared" si="25"/>
        <v>10656</v>
      </c>
      <c r="M369" s="3">
        <v>30000000</v>
      </c>
    </row>
    <row r="370" spans="1:13" s="18" customFormat="1" outlineLevel="2">
      <c r="A370" s="19" t="s">
        <v>40</v>
      </c>
      <c r="B370" s="20" t="s">
        <v>191</v>
      </c>
      <c r="C370" s="21" t="s">
        <v>227</v>
      </c>
      <c r="D370" s="20" t="s">
        <v>226</v>
      </c>
      <c r="E370" s="3">
        <v>6100000</v>
      </c>
      <c r="F370" s="19">
        <v>44138</v>
      </c>
      <c r="G370" s="3">
        <v>6100000</v>
      </c>
      <c r="H370" s="2">
        <v>5.0000000000000001E-3</v>
      </c>
      <c r="I370" s="19">
        <v>44138</v>
      </c>
      <c r="J370" s="19">
        <v>44165</v>
      </c>
      <c r="K370" s="3">
        <f t="shared" si="24"/>
        <v>28</v>
      </c>
      <c r="L370" s="3">
        <f t="shared" si="25"/>
        <v>2333</v>
      </c>
      <c r="M370" s="3">
        <v>6100000</v>
      </c>
    </row>
    <row r="371" spans="1:13" s="18" customFormat="1" outlineLevel="2">
      <c r="A371" s="19" t="s">
        <v>40</v>
      </c>
      <c r="B371" s="20" t="s">
        <v>223</v>
      </c>
      <c r="C371" s="21" t="s">
        <v>45</v>
      </c>
      <c r="D371" s="20" t="s">
        <v>46</v>
      </c>
      <c r="E371" s="3">
        <v>82036355</v>
      </c>
      <c r="F371" s="19">
        <v>44137</v>
      </c>
      <c r="G371" s="3">
        <v>82036355</v>
      </c>
      <c r="H371" s="2">
        <v>5.0000000000000001E-3</v>
      </c>
      <c r="I371" s="19">
        <v>44137</v>
      </c>
      <c r="J371" s="19">
        <v>44165</v>
      </c>
      <c r="K371" s="3">
        <f t="shared" si="24"/>
        <v>29</v>
      </c>
      <c r="L371" s="3">
        <f t="shared" si="25"/>
        <v>32501</v>
      </c>
      <c r="M371" s="3">
        <v>82036355</v>
      </c>
    </row>
    <row r="372" spans="1:13" s="18" customFormat="1" outlineLevel="2">
      <c r="A372" s="19" t="s">
        <v>40</v>
      </c>
      <c r="B372" s="20" t="s">
        <v>222</v>
      </c>
      <c r="C372" s="21" t="s">
        <v>187</v>
      </c>
      <c r="D372" s="20" t="s">
        <v>186</v>
      </c>
      <c r="E372" s="3">
        <v>1000000000</v>
      </c>
      <c r="F372" s="19">
        <v>44162</v>
      </c>
      <c r="G372" s="3">
        <v>1000000000</v>
      </c>
      <c r="H372" s="2">
        <v>5.0000000000000001E-3</v>
      </c>
      <c r="I372" s="19">
        <v>44162</v>
      </c>
      <c r="J372" s="19">
        <v>44165</v>
      </c>
      <c r="K372" s="3">
        <f t="shared" si="24"/>
        <v>4</v>
      </c>
      <c r="L372" s="3">
        <f t="shared" si="25"/>
        <v>54645</v>
      </c>
      <c r="M372" s="3">
        <v>1000000000</v>
      </c>
    </row>
    <row r="373" spans="1:13" s="18" customFormat="1" outlineLevel="2">
      <c r="A373" s="19" t="s">
        <v>40</v>
      </c>
      <c r="B373" s="20" t="s">
        <v>221</v>
      </c>
      <c r="C373" s="21" t="s">
        <v>229</v>
      </c>
      <c r="D373" s="20" t="s">
        <v>228</v>
      </c>
      <c r="E373" s="3">
        <v>47490000</v>
      </c>
      <c r="F373" s="19">
        <v>44137</v>
      </c>
      <c r="G373" s="3">
        <v>47490000</v>
      </c>
      <c r="H373" s="2">
        <v>5.0000000000000001E-3</v>
      </c>
      <c r="I373" s="19">
        <v>44137</v>
      </c>
      <c r="J373" s="19">
        <v>44165</v>
      </c>
      <c r="K373" s="3">
        <f t="shared" si="24"/>
        <v>29</v>
      </c>
      <c r="L373" s="3">
        <f t="shared" si="25"/>
        <v>18814</v>
      </c>
      <c r="M373" s="3">
        <v>47490000</v>
      </c>
    </row>
    <row r="374" spans="1:13" s="18" customFormat="1" outlineLevel="2">
      <c r="A374" s="19" t="s">
        <v>40</v>
      </c>
      <c r="B374" s="20" t="s">
        <v>220</v>
      </c>
      <c r="C374" s="21" t="s">
        <v>27</v>
      </c>
      <c r="D374" s="20" t="s">
        <v>28</v>
      </c>
      <c r="E374" s="3">
        <v>5300000</v>
      </c>
      <c r="F374" s="19">
        <v>44145</v>
      </c>
      <c r="G374" s="3">
        <v>5300000</v>
      </c>
      <c r="H374" s="2">
        <v>5.0000000000000001E-3</v>
      </c>
      <c r="I374" s="19">
        <v>44145</v>
      </c>
      <c r="J374" s="19">
        <v>44165</v>
      </c>
      <c r="K374" s="3">
        <f t="shared" si="24"/>
        <v>21</v>
      </c>
      <c r="L374" s="3">
        <f t="shared" si="25"/>
        <v>1520</v>
      </c>
      <c r="M374" s="3">
        <v>5300000</v>
      </c>
    </row>
    <row r="375" spans="1:13" s="18" customFormat="1" outlineLevel="2">
      <c r="A375" s="19" t="s">
        <v>40</v>
      </c>
      <c r="B375" s="20" t="s">
        <v>219</v>
      </c>
      <c r="C375" s="21" t="s">
        <v>27</v>
      </c>
      <c r="D375" s="20" t="s">
        <v>28</v>
      </c>
      <c r="E375" s="3">
        <v>4130000</v>
      </c>
      <c r="F375" s="19">
        <v>44151</v>
      </c>
      <c r="G375" s="3">
        <v>4130000</v>
      </c>
      <c r="H375" s="2">
        <v>5.0000000000000001E-3</v>
      </c>
      <c r="I375" s="19">
        <v>44151</v>
      </c>
      <c r="J375" s="19">
        <v>44165</v>
      </c>
      <c r="K375" s="3">
        <f t="shared" si="24"/>
        <v>15</v>
      </c>
      <c r="L375" s="3">
        <f t="shared" si="25"/>
        <v>846</v>
      </c>
      <c r="M375" s="3">
        <v>4130000</v>
      </c>
    </row>
    <row r="376" spans="1:13" s="18" customFormat="1" outlineLevel="2">
      <c r="A376" s="19" t="s">
        <v>40</v>
      </c>
      <c r="B376" s="20" t="s">
        <v>32</v>
      </c>
      <c r="C376" s="21" t="s">
        <v>47</v>
      </c>
      <c r="D376" s="20" t="s">
        <v>42</v>
      </c>
      <c r="E376" s="3">
        <v>55600000</v>
      </c>
      <c r="F376" s="19">
        <v>43833</v>
      </c>
      <c r="G376" s="3">
        <v>55600000</v>
      </c>
      <c r="H376" s="2">
        <v>5.0000000000000001E-3</v>
      </c>
      <c r="I376" s="19">
        <v>44136</v>
      </c>
      <c r="J376" s="19">
        <v>44165</v>
      </c>
      <c r="K376" s="3">
        <f t="shared" si="24"/>
        <v>30</v>
      </c>
      <c r="L376" s="3">
        <f t="shared" si="25"/>
        <v>22787</v>
      </c>
      <c r="M376" s="3">
        <v>55600000</v>
      </c>
    </row>
    <row r="377" spans="1:13" s="18" customFormat="1" outlineLevel="2">
      <c r="A377" s="19" t="s">
        <v>40</v>
      </c>
      <c r="B377" s="20" t="s">
        <v>218</v>
      </c>
      <c r="C377" s="21" t="s">
        <v>27</v>
      </c>
      <c r="D377" s="20" t="s">
        <v>28</v>
      </c>
      <c r="E377" s="3">
        <v>6450000</v>
      </c>
      <c r="F377" s="19">
        <v>44165</v>
      </c>
      <c r="G377" s="3">
        <v>6450000</v>
      </c>
      <c r="H377" s="2">
        <v>5.0000000000000001E-3</v>
      </c>
      <c r="I377" s="19">
        <v>44165</v>
      </c>
      <c r="J377" s="19">
        <v>44165</v>
      </c>
      <c r="K377" s="3">
        <f t="shared" si="24"/>
        <v>1</v>
      </c>
      <c r="L377" s="3">
        <f t="shared" si="25"/>
        <v>88</v>
      </c>
      <c r="M377" s="3">
        <v>6450000</v>
      </c>
    </row>
    <row r="378" spans="1:13" s="18" customFormat="1" outlineLevel="2">
      <c r="A378" s="19" t="s">
        <v>40</v>
      </c>
      <c r="B378" s="20" t="s">
        <v>48</v>
      </c>
      <c r="C378" s="21" t="s">
        <v>47</v>
      </c>
      <c r="D378" s="20" t="s">
        <v>42</v>
      </c>
      <c r="E378" s="3">
        <v>28400000</v>
      </c>
      <c r="F378" s="19">
        <v>43833</v>
      </c>
      <c r="G378" s="3">
        <v>28400000</v>
      </c>
      <c r="H378" s="2">
        <v>5.0000000000000001E-3</v>
      </c>
      <c r="I378" s="19">
        <v>44136</v>
      </c>
      <c r="J378" s="19">
        <v>44165</v>
      </c>
      <c r="K378" s="3">
        <f t="shared" si="24"/>
        <v>30</v>
      </c>
      <c r="L378" s="3">
        <f t="shared" si="25"/>
        <v>11639</v>
      </c>
      <c r="M378" s="3">
        <v>28400000</v>
      </c>
    </row>
    <row r="379" spans="1:13" s="18" customFormat="1" outlineLevel="2">
      <c r="A379" s="19" t="s">
        <v>40</v>
      </c>
      <c r="B379" s="20" t="s">
        <v>59</v>
      </c>
      <c r="C379" s="21" t="s">
        <v>43</v>
      </c>
      <c r="D379" s="20" t="s">
        <v>44</v>
      </c>
      <c r="E379" s="3">
        <v>5452560</v>
      </c>
      <c r="F379" s="19">
        <v>43873</v>
      </c>
      <c r="G379" s="3">
        <v>5452560</v>
      </c>
      <c r="H379" s="2">
        <v>5.0000000000000001E-3</v>
      </c>
      <c r="I379" s="19">
        <v>44136</v>
      </c>
      <c r="J379" s="19">
        <v>44165</v>
      </c>
      <c r="K379" s="3">
        <f t="shared" si="24"/>
        <v>30</v>
      </c>
      <c r="L379" s="3">
        <f t="shared" si="25"/>
        <v>2235</v>
      </c>
      <c r="M379" s="3">
        <v>5452560</v>
      </c>
    </row>
    <row r="380" spans="1:13" s="18" customFormat="1" outlineLevel="2">
      <c r="A380" s="19" t="s">
        <v>40</v>
      </c>
      <c r="B380" s="20" t="s">
        <v>58</v>
      </c>
      <c r="C380" s="21" t="s">
        <v>43</v>
      </c>
      <c r="D380" s="20" t="s">
        <v>44</v>
      </c>
      <c r="E380" s="3">
        <v>7270080</v>
      </c>
      <c r="F380" s="19">
        <v>43873</v>
      </c>
      <c r="G380" s="3">
        <v>7270080</v>
      </c>
      <c r="H380" s="2">
        <v>5.0000000000000001E-3</v>
      </c>
      <c r="I380" s="19">
        <v>44136</v>
      </c>
      <c r="J380" s="19">
        <v>44165</v>
      </c>
      <c r="K380" s="3">
        <f t="shared" si="24"/>
        <v>30</v>
      </c>
      <c r="L380" s="3">
        <f t="shared" si="25"/>
        <v>2980</v>
      </c>
      <c r="M380" s="3">
        <v>7270080</v>
      </c>
    </row>
    <row r="381" spans="1:13" s="18" customFormat="1" ht="13.5" outlineLevel="1">
      <c r="A381" s="22" t="s">
        <v>49</v>
      </c>
      <c r="B381" s="23"/>
      <c r="C381" s="24"/>
      <c r="D381" s="23"/>
      <c r="E381" s="25">
        <f>SUBTOTAL(9,E321:E380)</f>
        <v>3434340272</v>
      </c>
      <c r="F381" s="26"/>
      <c r="G381" s="25"/>
      <c r="H381" s="27"/>
      <c r="I381" s="26"/>
      <c r="J381" s="26"/>
      <c r="K381" s="25"/>
      <c r="L381" s="25">
        <f>SUBTOTAL(9,L321:L380)</f>
        <v>1039882</v>
      </c>
      <c r="M381" s="25">
        <f>SUBTOTAL(9,M321:M380)</f>
        <v>3434340272</v>
      </c>
    </row>
    <row r="382" spans="1:13" s="18" customFormat="1" outlineLevel="2">
      <c r="A382" s="19" t="s">
        <v>119</v>
      </c>
      <c r="B382" s="20" t="s">
        <v>16</v>
      </c>
      <c r="C382" s="21" t="s">
        <v>97</v>
      </c>
      <c r="D382" s="20" t="s">
        <v>96</v>
      </c>
      <c r="E382" s="3">
        <v>20000000</v>
      </c>
      <c r="F382" s="19">
        <v>43985</v>
      </c>
      <c r="G382" s="3">
        <v>20000000</v>
      </c>
      <c r="H382" s="2">
        <v>5.0000000000000001E-3</v>
      </c>
      <c r="I382" s="19">
        <v>44136</v>
      </c>
      <c r="J382" s="19">
        <v>44165</v>
      </c>
      <c r="K382" s="3">
        <f>J382-I382+1</f>
        <v>30</v>
      </c>
      <c r="L382" s="3">
        <f>ROUND(G382*H382*K382/366,0)</f>
        <v>8197</v>
      </c>
      <c r="M382" s="3">
        <v>20000000</v>
      </c>
    </row>
    <row r="383" spans="1:13" s="18" customFormat="1" outlineLevel="2">
      <c r="A383" s="19" t="s">
        <v>119</v>
      </c>
      <c r="B383" s="20" t="s">
        <v>23</v>
      </c>
      <c r="C383" s="21" t="s">
        <v>97</v>
      </c>
      <c r="D383" s="20" t="s">
        <v>96</v>
      </c>
      <c r="E383" s="3">
        <v>13800000</v>
      </c>
      <c r="F383" s="19">
        <v>44034</v>
      </c>
      <c r="G383" s="3">
        <v>13800000</v>
      </c>
      <c r="H383" s="2">
        <v>5.0000000000000001E-3</v>
      </c>
      <c r="I383" s="19">
        <v>44136</v>
      </c>
      <c r="J383" s="19">
        <v>44165</v>
      </c>
      <c r="K383" s="3">
        <f>J383-I383+1</f>
        <v>30</v>
      </c>
      <c r="L383" s="3">
        <f>ROUND(G383*H383*K383/366,0)</f>
        <v>5656</v>
      </c>
      <c r="M383" s="3">
        <v>13800000</v>
      </c>
    </row>
    <row r="384" spans="1:13" s="18" customFormat="1" outlineLevel="2">
      <c r="A384" s="19" t="s">
        <v>119</v>
      </c>
      <c r="B384" s="20" t="s">
        <v>29</v>
      </c>
      <c r="C384" s="21" t="s">
        <v>97</v>
      </c>
      <c r="D384" s="20" t="s">
        <v>96</v>
      </c>
      <c r="E384" s="3">
        <v>25000000</v>
      </c>
      <c r="F384" s="19">
        <v>44102</v>
      </c>
      <c r="G384" s="3">
        <v>25000000</v>
      </c>
      <c r="H384" s="2">
        <v>5.0000000000000001E-3</v>
      </c>
      <c r="I384" s="19">
        <v>44136</v>
      </c>
      <c r="J384" s="19">
        <v>44165</v>
      </c>
      <c r="K384" s="3">
        <f>J384-I384+1</f>
        <v>30</v>
      </c>
      <c r="L384" s="3">
        <f>ROUND(G384*H384*K384/366,0)</f>
        <v>10246</v>
      </c>
      <c r="M384" s="3">
        <v>25000000</v>
      </c>
    </row>
    <row r="385" spans="1:13" s="18" customFormat="1" outlineLevel="2">
      <c r="A385" s="19" t="s">
        <v>119</v>
      </c>
      <c r="B385" s="20" t="s">
        <v>30</v>
      </c>
      <c r="C385" s="21" t="s">
        <v>97</v>
      </c>
      <c r="D385" s="20" t="s">
        <v>96</v>
      </c>
      <c r="E385" s="3">
        <v>5600000</v>
      </c>
      <c r="F385" s="19">
        <v>44103</v>
      </c>
      <c r="G385" s="3">
        <v>5600000</v>
      </c>
      <c r="H385" s="2">
        <v>5.0000000000000001E-3</v>
      </c>
      <c r="I385" s="19">
        <v>44136</v>
      </c>
      <c r="J385" s="19">
        <v>44165</v>
      </c>
      <c r="K385" s="3">
        <f>J385-I385+1</f>
        <v>30</v>
      </c>
      <c r="L385" s="3">
        <f>ROUND(G385*H385*K385/366,0)</f>
        <v>2295</v>
      </c>
      <c r="M385" s="3">
        <v>5600000</v>
      </c>
    </row>
    <row r="386" spans="1:13" s="18" customFormat="1" ht="13.5" outlineLevel="1">
      <c r="A386" s="22" t="s">
        <v>118</v>
      </c>
      <c r="B386" s="23"/>
      <c r="C386" s="24"/>
      <c r="D386" s="23"/>
      <c r="E386" s="25">
        <f>SUBTOTAL(9,E382:E385)</f>
        <v>64400000</v>
      </c>
      <c r="F386" s="26"/>
      <c r="G386" s="25"/>
      <c r="H386" s="27"/>
      <c r="I386" s="26"/>
      <c r="J386" s="26"/>
      <c r="K386" s="25"/>
      <c r="L386" s="25">
        <f>SUBTOTAL(9,L382:L385)</f>
        <v>26394</v>
      </c>
      <c r="M386" s="25">
        <f>SUBTOTAL(9,M382:M385)</f>
        <v>64400000</v>
      </c>
    </row>
    <row r="387" spans="1:13" s="18" customFormat="1" outlineLevel="2">
      <c r="A387" s="19" t="s">
        <v>63</v>
      </c>
      <c r="B387" s="20" t="s">
        <v>16</v>
      </c>
      <c r="C387" s="21" t="s">
        <v>21</v>
      </c>
      <c r="D387" s="20" t="s">
        <v>22</v>
      </c>
      <c r="E387" s="3">
        <v>72000000</v>
      </c>
      <c r="F387" s="19">
        <v>43917</v>
      </c>
      <c r="G387" s="3">
        <v>72000000</v>
      </c>
      <c r="H387" s="2">
        <v>5.0000000000000001E-3</v>
      </c>
      <c r="I387" s="19">
        <v>44136</v>
      </c>
      <c r="J387" s="19">
        <v>44165</v>
      </c>
      <c r="K387" s="3">
        <f t="shared" ref="K387:K394" si="26">J387-I387+1</f>
        <v>30</v>
      </c>
      <c r="L387" s="3">
        <f t="shared" ref="L387:L394" si="27">ROUND(G387*H387*K387/366,0)</f>
        <v>29508</v>
      </c>
      <c r="M387" s="3">
        <v>72000000</v>
      </c>
    </row>
    <row r="388" spans="1:13" s="18" customFormat="1" outlineLevel="2">
      <c r="A388" s="19" t="s">
        <v>63</v>
      </c>
      <c r="B388" s="20" t="s">
        <v>23</v>
      </c>
      <c r="C388" s="21" t="s">
        <v>21</v>
      </c>
      <c r="D388" s="20" t="s">
        <v>22</v>
      </c>
      <c r="E388" s="3">
        <v>144000000</v>
      </c>
      <c r="F388" s="19">
        <v>44018</v>
      </c>
      <c r="G388" s="3">
        <v>144000000</v>
      </c>
      <c r="H388" s="2">
        <v>5.0000000000000001E-3</v>
      </c>
      <c r="I388" s="19">
        <v>44136</v>
      </c>
      <c r="J388" s="19">
        <v>44165</v>
      </c>
      <c r="K388" s="3">
        <f t="shared" si="26"/>
        <v>30</v>
      </c>
      <c r="L388" s="3">
        <f t="shared" si="27"/>
        <v>59016</v>
      </c>
      <c r="M388" s="3">
        <v>144000000</v>
      </c>
    </row>
    <row r="389" spans="1:13" s="18" customFormat="1" outlineLevel="2">
      <c r="A389" s="19" t="s">
        <v>63</v>
      </c>
      <c r="B389" s="20" t="s">
        <v>29</v>
      </c>
      <c r="C389" s="21" t="s">
        <v>185</v>
      </c>
      <c r="D389" s="20" t="s">
        <v>184</v>
      </c>
      <c r="E389" s="3">
        <v>6820000</v>
      </c>
      <c r="F389" s="19">
        <v>44092</v>
      </c>
      <c r="G389" s="3">
        <v>6706333</v>
      </c>
      <c r="H389" s="2">
        <v>5.0000000000000001E-3</v>
      </c>
      <c r="I389" s="19">
        <v>44136</v>
      </c>
      <c r="J389" s="19">
        <v>44150</v>
      </c>
      <c r="K389" s="3">
        <f t="shared" si="26"/>
        <v>15</v>
      </c>
      <c r="L389" s="3">
        <f t="shared" si="27"/>
        <v>1374</v>
      </c>
      <c r="M389" s="3">
        <v>6592666</v>
      </c>
    </row>
    <row r="390" spans="1:13" s="18" customFormat="1" outlineLevel="2">
      <c r="A390" s="19" t="s">
        <v>63</v>
      </c>
      <c r="B390" s="20" t="s">
        <v>29</v>
      </c>
      <c r="C390" s="21" t="s">
        <v>185</v>
      </c>
      <c r="D390" s="20"/>
      <c r="E390" s="3"/>
      <c r="F390" s="19"/>
      <c r="G390" s="3">
        <v>6592666</v>
      </c>
      <c r="H390" s="2">
        <v>5.0000000000000001E-3</v>
      </c>
      <c r="I390" s="19">
        <v>44151</v>
      </c>
      <c r="J390" s="19">
        <v>44165</v>
      </c>
      <c r="K390" s="3">
        <f t="shared" si="26"/>
        <v>15</v>
      </c>
      <c r="L390" s="3">
        <f t="shared" si="27"/>
        <v>1351</v>
      </c>
      <c r="M390" s="3"/>
    </row>
    <row r="391" spans="1:13" s="18" customFormat="1" outlineLevel="2">
      <c r="A391" s="19" t="s">
        <v>63</v>
      </c>
      <c r="B391" s="20" t="s">
        <v>30</v>
      </c>
      <c r="C391" s="21" t="s">
        <v>185</v>
      </c>
      <c r="D391" s="20" t="s">
        <v>184</v>
      </c>
      <c r="E391" s="3">
        <v>17380000</v>
      </c>
      <c r="F391" s="19">
        <v>44092</v>
      </c>
      <c r="G391" s="3">
        <v>16897222</v>
      </c>
      <c r="H391" s="2">
        <v>5.0000000000000001E-3</v>
      </c>
      <c r="I391" s="19">
        <v>44136</v>
      </c>
      <c r="J391" s="19">
        <v>44150</v>
      </c>
      <c r="K391" s="3">
        <f t="shared" si="26"/>
        <v>15</v>
      </c>
      <c r="L391" s="3">
        <f t="shared" si="27"/>
        <v>3463</v>
      </c>
      <c r="M391" s="3">
        <v>16414444</v>
      </c>
    </row>
    <row r="392" spans="1:13" s="18" customFormat="1" outlineLevel="2">
      <c r="A392" s="19" t="s">
        <v>63</v>
      </c>
      <c r="B392" s="20" t="s">
        <v>30</v>
      </c>
      <c r="C392" s="21" t="s">
        <v>185</v>
      </c>
      <c r="D392" s="20"/>
      <c r="E392" s="3"/>
      <c r="F392" s="19"/>
      <c r="G392" s="3">
        <v>16414444</v>
      </c>
      <c r="H392" s="2">
        <v>5.0000000000000001E-3</v>
      </c>
      <c r="I392" s="19">
        <v>44151</v>
      </c>
      <c r="J392" s="19">
        <v>44165</v>
      </c>
      <c r="K392" s="3">
        <f t="shared" si="26"/>
        <v>15</v>
      </c>
      <c r="L392" s="3">
        <f t="shared" si="27"/>
        <v>3364</v>
      </c>
      <c r="M392" s="3"/>
    </row>
    <row r="393" spans="1:13" s="18" customFormat="1" outlineLevel="2">
      <c r="A393" s="19" t="s">
        <v>63</v>
      </c>
      <c r="B393" s="20" t="s">
        <v>31</v>
      </c>
      <c r="C393" s="21" t="s">
        <v>21</v>
      </c>
      <c r="D393" s="20" t="s">
        <v>22</v>
      </c>
      <c r="E393" s="3">
        <v>41000000</v>
      </c>
      <c r="F393" s="19">
        <v>44140</v>
      </c>
      <c r="G393" s="3">
        <v>41000000</v>
      </c>
      <c r="H393" s="2">
        <v>5.0000000000000001E-3</v>
      </c>
      <c r="I393" s="19">
        <v>44140</v>
      </c>
      <c r="J393" s="19">
        <v>44165</v>
      </c>
      <c r="K393" s="3">
        <f t="shared" si="26"/>
        <v>26</v>
      </c>
      <c r="L393" s="3">
        <f t="shared" si="27"/>
        <v>14563</v>
      </c>
      <c r="M393" s="3">
        <v>41000000</v>
      </c>
    </row>
    <row r="394" spans="1:13" s="18" customFormat="1" outlineLevel="2">
      <c r="A394" s="19" t="s">
        <v>63</v>
      </c>
      <c r="B394" s="20" t="s">
        <v>32</v>
      </c>
      <c r="C394" s="21" t="s">
        <v>185</v>
      </c>
      <c r="D394" s="20" t="s">
        <v>184</v>
      </c>
      <c r="E394" s="3">
        <v>3220000</v>
      </c>
      <c r="F394" s="19">
        <v>44161</v>
      </c>
      <c r="G394" s="3">
        <v>3220000</v>
      </c>
      <c r="H394" s="2">
        <v>5.0000000000000001E-3</v>
      </c>
      <c r="I394" s="19">
        <v>44161</v>
      </c>
      <c r="J394" s="19">
        <v>44165</v>
      </c>
      <c r="K394" s="3">
        <f t="shared" si="26"/>
        <v>5</v>
      </c>
      <c r="L394" s="3">
        <f t="shared" si="27"/>
        <v>220</v>
      </c>
      <c r="M394" s="3">
        <v>3220000</v>
      </c>
    </row>
    <row r="395" spans="1:13" s="18" customFormat="1" ht="13.5" outlineLevel="1">
      <c r="A395" s="22" t="s">
        <v>62</v>
      </c>
      <c r="B395" s="23"/>
      <c r="C395" s="24"/>
      <c r="D395" s="23"/>
      <c r="E395" s="25">
        <f>SUBTOTAL(9,E387:E394)</f>
        <v>284420000</v>
      </c>
      <c r="F395" s="26"/>
      <c r="G395" s="25"/>
      <c r="H395" s="27"/>
      <c r="I395" s="26"/>
      <c r="J395" s="26"/>
      <c r="K395" s="25"/>
      <c r="L395" s="25">
        <f>SUBTOTAL(9,L387:L394)</f>
        <v>112859</v>
      </c>
      <c r="M395" s="25">
        <f>SUBTOTAL(9,M387:M394)</f>
        <v>283227110</v>
      </c>
    </row>
    <row r="396" spans="1:13" s="18" customFormat="1" outlineLevel="2">
      <c r="A396" s="19" t="s">
        <v>50</v>
      </c>
      <c r="B396" s="20" t="s">
        <v>16</v>
      </c>
      <c r="C396" s="21" t="s">
        <v>21</v>
      </c>
      <c r="D396" s="20" t="s">
        <v>22</v>
      </c>
      <c r="E396" s="3">
        <v>190000000</v>
      </c>
      <c r="F396" s="19">
        <v>43797</v>
      </c>
      <c r="G396" s="3">
        <v>190000000</v>
      </c>
      <c r="H396" s="2">
        <v>5.0000000000000001E-3</v>
      </c>
      <c r="I396" s="19">
        <v>44136</v>
      </c>
      <c r="J396" s="19">
        <v>44165</v>
      </c>
      <c r="K396" s="3">
        <f t="shared" ref="K396:K416" si="28">J396-I396+1</f>
        <v>30</v>
      </c>
      <c r="L396" s="3">
        <f t="shared" ref="L396:L416" si="29">ROUND(G396*H396*K396/366,0)</f>
        <v>77869</v>
      </c>
      <c r="M396" s="3">
        <v>190000000</v>
      </c>
    </row>
    <row r="397" spans="1:13" s="18" customFormat="1" outlineLevel="2">
      <c r="A397" s="19" t="s">
        <v>50</v>
      </c>
      <c r="B397" s="20" t="s">
        <v>61</v>
      </c>
      <c r="C397" s="21" t="s">
        <v>57</v>
      </c>
      <c r="D397" s="20" t="s">
        <v>56</v>
      </c>
      <c r="E397" s="3">
        <v>1310400</v>
      </c>
      <c r="F397" s="19">
        <v>44043</v>
      </c>
      <c r="G397" s="3">
        <v>1238925</v>
      </c>
      <c r="H397" s="2">
        <v>5.0000000000000001E-3</v>
      </c>
      <c r="I397" s="19">
        <v>44136</v>
      </c>
      <c r="J397" s="19">
        <v>44150</v>
      </c>
      <c r="K397" s="3">
        <f t="shared" si="28"/>
        <v>15</v>
      </c>
      <c r="L397" s="3">
        <f t="shared" si="29"/>
        <v>254</v>
      </c>
      <c r="M397" s="3">
        <v>1215100</v>
      </c>
    </row>
    <row r="398" spans="1:13" s="18" customFormat="1" outlineLevel="2">
      <c r="A398" s="19" t="s">
        <v>50</v>
      </c>
      <c r="B398" s="20" t="s">
        <v>61</v>
      </c>
      <c r="C398" s="21" t="s">
        <v>57</v>
      </c>
      <c r="D398" s="20"/>
      <c r="E398" s="3"/>
      <c r="F398" s="19"/>
      <c r="G398" s="3">
        <v>1215100</v>
      </c>
      <c r="H398" s="2">
        <v>5.0000000000000001E-3</v>
      </c>
      <c r="I398" s="19">
        <v>44151</v>
      </c>
      <c r="J398" s="19">
        <v>44165</v>
      </c>
      <c r="K398" s="3">
        <f t="shared" si="28"/>
        <v>15</v>
      </c>
      <c r="L398" s="3">
        <f t="shared" si="29"/>
        <v>249</v>
      </c>
      <c r="M398" s="3"/>
    </row>
    <row r="399" spans="1:13" s="18" customFormat="1" outlineLevel="2">
      <c r="A399" s="19" t="s">
        <v>50</v>
      </c>
      <c r="B399" s="20" t="s">
        <v>60</v>
      </c>
      <c r="C399" s="21" t="s">
        <v>69</v>
      </c>
      <c r="D399" s="20" t="s">
        <v>68</v>
      </c>
      <c r="E399" s="3">
        <v>201600000</v>
      </c>
      <c r="F399" s="19">
        <v>44028</v>
      </c>
      <c r="G399" s="3">
        <v>201600000</v>
      </c>
      <c r="H399" s="2">
        <v>3.0000000000000001E-3</v>
      </c>
      <c r="I399" s="19">
        <v>44136</v>
      </c>
      <c r="J399" s="19">
        <v>44165</v>
      </c>
      <c r="K399" s="3">
        <f t="shared" si="28"/>
        <v>30</v>
      </c>
      <c r="L399" s="3">
        <f t="shared" si="29"/>
        <v>49574</v>
      </c>
      <c r="M399" s="3">
        <v>201600000</v>
      </c>
    </row>
    <row r="400" spans="1:13" s="18" customFormat="1" outlineLevel="2">
      <c r="A400" s="19" t="s">
        <v>50</v>
      </c>
      <c r="B400" s="20" t="s">
        <v>66</v>
      </c>
      <c r="C400" s="21" t="s">
        <v>117</v>
      </c>
      <c r="D400" s="20" t="s">
        <v>116</v>
      </c>
      <c r="E400" s="3">
        <v>67678400</v>
      </c>
      <c r="F400" s="19">
        <v>44041</v>
      </c>
      <c r="G400" s="3">
        <v>67678400</v>
      </c>
      <c r="H400" s="2">
        <v>5.0000000000000001E-3</v>
      </c>
      <c r="I400" s="19">
        <v>44136</v>
      </c>
      <c r="J400" s="19">
        <v>44165</v>
      </c>
      <c r="K400" s="3">
        <f t="shared" si="28"/>
        <v>30</v>
      </c>
      <c r="L400" s="3">
        <f t="shared" si="29"/>
        <v>27737</v>
      </c>
      <c r="M400" s="3">
        <v>67678400</v>
      </c>
    </row>
    <row r="401" spans="1:13" s="18" customFormat="1" outlineLevel="2">
      <c r="A401" s="19" t="s">
        <v>50</v>
      </c>
      <c r="B401" s="20" t="s">
        <v>65</v>
      </c>
      <c r="C401" s="21" t="s">
        <v>117</v>
      </c>
      <c r="D401" s="20" t="s">
        <v>116</v>
      </c>
      <c r="E401" s="3">
        <v>56400000</v>
      </c>
      <c r="F401" s="19">
        <v>44060</v>
      </c>
      <c r="G401" s="3">
        <v>56400000</v>
      </c>
      <c r="H401" s="2">
        <v>5.0000000000000001E-3</v>
      </c>
      <c r="I401" s="19">
        <v>44136</v>
      </c>
      <c r="J401" s="19">
        <v>44165</v>
      </c>
      <c r="K401" s="3">
        <f t="shared" si="28"/>
        <v>30</v>
      </c>
      <c r="L401" s="3">
        <f t="shared" si="29"/>
        <v>23115</v>
      </c>
      <c r="M401" s="3">
        <v>56400000</v>
      </c>
    </row>
    <row r="402" spans="1:13" s="18" customFormat="1" outlineLevel="2">
      <c r="A402" s="19" t="s">
        <v>50</v>
      </c>
      <c r="B402" s="20" t="s">
        <v>64</v>
      </c>
      <c r="C402" s="21" t="s">
        <v>117</v>
      </c>
      <c r="D402" s="20" t="s">
        <v>116</v>
      </c>
      <c r="E402" s="3">
        <v>56400000</v>
      </c>
      <c r="F402" s="19">
        <v>44089</v>
      </c>
      <c r="G402" s="3">
        <v>56400000</v>
      </c>
      <c r="H402" s="2">
        <v>5.0000000000000001E-3</v>
      </c>
      <c r="I402" s="19">
        <v>44136</v>
      </c>
      <c r="J402" s="19">
        <v>44165</v>
      </c>
      <c r="K402" s="3">
        <f t="shared" si="28"/>
        <v>30</v>
      </c>
      <c r="L402" s="3">
        <f t="shared" si="29"/>
        <v>23115</v>
      </c>
      <c r="M402" s="3">
        <v>56400000</v>
      </c>
    </row>
    <row r="403" spans="1:13" s="18" customFormat="1" outlineLevel="2">
      <c r="A403" s="19" t="s">
        <v>50</v>
      </c>
      <c r="B403" s="20" t="s">
        <v>85</v>
      </c>
      <c r="C403" s="21" t="s">
        <v>117</v>
      </c>
      <c r="D403" s="20" t="s">
        <v>116</v>
      </c>
      <c r="E403" s="3">
        <v>56400000</v>
      </c>
      <c r="F403" s="19">
        <v>44119</v>
      </c>
      <c r="G403" s="3">
        <v>56400000</v>
      </c>
      <c r="H403" s="2">
        <v>5.0000000000000001E-3</v>
      </c>
      <c r="I403" s="19">
        <v>44136</v>
      </c>
      <c r="J403" s="19">
        <v>44165</v>
      </c>
      <c r="K403" s="3">
        <f t="shared" si="28"/>
        <v>30</v>
      </c>
      <c r="L403" s="3">
        <f t="shared" si="29"/>
        <v>23115</v>
      </c>
      <c r="M403" s="3">
        <v>56400000</v>
      </c>
    </row>
    <row r="404" spans="1:13" s="18" customFormat="1" outlineLevel="2">
      <c r="A404" s="19" t="s">
        <v>50</v>
      </c>
      <c r="B404" s="20" t="s">
        <v>84</v>
      </c>
      <c r="C404" s="21" t="s">
        <v>57</v>
      </c>
      <c r="D404" s="20" t="s">
        <v>56</v>
      </c>
      <c r="E404" s="3">
        <v>1169666</v>
      </c>
      <c r="F404" s="19">
        <v>44134</v>
      </c>
      <c r="G404" s="3">
        <v>1169666</v>
      </c>
      <c r="H404" s="2">
        <v>5.0000000000000001E-3</v>
      </c>
      <c r="I404" s="19">
        <v>44136</v>
      </c>
      <c r="J404" s="19">
        <v>44150</v>
      </c>
      <c r="K404" s="3">
        <f t="shared" si="28"/>
        <v>15</v>
      </c>
      <c r="L404" s="3">
        <f t="shared" si="29"/>
        <v>240</v>
      </c>
      <c r="M404" s="3">
        <v>1147172</v>
      </c>
    </row>
    <row r="405" spans="1:13" s="18" customFormat="1" outlineLevel="2">
      <c r="A405" s="19" t="s">
        <v>50</v>
      </c>
      <c r="B405" s="20" t="s">
        <v>84</v>
      </c>
      <c r="C405" s="21" t="s">
        <v>57</v>
      </c>
      <c r="D405" s="20"/>
      <c r="E405" s="3"/>
      <c r="F405" s="19"/>
      <c r="G405" s="3">
        <v>1147172</v>
      </c>
      <c r="H405" s="2">
        <v>5.0000000000000001E-3</v>
      </c>
      <c r="I405" s="19">
        <v>44151</v>
      </c>
      <c r="J405" s="19">
        <v>44165</v>
      </c>
      <c r="K405" s="3">
        <f t="shared" si="28"/>
        <v>15</v>
      </c>
      <c r="L405" s="3">
        <f t="shared" si="29"/>
        <v>235</v>
      </c>
      <c r="M405" s="3"/>
    </row>
    <row r="406" spans="1:13" s="18" customFormat="1" outlineLevel="2">
      <c r="A406" s="19" t="s">
        <v>50</v>
      </c>
      <c r="B406" s="20" t="s">
        <v>83</v>
      </c>
      <c r="C406" s="21" t="s">
        <v>117</v>
      </c>
      <c r="D406" s="20" t="s">
        <v>116</v>
      </c>
      <c r="E406" s="3">
        <v>56400000</v>
      </c>
      <c r="F406" s="19">
        <v>44151</v>
      </c>
      <c r="G406" s="3">
        <v>56400000</v>
      </c>
      <c r="H406" s="2">
        <v>5.0000000000000001E-3</v>
      </c>
      <c r="I406" s="19">
        <v>44151</v>
      </c>
      <c r="J406" s="19">
        <v>44165</v>
      </c>
      <c r="K406" s="3">
        <f t="shared" si="28"/>
        <v>15</v>
      </c>
      <c r="L406" s="3">
        <f t="shared" si="29"/>
        <v>11557</v>
      </c>
      <c r="M406" s="3">
        <v>56400000</v>
      </c>
    </row>
    <row r="407" spans="1:13" s="18" customFormat="1" outlineLevel="2">
      <c r="A407" s="19" t="s">
        <v>50</v>
      </c>
      <c r="B407" s="20" t="s">
        <v>102</v>
      </c>
      <c r="C407" s="21" t="s">
        <v>227</v>
      </c>
      <c r="D407" s="20" t="s">
        <v>226</v>
      </c>
      <c r="E407" s="3">
        <v>2230000</v>
      </c>
      <c r="F407" s="19">
        <v>44138</v>
      </c>
      <c r="G407" s="3">
        <v>2230000</v>
      </c>
      <c r="H407" s="2">
        <v>5.0000000000000001E-3</v>
      </c>
      <c r="I407" s="19">
        <v>44138</v>
      </c>
      <c r="J407" s="19">
        <v>44165</v>
      </c>
      <c r="K407" s="3">
        <f t="shared" si="28"/>
        <v>28</v>
      </c>
      <c r="L407" s="3">
        <f t="shared" si="29"/>
        <v>853</v>
      </c>
      <c r="M407" s="3">
        <v>2230000</v>
      </c>
    </row>
    <row r="408" spans="1:13" s="18" customFormat="1" outlineLevel="2">
      <c r="A408" s="19" t="s">
        <v>50</v>
      </c>
      <c r="B408" s="20" t="s">
        <v>23</v>
      </c>
      <c r="C408" s="21" t="s">
        <v>21</v>
      </c>
      <c r="D408" s="20" t="s">
        <v>22</v>
      </c>
      <c r="E408" s="3">
        <v>37000000</v>
      </c>
      <c r="F408" s="19">
        <v>43829</v>
      </c>
      <c r="G408" s="3">
        <v>37000000</v>
      </c>
      <c r="H408" s="2">
        <v>5.0000000000000001E-3</v>
      </c>
      <c r="I408" s="19">
        <v>44136</v>
      </c>
      <c r="J408" s="19">
        <v>44165</v>
      </c>
      <c r="K408" s="3">
        <f t="shared" si="28"/>
        <v>30</v>
      </c>
      <c r="L408" s="3">
        <f t="shared" si="29"/>
        <v>15164</v>
      </c>
      <c r="M408" s="3">
        <v>37000000</v>
      </c>
    </row>
    <row r="409" spans="1:13" s="18" customFormat="1" outlineLevel="2">
      <c r="A409" s="19" t="s">
        <v>50</v>
      </c>
      <c r="B409" s="20" t="s">
        <v>29</v>
      </c>
      <c r="C409" s="21" t="s">
        <v>57</v>
      </c>
      <c r="D409" s="20" t="s">
        <v>56</v>
      </c>
      <c r="E409" s="3">
        <v>17276700</v>
      </c>
      <c r="F409" s="19">
        <v>43878</v>
      </c>
      <c r="G409" s="3">
        <v>14973140</v>
      </c>
      <c r="H409" s="2">
        <v>5.0000000000000001E-3</v>
      </c>
      <c r="I409" s="19">
        <v>44136</v>
      </c>
      <c r="J409" s="19">
        <v>44150</v>
      </c>
      <c r="K409" s="3">
        <f t="shared" si="28"/>
        <v>15</v>
      </c>
      <c r="L409" s="3">
        <f t="shared" si="29"/>
        <v>3068</v>
      </c>
      <c r="M409" s="3">
        <v>14685195</v>
      </c>
    </row>
    <row r="410" spans="1:13" s="18" customFormat="1" outlineLevel="2">
      <c r="A410" s="19" t="s">
        <v>50</v>
      </c>
      <c r="B410" s="20" t="s">
        <v>29</v>
      </c>
      <c r="C410" s="21" t="s">
        <v>57</v>
      </c>
      <c r="D410" s="20"/>
      <c r="E410" s="3"/>
      <c r="F410" s="19"/>
      <c r="G410" s="3">
        <v>14685195</v>
      </c>
      <c r="H410" s="2">
        <v>5.0000000000000001E-3</v>
      </c>
      <c r="I410" s="19">
        <v>44151</v>
      </c>
      <c r="J410" s="19">
        <v>44165</v>
      </c>
      <c r="K410" s="3">
        <f t="shared" si="28"/>
        <v>15</v>
      </c>
      <c r="L410" s="3">
        <f t="shared" si="29"/>
        <v>3009</v>
      </c>
      <c r="M410" s="3"/>
    </row>
    <row r="411" spans="1:13" s="18" customFormat="1" outlineLevel="2">
      <c r="A411" s="19" t="s">
        <v>50</v>
      </c>
      <c r="B411" s="20" t="s">
        <v>30</v>
      </c>
      <c r="C411" s="21" t="s">
        <v>21</v>
      </c>
      <c r="D411" s="20" t="s">
        <v>22</v>
      </c>
      <c r="E411" s="3">
        <v>73000000</v>
      </c>
      <c r="F411" s="19">
        <v>43896</v>
      </c>
      <c r="G411" s="3">
        <v>73000000</v>
      </c>
      <c r="H411" s="2">
        <v>5.0000000000000001E-3</v>
      </c>
      <c r="I411" s="19">
        <v>44136</v>
      </c>
      <c r="J411" s="19">
        <v>44165</v>
      </c>
      <c r="K411" s="3">
        <f t="shared" si="28"/>
        <v>30</v>
      </c>
      <c r="L411" s="3">
        <f t="shared" si="29"/>
        <v>29918</v>
      </c>
      <c r="M411" s="3">
        <v>73000000</v>
      </c>
    </row>
    <row r="412" spans="1:13" s="18" customFormat="1" outlineLevel="2">
      <c r="A412" s="19" t="s">
        <v>50</v>
      </c>
      <c r="B412" s="20" t="s">
        <v>31</v>
      </c>
      <c r="C412" s="21" t="s">
        <v>57</v>
      </c>
      <c r="D412" s="20" t="s">
        <v>56</v>
      </c>
      <c r="E412" s="3">
        <v>19997321</v>
      </c>
      <c r="F412" s="19">
        <v>43948</v>
      </c>
      <c r="G412" s="3">
        <v>19997321</v>
      </c>
      <c r="H412" s="2">
        <v>5.0000000000000001E-3</v>
      </c>
      <c r="I412" s="19">
        <v>44136</v>
      </c>
      <c r="J412" s="19">
        <v>44165</v>
      </c>
      <c r="K412" s="3">
        <f t="shared" si="28"/>
        <v>30</v>
      </c>
      <c r="L412" s="3">
        <f t="shared" si="29"/>
        <v>8196</v>
      </c>
      <c r="M412" s="3">
        <v>19997321</v>
      </c>
    </row>
    <row r="413" spans="1:13" s="18" customFormat="1" outlineLevel="2">
      <c r="A413" s="19" t="s">
        <v>50</v>
      </c>
      <c r="B413" s="20" t="s">
        <v>32</v>
      </c>
      <c r="C413" s="21" t="s">
        <v>69</v>
      </c>
      <c r="D413" s="20" t="s">
        <v>68</v>
      </c>
      <c r="E413" s="3">
        <v>242400000</v>
      </c>
      <c r="F413" s="19">
        <v>43930</v>
      </c>
      <c r="G413" s="3">
        <v>242400000</v>
      </c>
      <c r="H413" s="2">
        <v>3.0000000000000001E-3</v>
      </c>
      <c r="I413" s="19">
        <v>44136</v>
      </c>
      <c r="J413" s="19">
        <v>44165</v>
      </c>
      <c r="K413" s="3">
        <f t="shared" si="28"/>
        <v>30</v>
      </c>
      <c r="L413" s="3">
        <f t="shared" si="29"/>
        <v>59607</v>
      </c>
      <c r="M413" s="3">
        <v>242400000</v>
      </c>
    </row>
    <row r="414" spans="1:13" s="18" customFormat="1" outlineLevel="2">
      <c r="A414" s="19" t="s">
        <v>50</v>
      </c>
      <c r="B414" s="20" t="s">
        <v>48</v>
      </c>
      <c r="C414" s="21" t="s">
        <v>69</v>
      </c>
      <c r="D414" s="20" t="s">
        <v>68</v>
      </c>
      <c r="E414" s="3">
        <v>156000000</v>
      </c>
      <c r="F414" s="19">
        <v>43958</v>
      </c>
      <c r="G414" s="3">
        <v>156000000</v>
      </c>
      <c r="H414" s="2">
        <v>3.0000000000000001E-3</v>
      </c>
      <c r="I414" s="19">
        <v>44136</v>
      </c>
      <c r="J414" s="19">
        <v>44165</v>
      </c>
      <c r="K414" s="3">
        <f t="shared" si="28"/>
        <v>30</v>
      </c>
      <c r="L414" s="3">
        <f t="shared" si="29"/>
        <v>38361</v>
      </c>
      <c r="M414" s="3">
        <v>156000000</v>
      </c>
    </row>
    <row r="415" spans="1:13" s="18" customFormat="1" outlineLevel="2">
      <c r="A415" s="19" t="s">
        <v>50</v>
      </c>
      <c r="B415" s="20" t="s">
        <v>59</v>
      </c>
      <c r="C415" s="21" t="s">
        <v>117</v>
      </c>
      <c r="D415" s="20" t="s">
        <v>116</v>
      </c>
      <c r="E415" s="3">
        <v>33840000</v>
      </c>
      <c r="F415" s="19">
        <v>43986</v>
      </c>
      <c r="G415" s="3">
        <v>33840000</v>
      </c>
      <c r="H415" s="2">
        <v>5.0000000000000001E-3</v>
      </c>
      <c r="I415" s="19">
        <v>44136</v>
      </c>
      <c r="J415" s="19">
        <v>44165</v>
      </c>
      <c r="K415" s="3">
        <f t="shared" si="28"/>
        <v>30</v>
      </c>
      <c r="L415" s="3">
        <f t="shared" si="29"/>
        <v>13869</v>
      </c>
      <c r="M415" s="3">
        <v>33840000</v>
      </c>
    </row>
    <row r="416" spans="1:13" s="18" customFormat="1" outlineLevel="2">
      <c r="A416" s="19" t="s">
        <v>50</v>
      </c>
      <c r="B416" s="20" t="s">
        <v>58</v>
      </c>
      <c r="C416" s="21" t="s">
        <v>117</v>
      </c>
      <c r="D416" s="20" t="s">
        <v>116</v>
      </c>
      <c r="E416" s="3">
        <v>134396612</v>
      </c>
      <c r="F416" s="19">
        <v>43986</v>
      </c>
      <c r="G416" s="3">
        <v>134396612</v>
      </c>
      <c r="H416" s="2">
        <v>5.0000000000000001E-3</v>
      </c>
      <c r="I416" s="19">
        <v>44136</v>
      </c>
      <c r="J416" s="19">
        <v>44165</v>
      </c>
      <c r="K416" s="3">
        <f t="shared" si="28"/>
        <v>30</v>
      </c>
      <c r="L416" s="3">
        <f t="shared" si="29"/>
        <v>55081</v>
      </c>
      <c r="M416" s="3">
        <v>134396612</v>
      </c>
    </row>
    <row r="417" spans="1:16" s="18" customFormat="1" ht="13.5" outlineLevel="1">
      <c r="A417" s="22" t="s">
        <v>51</v>
      </c>
      <c r="B417" s="23"/>
      <c r="C417" s="24"/>
      <c r="D417" s="23"/>
      <c r="E417" s="25">
        <f>SUBTOTAL(9,E396:E416)</f>
        <v>1403499099</v>
      </c>
      <c r="F417" s="26"/>
      <c r="G417" s="25"/>
      <c r="H417" s="27"/>
      <c r="I417" s="26"/>
      <c r="J417" s="26"/>
      <c r="K417" s="25"/>
      <c r="L417" s="25">
        <f>SUBTOTAL(9,L396:L416)</f>
        <v>464186</v>
      </c>
      <c r="M417" s="25">
        <f>SUBTOTAL(9,M396:M416)</f>
        <v>1400789800</v>
      </c>
    </row>
    <row r="418" spans="1:16" s="34" customFormat="1" ht="13.5" outlineLevel="1">
      <c r="A418" s="28"/>
      <c r="B418" s="29"/>
      <c r="C418" s="30"/>
      <c r="D418" s="29"/>
      <c r="E418" s="31"/>
      <c r="F418" s="32"/>
      <c r="G418" s="31"/>
      <c r="H418" s="33"/>
      <c r="I418" s="32"/>
      <c r="J418" s="32"/>
      <c r="K418" s="31"/>
      <c r="L418" s="31"/>
      <c r="M418" s="31"/>
    </row>
    <row r="419" spans="1:16" s="18" customFormat="1" ht="13.5">
      <c r="A419" s="50" t="s">
        <v>52</v>
      </c>
      <c r="B419" s="23"/>
      <c r="C419" s="24"/>
      <c r="D419" s="23"/>
      <c r="E419" s="25">
        <f>SUBTOTAL(9,E4:E416)</f>
        <v>17669460262</v>
      </c>
      <c r="F419" s="26"/>
      <c r="G419" s="25"/>
      <c r="H419" s="27"/>
      <c r="I419" s="26"/>
      <c r="J419" s="26"/>
      <c r="K419" s="25"/>
      <c r="L419" s="25">
        <f>SUBTOTAL(9,L4:L416)</f>
        <v>6278874</v>
      </c>
      <c r="M419" s="25">
        <f>SUBTOTAL(9,M4:M416)</f>
        <v>17541566640</v>
      </c>
    </row>
    <row r="420" spans="1:16" s="18" customForma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1:16">
      <c r="A421" s="35" t="s">
        <v>53</v>
      </c>
      <c r="B421" s="35"/>
      <c r="E421" s="36" t="s">
        <v>55</v>
      </c>
      <c r="G421" s="6"/>
      <c r="H421" s="38" t="s">
        <v>54</v>
      </c>
      <c r="I421" s="37"/>
    </row>
    <row r="422" spans="1:16" s="18" customForma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1:16" s="18" customForma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1:16" s="18" customForma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1:16" s="18" customForma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1:16" s="18" customForma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1:16" s="18" customForma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1:16" s="18" customForma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1:16" s="18" customForma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1:16" s="18" customForma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1:16" s="18" customForma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1:16" s="18" customForma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1:16" s="18" customForma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1:16" s="18" customForma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1:16" s="18" customForma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1:16" s="18" customForma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1:16" s="18" customForma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1:16" s="18" customForma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1:16" s="18" customForma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1:16" s="18" customForma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1:16" s="18" customForma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1:16" s="18" customForma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  <row r="443" spans="1:16" s="18" customForma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</row>
    <row r="444" spans="1:16" s="18" customForma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 s="18" customForma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 s="18" customForma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 s="18" customForma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 s="18" customForma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 s="18" customForma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 s="18" customForma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 s="18" customForma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s="18" customForma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</row>
    <row r="453" spans="1:16" s="18" customForma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</row>
    <row r="454" spans="1:16" s="18" customForma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</row>
    <row r="455" spans="1:16" s="18" customForma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</row>
    <row r="456" spans="1:16" s="18" customForma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</row>
    <row r="457" spans="1:16" s="18" customForma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</row>
    <row r="458" spans="1:16" s="18" customForma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</row>
    <row r="459" spans="1:16" s="18" customForma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</row>
    <row r="460" spans="1:16" s="18" customForma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</row>
    <row r="461" spans="1:16" s="18" customForma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</row>
    <row r="462" spans="1:16" s="18" customForma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</row>
    <row r="463" spans="1:16" s="18" customForma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</row>
    <row r="464" spans="1:16" s="18" customForma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</row>
    <row r="465" spans="1:16" s="18" customForma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</row>
    <row r="466" spans="1:16" s="18" customForma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</row>
    <row r="467" spans="1:16" s="18" customForma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</row>
    <row r="468" spans="1:16" s="18" customForma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</row>
    <row r="469" spans="1:16" s="18" customForma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</row>
    <row r="470" spans="1:16" s="18" customForma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</row>
    <row r="471" spans="1:16" s="18" customForma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</row>
    <row r="472" spans="1:16" s="18" customForma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</row>
    <row r="473" spans="1:16" s="18" customForma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</row>
    <row r="474" spans="1:16" s="18" customForma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</row>
    <row r="475" spans="1:16" s="18" customForma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</row>
    <row r="476" spans="1:16" s="18" customForma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</row>
    <row r="477" spans="1:16" s="18" customForma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</row>
    <row r="478" spans="1:16" s="18" customForma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</row>
    <row r="479" spans="1:16" s="18" customForma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</row>
    <row r="480" spans="1:16" s="18" customForma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</row>
    <row r="481" spans="1:16" s="18" customForma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</row>
    <row r="482" spans="1:16" s="18" customForma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</row>
    <row r="483" spans="1:16" s="18" customForma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</row>
    <row r="484" spans="1:16" s="18" customForma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</row>
    <row r="485" spans="1:16" s="18" customForma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</row>
    <row r="486" spans="1:16" s="18" customForma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</row>
    <row r="487" spans="1:16" s="18" customForma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</row>
    <row r="488" spans="1:16" s="18" customForma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</row>
    <row r="489" spans="1:16" s="18" customForma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</row>
    <row r="490" spans="1:16" s="18" customForma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</row>
    <row r="491" spans="1:16" s="18" customForma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</row>
    <row r="492" spans="1:16" s="18" customForma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</row>
    <row r="493" spans="1:16" s="18" customForma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 s="18" customForma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 spans="1:16" s="18" customForma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 spans="1:16" s="18" customForma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  <row r="843" spans="1:16" s="18" customForma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</row>
    <row r="844" spans="1:16" s="18" customForma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</row>
  </sheetData>
  <autoFilter ref="A3:M417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25F3-F29D-4E6C-96AC-E05A3AC262D1}">
  <sheetPr filterMode="1"/>
  <dimension ref="A1:P844"/>
  <sheetViews>
    <sheetView zoomScaleNormal="100" workbookViewId="0">
      <selection activeCell="C18" sqref="C18:C19"/>
    </sheetView>
  </sheetViews>
  <sheetFormatPr defaultColWidth="5.33203125" defaultRowHeight="13.15" outlineLevelRow="2"/>
  <cols>
    <col min="1" max="1" width="17.73046875" style="6" bestFit="1" customWidth="1"/>
    <col min="2" max="2" width="8.73046875" style="6" bestFit="1" customWidth="1"/>
    <col min="3" max="3" width="21.46484375" style="6" bestFit="1" customWidth="1"/>
    <col min="4" max="4" width="12" style="6" bestFit="1" customWidth="1"/>
    <col min="5" max="5" width="14.73046875" style="10" bestFit="1" customWidth="1"/>
    <col min="6" max="6" width="12" style="11" bestFit="1" customWidth="1"/>
    <col min="7" max="7" width="13.46484375" style="10" bestFit="1" customWidth="1"/>
    <col min="8" max="8" width="10.33203125" style="12" bestFit="1" customWidth="1"/>
    <col min="9" max="10" width="9.73046875" style="6" bestFit="1" customWidth="1"/>
    <col min="11" max="11" width="10.33203125" style="6" bestFit="1" customWidth="1"/>
    <col min="12" max="12" width="10.33203125" style="10" bestFit="1" customWidth="1"/>
    <col min="13" max="13" width="14.73046875" style="6" bestFit="1" customWidth="1"/>
    <col min="14" max="16384" width="5.3320312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3.5">
      <c r="B2" s="7" t="s">
        <v>0</v>
      </c>
      <c r="C2" s="8">
        <v>44196</v>
      </c>
      <c r="D2" s="9"/>
      <c r="L2" s="10" t="s">
        <v>1</v>
      </c>
    </row>
    <row r="3" spans="1:13" s="18" customFormat="1" ht="26.6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44166</v>
      </c>
      <c r="J4" s="19">
        <v>44196</v>
      </c>
      <c r="K4" s="3">
        <f t="shared" ref="K4:K32" si="0">J4-I4+1</f>
        <v>31</v>
      </c>
      <c r="L4" s="3">
        <f t="shared" ref="L4:L32" si="1">ROUND(G4*H4*K4/366,0)</f>
        <v>68818</v>
      </c>
      <c r="M4" s="3">
        <v>162500000</v>
      </c>
    </row>
    <row r="5" spans="1:13" s="18" customFormat="1" hidden="1" outlineLevel="2">
      <c r="A5" s="19" t="s">
        <v>15</v>
      </c>
      <c r="B5" s="20" t="s">
        <v>61</v>
      </c>
      <c r="C5" s="21" t="s">
        <v>69</v>
      </c>
      <c r="D5" s="20" t="s">
        <v>68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44166</v>
      </c>
      <c r="J5" s="19">
        <v>44196</v>
      </c>
      <c r="K5" s="3">
        <f t="shared" si="0"/>
        <v>31</v>
      </c>
      <c r="L5" s="3">
        <f t="shared" si="1"/>
        <v>610</v>
      </c>
      <c r="M5" s="3">
        <v>2400000</v>
      </c>
    </row>
    <row r="6" spans="1:13" s="18" customFormat="1" hidden="1" outlineLevel="2">
      <c r="A6" s="19" t="s">
        <v>15</v>
      </c>
      <c r="B6" s="20" t="s">
        <v>60</v>
      </c>
      <c r="C6" s="21" t="s">
        <v>139</v>
      </c>
      <c r="D6" s="20" t="s">
        <v>138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44166</v>
      </c>
      <c r="J6" s="19">
        <v>44196</v>
      </c>
      <c r="K6" s="3">
        <f t="shared" si="0"/>
        <v>31</v>
      </c>
      <c r="L6" s="3">
        <f t="shared" si="1"/>
        <v>3121</v>
      </c>
      <c r="M6" s="3">
        <v>7370000</v>
      </c>
    </row>
    <row r="7" spans="1:13" s="18" customFormat="1" outlineLevel="2">
      <c r="A7" s="19" t="s">
        <v>15</v>
      </c>
      <c r="B7" s="20" t="s">
        <v>66</v>
      </c>
      <c r="C7" s="21" t="s">
        <v>17</v>
      </c>
      <c r="D7" s="20" t="s">
        <v>18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44166</v>
      </c>
      <c r="J7" s="19">
        <v>44196</v>
      </c>
      <c r="K7" s="3">
        <f t="shared" si="0"/>
        <v>31</v>
      </c>
      <c r="L7" s="3">
        <f t="shared" si="1"/>
        <v>2494</v>
      </c>
      <c r="M7" s="3">
        <v>5890000</v>
      </c>
    </row>
    <row r="8" spans="1:13" s="18" customFormat="1" hidden="1" outlineLevel="2">
      <c r="A8" s="19" t="s">
        <v>15</v>
      </c>
      <c r="B8" s="20" t="s">
        <v>65</v>
      </c>
      <c r="C8" s="21" t="s">
        <v>158</v>
      </c>
      <c r="D8" s="20" t="s">
        <v>157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44166</v>
      </c>
      <c r="J8" s="19">
        <v>44196</v>
      </c>
      <c r="K8" s="3">
        <f t="shared" si="0"/>
        <v>31</v>
      </c>
      <c r="L8" s="3">
        <f t="shared" si="1"/>
        <v>1279</v>
      </c>
      <c r="M8" s="3">
        <v>3020000</v>
      </c>
    </row>
    <row r="9" spans="1:13" s="18" customFormat="1" hidden="1" outlineLevel="2">
      <c r="A9" s="19" t="s">
        <v>15</v>
      </c>
      <c r="B9" s="20" t="s">
        <v>64</v>
      </c>
      <c r="C9" s="21" t="s">
        <v>97</v>
      </c>
      <c r="D9" s="20" t="s">
        <v>96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44166</v>
      </c>
      <c r="J9" s="19">
        <v>44196</v>
      </c>
      <c r="K9" s="3">
        <f t="shared" si="0"/>
        <v>31</v>
      </c>
      <c r="L9" s="3">
        <f t="shared" si="1"/>
        <v>35828</v>
      </c>
      <c r="M9" s="3">
        <v>84600000</v>
      </c>
    </row>
    <row r="10" spans="1:13" s="18" customFormat="1" hidden="1" outlineLevel="2">
      <c r="A10" s="19" t="s">
        <v>15</v>
      </c>
      <c r="B10" s="20" t="s">
        <v>85</v>
      </c>
      <c r="C10" s="21" t="s">
        <v>97</v>
      </c>
      <c r="D10" s="20" t="s">
        <v>96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44166</v>
      </c>
      <c r="J10" s="19">
        <v>44196</v>
      </c>
      <c r="K10" s="3">
        <f t="shared" si="0"/>
        <v>31</v>
      </c>
      <c r="L10" s="3">
        <f t="shared" si="1"/>
        <v>25410</v>
      </c>
      <c r="M10" s="3">
        <v>60000000</v>
      </c>
    </row>
    <row r="11" spans="1:13" s="18" customFormat="1" hidden="1" outlineLevel="2">
      <c r="A11" s="19" t="s">
        <v>15</v>
      </c>
      <c r="B11" s="20" t="s">
        <v>84</v>
      </c>
      <c r="C11" s="21" t="s">
        <v>69</v>
      </c>
      <c r="D11" s="20" t="s">
        <v>68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44166</v>
      </c>
      <c r="J11" s="19">
        <v>44196</v>
      </c>
      <c r="K11" s="3">
        <f t="shared" si="0"/>
        <v>31</v>
      </c>
      <c r="L11" s="3">
        <f t="shared" si="1"/>
        <v>41164</v>
      </c>
      <c r="M11" s="3">
        <v>162000000</v>
      </c>
    </row>
    <row r="12" spans="1:13" s="18" customFormat="1" outlineLevel="2">
      <c r="A12" s="19" t="s">
        <v>15</v>
      </c>
      <c r="B12" s="20" t="s">
        <v>83</v>
      </c>
      <c r="C12" s="21" t="s">
        <v>17</v>
      </c>
      <c r="D12" s="20" t="s">
        <v>18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44166</v>
      </c>
      <c r="J12" s="19">
        <v>44196</v>
      </c>
      <c r="K12" s="3">
        <f t="shared" si="0"/>
        <v>31</v>
      </c>
      <c r="L12" s="3">
        <f t="shared" si="1"/>
        <v>1756</v>
      </c>
      <c r="M12" s="3">
        <v>4147000</v>
      </c>
    </row>
    <row r="13" spans="1:13" s="18" customFormat="1" hidden="1" outlineLevel="2">
      <c r="A13" s="19" t="s">
        <v>15</v>
      </c>
      <c r="B13" s="20" t="s">
        <v>102</v>
      </c>
      <c r="C13" s="21" t="s">
        <v>158</v>
      </c>
      <c r="D13" s="20" t="s">
        <v>157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44166</v>
      </c>
      <c r="J13" s="19">
        <v>44196</v>
      </c>
      <c r="K13" s="3">
        <f t="shared" si="0"/>
        <v>31</v>
      </c>
      <c r="L13" s="3">
        <f t="shared" si="1"/>
        <v>313</v>
      </c>
      <c r="M13" s="3">
        <v>740000</v>
      </c>
    </row>
    <row r="14" spans="1:13" s="18" customFormat="1" hidden="1" outlineLevel="2">
      <c r="A14" s="19" t="s">
        <v>15</v>
      </c>
      <c r="B14" s="20" t="s">
        <v>101</v>
      </c>
      <c r="C14" s="21" t="s">
        <v>133</v>
      </c>
      <c r="D14" s="20" t="s">
        <v>132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44166</v>
      </c>
      <c r="J14" s="19">
        <v>44196</v>
      </c>
      <c r="K14" s="3">
        <f t="shared" si="0"/>
        <v>31</v>
      </c>
      <c r="L14" s="3">
        <f t="shared" si="1"/>
        <v>74634</v>
      </c>
      <c r="M14" s="3">
        <v>176232000</v>
      </c>
    </row>
    <row r="15" spans="1:13" s="18" customFormat="1" outlineLevel="2">
      <c r="A15" s="19" t="s">
        <v>15</v>
      </c>
      <c r="B15" s="20" t="s">
        <v>23</v>
      </c>
      <c r="C15" s="21" t="s">
        <v>17</v>
      </c>
      <c r="D15" s="20" t="s">
        <v>18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44166</v>
      </c>
      <c r="J15" s="19">
        <v>44196</v>
      </c>
      <c r="K15" s="3">
        <f t="shared" si="0"/>
        <v>31</v>
      </c>
      <c r="L15" s="3">
        <f t="shared" si="1"/>
        <v>2723</v>
      </c>
      <c r="M15" s="3">
        <v>6430000</v>
      </c>
    </row>
    <row r="16" spans="1:13" s="18" customFormat="1" hidden="1" outlineLevel="2">
      <c r="A16" s="19" t="s">
        <v>15</v>
      </c>
      <c r="B16" s="20" t="s">
        <v>100</v>
      </c>
      <c r="C16" s="21" t="s">
        <v>97</v>
      </c>
      <c r="D16" s="20" t="s">
        <v>96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44166</v>
      </c>
      <c r="J16" s="19">
        <v>44196</v>
      </c>
      <c r="K16" s="3">
        <f t="shared" si="0"/>
        <v>31</v>
      </c>
      <c r="L16" s="3">
        <f t="shared" si="1"/>
        <v>2287</v>
      </c>
      <c r="M16" s="3">
        <v>5400000</v>
      </c>
    </row>
    <row r="17" spans="1:13" s="18" customFormat="1" hidden="1" outlineLevel="2">
      <c r="A17" s="19" t="s">
        <v>15</v>
      </c>
      <c r="B17" s="20" t="s">
        <v>99</v>
      </c>
      <c r="C17" s="21" t="s">
        <v>158</v>
      </c>
      <c r="D17" s="20" t="s">
        <v>157</v>
      </c>
      <c r="E17" s="3">
        <v>380000</v>
      </c>
      <c r="F17" s="19">
        <v>44116</v>
      </c>
      <c r="G17" s="3">
        <v>380000</v>
      </c>
      <c r="H17" s="2">
        <v>5.0000000000000001E-3</v>
      </c>
      <c r="I17" s="19">
        <v>44166</v>
      </c>
      <c r="J17" s="19">
        <v>44196</v>
      </c>
      <c r="K17" s="3">
        <f t="shared" si="0"/>
        <v>31</v>
      </c>
      <c r="L17" s="3">
        <f t="shared" si="1"/>
        <v>161</v>
      </c>
      <c r="M17" s="3">
        <v>380000</v>
      </c>
    </row>
    <row r="18" spans="1:13" s="18" customFormat="1" hidden="1" outlineLevel="2">
      <c r="A18" s="19" t="s">
        <v>15</v>
      </c>
      <c r="B18" s="20" t="s">
        <v>98</v>
      </c>
      <c r="C18" s="21" t="s">
        <v>158</v>
      </c>
      <c r="D18" s="20" t="s">
        <v>157</v>
      </c>
      <c r="E18" s="3">
        <v>2400000</v>
      </c>
      <c r="F18" s="19">
        <v>44123</v>
      </c>
      <c r="G18" s="3">
        <v>2400000</v>
      </c>
      <c r="H18" s="2">
        <v>5.0000000000000001E-3</v>
      </c>
      <c r="I18" s="19">
        <v>44166</v>
      </c>
      <c r="J18" s="19">
        <v>44196</v>
      </c>
      <c r="K18" s="3">
        <f t="shared" si="0"/>
        <v>31</v>
      </c>
      <c r="L18" s="3">
        <f t="shared" si="1"/>
        <v>1016</v>
      </c>
      <c r="M18" s="3">
        <v>2400000</v>
      </c>
    </row>
    <row r="19" spans="1:13" s="18" customFormat="1" hidden="1" outlineLevel="2">
      <c r="A19" s="19" t="s">
        <v>15</v>
      </c>
      <c r="B19" s="20" t="s">
        <v>122</v>
      </c>
      <c r="C19" s="21" t="s">
        <v>158</v>
      </c>
      <c r="D19" s="20" t="s">
        <v>157</v>
      </c>
      <c r="E19" s="3">
        <v>1000000</v>
      </c>
      <c r="F19" s="19">
        <v>44131</v>
      </c>
      <c r="G19" s="3">
        <v>1000000</v>
      </c>
      <c r="H19" s="2">
        <v>5.0000000000000001E-3</v>
      </c>
      <c r="I19" s="19">
        <v>44166</v>
      </c>
      <c r="J19" s="19">
        <v>44196</v>
      </c>
      <c r="K19" s="3">
        <f t="shared" si="0"/>
        <v>31</v>
      </c>
      <c r="L19" s="3">
        <f t="shared" si="1"/>
        <v>423</v>
      </c>
      <c r="M19" s="3">
        <v>1000000</v>
      </c>
    </row>
    <row r="20" spans="1:13" s="18" customFormat="1" hidden="1" outlineLevel="2">
      <c r="A20" s="19" t="s">
        <v>15</v>
      </c>
      <c r="B20" s="20" t="s">
        <v>121</v>
      </c>
      <c r="C20" s="21" t="s">
        <v>107</v>
      </c>
      <c r="D20" s="20" t="s">
        <v>106</v>
      </c>
      <c r="E20" s="3">
        <v>10000000</v>
      </c>
      <c r="F20" s="19">
        <v>44120</v>
      </c>
      <c r="G20" s="3">
        <v>10000000</v>
      </c>
      <c r="H20" s="2">
        <v>5.0000000000000001E-3</v>
      </c>
      <c r="I20" s="19">
        <v>44166</v>
      </c>
      <c r="J20" s="19">
        <v>44196</v>
      </c>
      <c r="K20" s="3">
        <f t="shared" si="0"/>
        <v>31</v>
      </c>
      <c r="L20" s="3">
        <f t="shared" si="1"/>
        <v>4235</v>
      </c>
      <c r="M20" s="3">
        <v>10000000</v>
      </c>
    </row>
    <row r="21" spans="1:13" s="18" customFormat="1" hidden="1" outlineLevel="2">
      <c r="A21" s="19" t="s">
        <v>15</v>
      </c>
      <c r="B21" s="20" t="s">
        <v>120</v>
      </c>
      <c r="C21" s="21" t="s">
        <v>258</v>
      </c>
      <c r="D21" s="20" t="s">
        <v>257</v>
      </c>
      <c r="E21" s="3">
        <v>250000000</v>
      </c>
      <c r="F21" s="19">
        <v>44147</v>
      </c>
      <c r="G21" s="3">
        <v>250000000</v>
      </c>
      <c r="H21" s="2">
        <v>5.0000000000000001E-3</v>
      </c>
      <c r="I21" s="19">
        <v>44166</v>
      </c>
      <c r="J21" s="19">
        <v>44196</v>
      </c>
      <c r="K21" s="3">
        <f t="shared" si="0"/>
        <v>31</v>
      </c>
      <c r="L21" s="3">
        <f t="shared" si="1"/>
        <v>105874</v>
      </c>
      <c r="M21" s="3">
        <v>250000000</v>
      </c>
    </row>
    <row r="22" spans="1:13" s="18" customFormat="1" hidden="1" outlineLevel="2">
      <c r="A22" s="19" t="s">
        <v>15</v>
      </c>
      <c r="B22" s="20" t="s">
        <v>147</v>
      </c>
      <c r="C22" s="21" t="s">
        <v>258</v>
      </c>
      <c r="D22" s="20" t="s">
        <v>257</v>
      </c>
      <c r="E22" s="3">
        <v>200000000</v>
      </c>
      <c r="F22" s="19">
        <v>44147</v>
      </c>
      <c r="G22" s="3">
        <v>200000000</v>
      </c>
      <c r="H22" s="2">
        <v>5.0000000000000001E-3</v>
      </c>
      <c r="I22" s="19">
        <v>44166</v>
      </c>
      <c r="J22" s="19">
        <v>44196</v>
      </c>
      <c r="K22" s="3">
        <f t="shared" si="0"/>
        <v>31</v>
      </c>
      <c r="L22" s="3">
        <f t="shared" si="1"/>
        <v>84699</v>
      </c>
      <c r="M22" s="3">
        <v>200000000</v>
      </c>
    </row>
    <row r="23" spans="1:13" s="18" customFormat="1" hidden="1" outlineLevel="2">
      <c r="A23" s="19" t="s">
        <v>15</v>
      </c>
      <c r="B23" s="20" t="s">
        <v>146</v>
      </c>
      <c r="C23" s="21" t="s">
        <v>139</v>
      </c>
      <c r="D23" s="20" t="s">
        <v>138</v>
      </c>
      <c r="E23" s="3">
        <v>8600000</v>
      </c>
      <c r="F23" s="19">
        <v>44155</v>
      </c>
      <c r="G23" s="3">
        <v>8600000</v>
      </c>
      <c r="H23" s="2">
        <v>5.0000000000000001E-3</v>
      </c>
      <c r="I23" s="19">
        <v>44166</v>
      </c>
      <c r="J23" s="19">
        <v>44196</v>
      </c>
      <c r="K23" s="3">
        <f t="shared" si="0"/>
        <v>31</v>
      </c>
      <c r="L23" s="3">
        <f t="shared" si="1"/>
        <v>3642</v>
      </c>
      <c r="M23" s="3">
        <v>8600000</v>
      </c>
    </row>
    <row r="24" spans="1:13" s="18" customFormat="1" outlineLevel="2">
      <c r="A24" s="19" t="s">
        <v>15</v>
      </c>
      <c r="B24" s="20" t="s">
        <v>145</v>
      </c>
      <c r="C24" s="21" t="s">
        <v>17</v>
      </c>
      <c r="D24" s="20" t="s">
        <v>18</v>
      </c>
      <c r="E24" s="3">
        <v>1657000</v>
      </c>
      <c r="F24" s="19">
        <v>44160</v>
      </c>
      <c r="G24" s="3">
        <v>1657000</v>
      </c>
      <c r="H24" s="2">
        <v>5.0000000000000001E-3</v>
      </c>
      <c r="I24" s="19">
        <v>44166</v>
      </c>
      <c r="J24" s="19">
        <v>44196</v>
      </c>
      <c r="K24" s="3">
        <f t="shared" si="0"/>
        <v>31</v>
      </c>
      <c r="L24" s="3">
        <f t="shared" si="1"/>
        <v>702</v>
      </c>
      <c r="M24" s="3">
        <v>1657000</v>
      </c>
    </row>
    <row r="25" spans="1:13" s="18" customFormat="1" hidden="1" outlineLevel="2">
      <c r="A25" s="19" t="s">
        <v>15</v>
      </c>
      <c r="B25" s="20" t="s">
        <v>144</v>
      </c>
      <c r="C25" s="21" t="s">
        <v>158</v>
      </c>
      <c r="D25" s="20" t="s">
        <v>157</v>
      </c>
      <c r="E25" s="3">
        <v>2000000</v>
      </c>
      <c r="F25" s="19">
        <v>44188</v>
      </c>
      <c r="G25" s="3">
        <v>2000000</v>
      </c>
      <c r="H25" s="2">
        <v>5.0000000000000001E-3</v>
      </c>
      <c r="I25" s="19">
        <v>44188</v>
      </c>
      <c r="J25" s="19">
        <v>44196</v>
      </c>
      <c r="K25" s="3">
        <f t="shared" si="0"/>
        <v>9</v>
      </c>
      <c r="L25" s="3">
        <f t="shared" si="1"/>
        <v>246</v>
      </c>
      <c r="M25" s="3">
        <v>2000000</v>
      </c>
    </row>
    <row r="26" spans="1:13" s="18" customFormat="1" hidden="1" outlineLevel="2">
      <c r="A26" s="19" t="s">
        <v>15</v>
      </c>
      <c r="B26" s="20" t="s">
        <v>29</v>
      </c>
      <c r="C26" s="21" t="s">
        <v>57</v>
      </c>
      <c r="D26" s="20" t="s">
        <v>56</v>
      </c>
      <c r="E26" s="3">
        <v>28600000</v>
      </c>
      <c r="F26" s="19">
        <v>43921</v>
      </c>
      <c r="G26" s="3">
        <v>28600000</v>
      </c>
      <c r="H26" s="2">
        <v>5.0000000000000001E-3</v>
      </c>
      <c r="I26" s="19">
        <v>44166</v>
      </c>
      <c r="J26" s="19">
        <v>44196</v>
      </c>
      <c r="K26" s="3">
        <f t="shared" si="0"/>
        <v>31</v>
      </c>
      <c r="L26" s="3">
        <f t="shared" si="1"/>
        <v>12112</v>
      </c>
      <c r="M26" s="3">
        <v>28600000</v>
      </c>
    </row>
    <row r="27" spans="1:13" s="18" customFormat="1" hidden="1" outlineLevel="2">
      <c r="A27" s="19" t="s">
        <v>15</v>
      </c>
      <c r="B27" s="20" t="s">
        <v>30</v>
      </c>
      <c r="C27" s="21" t="s">
        <v>74</v>
      </c>
      <c r="D27" s="20" t="s">
        <v>73</v>
      </c>
      <c r="E27" s="3">
        <v>20000000</v>
      </c>
      <c r="F27" s="19">
        <v>43922</v>
      </c>
      <c r="G27" s="3">
        <v>20000000</v>
      </c>
      <c r="H27" s="2">
        <v>5.0000000000000001E-3</v>
      </c>
      <c r="I27" s="19">
        <v>44166</v>
      </c>
      <c r="J27" s="19">
        <v>44196</v>
      </c>
      <c r="K27" s="3">
        <f t="shared" si="0"/>
        <v>31</v>
      </c>
      <c r="L27" s="3">
        <f t="shared" si="1"/>
        <v>8470</v>
      </c>
      <c r="M27" s="3">
        <v>20000000</v>
      </c>
    </row>
    <row r="28" spans="1:13" s="18" customFormat="1" hidden="1" outlineLevel="2">
      <c r="A28" s="19" t="s">
        <v>15</v>
      </c>
      <c r="B28" s="20" t="s">
        <v>31</v>
      </c>
      <c r="C28" s="21" t="s">
        <v>57</v>
      </c>
      <c r="D28" s="20" t="s">
        <v>56</v>
      </c>
      <c r="E28" s="3">
        <v>10000000</v>
      </c>
      <c r="F28" s="19">
        <v>43934</v>
      </c>
      <c r="G28" s="3">
        <v>10000000</v>
      </c>
      <c r="H28" s="2">
        <v>5.0000000000000001E-3</v>
      </c>
      <c r="I28" s="19">
        <v>44166</v>
      </c>
      <c r="J28" s="19">
        <v>44196</v>
      </c>
      <c r="K28" s="3">
        <f t="shared" si="0"/>
        <v>31</v>
      </c>
      <c r="L28" s="3">
        <f t="shared" si="1"/>
        <v>4235</v>
      </c>
      <c r="M28" s="3">
        <v>10000000</v>
      </c>
    </row>
    <row r="29" spans="1:13" s="18" customFormat="1" hidden="1" outlineLevel="2">
      <c r="A29" s="19" t="s">
        <v>15</v>
      </c>
      <c r="B29" s="20" t="s">
        <v>32</v>
      </c>
      <c r="C29" s="21" t="s">
        <v>57</v>
      </c>
      <c r="D29" s="20" t="s">
        <v>56</v>
      </c>
      <c r="E29" s="3">
        <v>30000000</v>
      </c>
      <c r="F29" s="19">
        <v>43937</v>
      </c>
      <c r="G29" s="3">
        <v>30000000</v>
      </c>
      <c r="H29" s="2">
        <v>5.0000000000000001E-3</v>
      </c>
      <c r="I29" s="19">
        <v>44166</v>
      </c>
      <c r="J29" s="19">
        <v>44196</v>
      </c>
      <c r="K29" s="3">
        <f t="shared" si="0"/>
        <v>31</v>
      </c>
      <c r="L29" s="3">
        <f t="shared" si="1"/>
        <v>12705</v>
      </c>
      <c r="M29" s="3">
        <v>30000000</v>
      </c>
    </row>
    <row r="30" spans="1:13" s="18" customFormat="1" hidden="1" outlineLevel="2">
      <c r="A30" s="19" t="s">
        <v>15</v>
      </c>
      <c r="B30" s="20" t="s">
        <v>48</v>
      </c>
      <c r="C30" s="21" t="s">
        <v>57</v>
      </c>
      <c r="D30" s="20" t="s">
        <v>56</v>
      </c>
      <c r="E30" s="3">
        <v>58360000</v>
      </c>
      <c r="F30" s="19">
        <v>43929</v>
      </c>
      <c r="G30" s="3">
        <v>58360000</v>
      </c>
      <c r="H30" s="2">
        <v>5.0000000000000001E-3</v>
      </c>
      <c r="I30" s="19">
        <v>44166</v>
      </c>
      <c r="J30" s="19">
        <v>44196</v>
      </c>
      <c r="K30" s="3">
        <f t="shared" si="0"/>
        <v>31</v>
      </c>
      <c r="L30" s="3">
        <f t="shared" si="1"/>
        <v>24715</v>
      </c>
      <c r="M30" s="3">
        <v>58360000</v>
      </c>
    </row>
    <row r="31" spans="1:13" s="18" customFormat="1" hidden="1" outlineLevel="2">
      <c r="A31" s="19" t="s">
        <v>15</v>
      </c>
      <c r="B31" s="20" t="s">
        <v>59</v>
      </c>
      <c r="C31" s="21" t="s">
        <v>113</v>
      </c>
      <c r="D31" s="20" t="s">
        <v>112</v>
      </c>
      <c r="E31" s="3">
        <v>64000000</v>
      </c>
      <c r="F31" s="19">
        <v>43966</v>
      </c>
      <c r="G31" s="3">
        <v>64000000</v>
      </c>
      <c r="H31" s="2">
        <v>5.0000000000000001E-3</v>
      </c>
      <c r="I31" s="19">
        <v>44166</v>
      </c>
      <c r="J31" s="19">
        <v>44196</v>
      </c>
      <c r="K31" s="3">
        <f t="shared" si="0"/>
        <v>31</v>
      </c>
      <c r="L31" s="3">
        <f t="shared" si="1"/>
        <v>27104</v>
      </c>
      <c r="M31" s="3">
        <v>64000000</v>
      </c>
    </row>
    <row r="32" spans="1:13" s="18" customFormat="1" hidden="1" outlineLevel="2">
      <c r="A32" s="19" t="s">
        <v>15</v>
      </c>
      <c r="B32" s="20" t="s">
        <v>58</v>
      </c>
      <c r="C32" s="21" t="s">
        <v>57</v>
      </c>
      <c r="D32" s="20" t="s">
        <v>56</v>
      </c>
      <c r="E32" s="3">
        <v>11400000</v>
      </c>
      <c r="F32" s="19">
        <v>43962</v>
      </c>
      <c r="G32" s="3">
        <v>11400000</v>
      </c>
      <c r="H32" s="2">
        <v>5.0000000000000001E-3</v>
      </c>
      <c r="I32" s="19">
        <v>44166</v>
      </c>
      <c r="J32" s="19">
        <v>44196</v>
      </c>
      <c r="K32" s="3">
        <f t="shared" si="0"/>
        <v>31</v>
      </c>
      <c r="L32" s="3">
        <f t="shared" si="1"/>
        <v>4828</v>
      </c>
      <c r="M32" s="3">
        <v>11400000</v>
      </c>
    </row>
    <row r="33" spans="1:13" s="18" customFormat="1" ht="13.5" hidden="1" outlineLevel="1">
      <c r="A33" s="22" t="s">
        <v>19</v>
      </c>
      <c r="B33" s="23"/>
      <c r="C33" s="24"/>
      <c r="D33" s="23"/>
      <c r="E33" s="25">
        <f>SUBTOTAL(9,E4:E32)</f>
        <v>180624000</v>
      </c>
      <c r="F33" s="26"/>
      <c r="G33" s="25"/>
      <c r="H33" s="27"/>
      <c r="I33" s="26"/>
      <c r="J33" s="26"/>
      <c r="K33" s="25"/>
      <c r="L33" s="25">
        <f>SUBTOTAL(9,L4:L32)</f>
        <v>76493</v>
      </c>
      <c r="M33" s="25">
        <f>SUBTOTAL(9,M4:M32)</f>
        <v>180624000</v>
      </c>
    </row>
    <row r="34" spans="1:13" s="18" customFormat="1" hidden="1" outlineLevel="2">
      <c r="A34" s="19" t="s">
        <v>183</v>
      </c>
      <c r="B34" s="20" t="s">
        <v>16</v>
      </c>
      <c r="C34" s="21" t="s">
        <v>158</v>
      </c>
      <c r="D34" s="20" t="s">
        <v>157</v>
      </c>
      <c r="E34" s="3">
        <v>21330000</v>
      </c>
      <c r="F34" s="19">
        <v>44046</v>
      </c>
      <c r="G34" s="3">
        <v>21330000</v>
      </c>
      <c r="H34" s="2">
        <v>5.0000000000000001E-3</v>
      </c>
      <c r="I34" s="19">
        <v>44166</v>
      </c>
      <c r="J34" s="19">
        <v>44196</v>
      </c>
      <c r="K34" s="3">
        <f>J34-I34+1</f>
        <v>31</v>
      </c>
      <c r="L34" s="3">
        <f>ROUND(G34*H34*K34/366,0)</f>
        <v>9033</v>
      </c>
      <c r="M34" s="3">
        <v>21330000</v>
      </c>
    </row>
    <row r="35" spans="1:13" s="18" customFormat="1" hidden="1" outlineLevel="2">
      <c r="A35" s="19" t="s">
        <v>183</v>
      </c>
      <c r="B35" s="20" t="s">
        <v>23</v>
      </c>
      <c r="C35" s="21" t="s">
        <v>158</v>
      </c>
      <c r="D35" s="20" t="s">
        <v>157</v>
      </c>
      <c r="E35" s="3">
        <v>8670000</v>
      </c>
      <c r="F35" s="19">
        <v>44060</v>
      </c>
      <c r="G35" s="3">
        <v>8670000</v>
      </c>
      <c r="H35" s="2">
        <v>5.0000000000000001E-3</v>
      </c>
      <c r="I35" s="19">
        <v>44166</v>
      </c>
      <c r="J35" s="19">
        <v>44196</v>
      </c>
      <c r="K35" s="3">
        <f>J35-I35+1</f>
        <v>31</v>
      </c>
      <c r="L35" s="3">
        <f>ROUND(G35*H35*K35/366,0)</f>
        <v>3672</v>
      </c>
      <c r="M35" s="3">
        <v>8670000</v>
      </c>
    </row>
    <row r="36" spans="1:13" s="18" customFormat="1" hidden="1" outlineLevel="2">
      <c r="A36" s="19" t="s">
        <v>183</v>
      </c>
      <c r="B36" s="20" t="s">
        <v>29</v>
      </c>
      <c r="C36" s="21" t="s">
        <v>160</v>
      </c>
      <c r="D36" s="20" t="s">
        <v>159</v>
      </c>
      <c r="E36" s="3">
        <v>10600000</v>
      </c>
      <c r="F36" s="19">
        <v>44085</v>
      </c>
      <c r="G36" s="3">
        <v>10600000</v>
      </c>
      <c r="H36" s="2">
        <v>5.0000000000000001E-3</v>
      </c>
      <c r="I36" s="19">
        <v>44166</v>
      </c>
      <c r="J36" s="19">
        <v>44196</v>
      </c>
      <c r="K36" s="3">
        <f>J36-I36+1</f>
        <v>31</v>
      </c>
      <c r="L36" s="3">
        <f>ROUND(G36*H36*K36/366,0)</f>
        <v>4489</v>
      </c>
      <c r="M36" s="3">
        <v>10600000</v>
      </c>
    </row>
    <row r="37" spans="1:13" s="18" customFormat="1" hidden="1" outlineLevel="2">
      <c r="A37" s="19" t="s">
        <v>183</v>
      </c>
      <c r="B37" s="20" t="s">
        <v>30</v>
      </c>
      <c r="C37" s="21" t="s">
        <v>286</v>
      </c>
      <c r="D37" s="20" t="s">
        <v>285</v>
      </c>
      <c r="E37" s="3">
        <v>40170000</v>
      </c>
      <c r="F37" s="19">
        <v>44172</v>
      </c>
      <c r="G37" s="3">
        <v>40170000</v>
      </c>
      <c r="H37" s="2">
        <v>5.0000000000000001E-3</v>
      </c>
      <c r="I37" s="19">
        <v>44172</v>
      </c>
      <c r="J37" s="19">
        <v>44196</v>
      </c>
      <c r="K37" s="3">
        <f>J37-I37+1</f>
        <v>25</v>
      </c>
      <c r="L37" s="3">
        <f>ROUND(G37*H37*K37/366,0)</f>
        <v>13719</v>
      </c>
      <c r="M37" s="3">
        <v>40170000</v>
      </c>
    </row>
    <row r="38" spans="1:13" s="18" customFormat="1" hidden="1" outlineLevel="2">
      <c r="A38" s="19" t="s">
        <v>183</v>
      </c>
      <c r="B38" s="20" t="s">
        <v>31</v>
      </c>
      <c r="C38" s="21" t="s">
        <v>229</v>
      </c>
      <c r="D38" s="20" t="s">
        <v>228</v>
      </c>
      <c r="E38" s="3">
        <v>5170000</v>
      </c>
      <c r="F38" s="19">
        <v>44166</v>
      </c>
      <c r="G38" s="3">
        <v>5170000</v>
      </c>
      <c r="H38" s="2">
        <v>5.0000000000000001E-3</v>
      </c>
      <c r="I38" s="19">
        <v>44166</v>
      </c>
      <c r="J38" s="19">
        <v>44196</v>
      </c>
      <c r="K38" s="3">
        <f>J38-I38+1</f>
        <v>31</v>
      </c>
      <c r="L38" s="3">
        <f>ROUND(G38*H38*K38/366,0)</f>
        <v>2189</v>
      </c>
      <c r="M38" s="3">
        <v>5170000</v>
      </c>
    </row>
    <row r="39" spans="1:13" s="18" customFormat="1" ht="13.5" hidden="1" outlineLevel="1" collapsed="1">
      <c r="A39" s="22" t="s">
        <v>181</v>
      </c>
      <c r="B39" s="23"/>
      <c r="C39" s="24"/>
      <c r="D39" s="23"/>
      <c r="E39" s="25">
        <f>SUBTOTAL(9,E34:E38)</f>
        <v>0</v>
      </c>
      <c r="F39" s="26"/>
      <c r="G39" s="25"/>
      <c r="H39" s="27"/>
      <c r="I39" s="26"/>
      <c r="J39" s="26"/>
      <c r="K39" s="25"/>
      <c r="L39" s="25">
        <f>SUBTOTAL(9,L34:L38)</f>
        <v>0</v>
      </c>
      <c r="M39" s="25">
        <f>SUBTOTAL(9,M34:M38)</f>
        <v>0</v>
      </c>
    </row>
    <row r="40" spans="1:13" s="18" customFormat="1" hidden="1" outlineLevel="2">
      <c r="A40" s="19" t="s">
        <v>80</v>
      </c>
      <c r="B40" s="20" t="s">
        <v>16</v>
      </c>
      <c r="C40" s="21" t="s">
        <v>57</v>
      </c>
      <c r="D40" s="20" t="s">
        <v>56</v>
      </c>
      <c r="E40" s="3">
        <v>26500000</v>
      </c>
      <c r="F40" s="19">
        <v>43907</v>
      </c>
      <c r="G40" s="3">
        <v>23976192</v>
      </c>
      <c r="H40" s="2">
        <v>5.0000000000000001E-3</v>
      </c>
      <c r="I40" s="19">
        <v>44166</v>
      </c>
      <c r="J40" s="19">
        <v>44179</v>
      </c>
      <c r="K40" s="3">
        <f t="shared" ref="K40:K84" si="2">J40-I40+1</f>
        <v>14</v>
      </c>
      <c r="L40" s="3">
        <f t="shared" ref="L40:L84" si="3">ROUND(G40*H40*K40/366,0)</f>
        <v>4586</v>
      </c>
      <c r="M40" s="3">
        <v>23660716</v>
      </c>
    </row>
    <row r="41" spans="1:13" s="18" customFormat="1" hidden="1" outlineLevel="2">
      <c r="A41" s="19" t="s">
        <v>80</v>
      </c>
      <c r="B41" s="20" t="s">
        <v>16</v>
      </c>
      <c r="C41" s="21" t="s">
        <v>57</v>
      </c>
      <c r="D41" s="20"/>
      <c r="E41" s="3"/>
      <c r="F41" s="19"/>
      <c r="G41" s="3">
        <v>23660716</v>
      </c>
      <c r="H41" s="2">
        <v>5.0000000000000001E-3</v>
      </c>
      <c r="I41" s="19">
        <v>44180</v>
      </c>
      <c r="J41" s="19">
        <v>44196</v>
      </c>
      <c r="K41" s="3">
        <f t="shared" si="2"/>
        <v>17</v>
      </c>
      <c r="L41" s="3">
        <f t="shared" si="3"/>
        <v>5495</v>
      </c>
      <c r="M41" s="3"/>
    </row>
    <row r="42" spans="1:13" s="18" customFormat="1" hidden="1" outlineLevel="2">
      <c r="A42" s="19" t="s">
        <v>80</v>
      </c>
      <c r="B42" s="20" t="s">
        <v>61</v>
      </c>
      <c r="C42" s="21" t="s">
        <v>162</v>
      </c>
      <c r="D42" s="20" t="s">
        <v>161</v>
      </c>
      <c r="E42" s="3">
        <v>130000000</v>
      </c>
      <c r="F42" s="19">
        <v>44013</v>
      </c>
      <c r="G42" s="3">
        <v>130000000</v>
      </c>
      <c r="H42" s="2">
        <v>5.0000000000000001E-3</v>
      </c>
      <c r="I42" s="19">
        <v>44166</v>
      </c>
      <c r="J42" s="19">
        <v>44196</v>
      </c>
      <c r="K42" s="3">
        <f t="shared" si="2"/>
        <v>31</v>
      </c>
      <c r="L42" s="3">
        <f t="shared" si="3"/>
        <v>55055</v>
      </c>
      <c r="M42" s="3">
        <v>130000000</v>
      </c>
    </row>
    <row r="43" spans="1:13" s="18" customFormat="1" hidden="1" outlineLevel="2">
      <c r="A43" s="19" t="s">
        <v>80</v>
      </c>
      <c r="B43" s="20" t="s">
        <v>60</v>
      </c>
      <c r="C43" s="21" t="s">
        <v>137</v>
      </c>
      <c r="D43" s="20" t="s">
        <v>136</v>
      </c>
      <c r="E43" s="3">
        <v>3400000</v>
      </c>
      <c r="F43" s="19">
        <v>44063</v>
      </c>
      <c r="G43" s="3">
        <v>3224140</v>
      </c>
      <c r="H43" s="2">
        <v>5.0000000000000001E-3</v>
      </c>
      <c r="I43" s="19">
        <v>44166</v>
      </c>
      <c r="J43" s="19">
        <v>44179</v>
      </c>
      <c r="K43" s="3">
        <f t="shared" si="2"/>
        <v>14</v>
      </c>
      <c r="L43" s="3">
        <f t="shared" si="3"/>
        <v>617</v>
      </c>
      <c r="M43" s="3">
        <v>3165520</v>
      </c>
    </row>
    <row r="44" spans="1:13" s="18" customFormat="1" hidden="1" outlineLevel="2">
      <c r="A44" s="19" t="s">
        <v>80</v>
      </c>
      <c r="B44" s="20" t="s">
        <v>60</v>
      </c>
      <c r="C44" s="21" t="s">
        <v>137</v>
      </c>
      <c r="D44" s="20"/>
      <c r="E44" s="3"/>
      <c r="F44" s="19"/>
      <c r="G44" s="3">
        <v>3165520</v>
      </c>
      <c r="H44" s="2">
        <v>5.0000000000000001E-3</v>
      </c>
      <c r="I44" s="19">
        <v>44180</v>
      </c>
      <c r="J44" s="19">
        <v>44196</v>
      </c>
      <c r="K44" s="3">
        <f t="shared" si="2"/>
        <v>17</v>
      </c>
      <c r="L44" s="3">
        <f t="shared" si="3"/>
        <v>735</v>
      </c>
      <c r="M44" s="3"/>
    </row>
    <row r="45" spans="1:13" s="18" customFormat="1" hidden="1" outlineLevel="2">
      <c r="A45" s="19" t="s">
        <v>80</v>
      </c>
      <c r="B45" s="20" t="s">
        <v>66</v>
      </c>
      <c r="C45" s="21" t="s">
        <v>137</v>
      </c>
      <c r="D45" s="20" t="s">
        <v>136</v>
      </c>
      <c r="E45" s="3">
        <v>9800000</v>
      </c>
      <c r="F45" s="19">
        <v>44071</v>
      </c>
      <c r="G45" s="3">
        <v>9293099</v>
      </c>
      <c r="H45" s="2">
        <v>5.0000000000000001E-3</v>
      </c>
      <c r="I45" s="19">
        <v>44166</v>
      </c>
      <c r="J45" s="19">
        <v>44179</v>
      </c>
      <c r="K45" s="3">
        <f t="shared" si="2"/>
        <v>14</v>
      </c>
      <c r="L45" s="3">
        <f t="shared" si="3"/>
        <v>1777</v>
      </c>
      <c r="M45" s="3">
        <v>9124132</v>
      </c>
    </row>
    <row r="46" spans="1:13" s="18" customFormat="1" hidden="1" outlineLevel="2">
      <c r="A46" s="19" t="s">
        <v>80</v>
      </c>
      <c r="B46" s="20" t="s">
        <v>66</v>
      </c>
      <c r="C46" s="21" t="s">
        <v>137</v>
      </c>
      <c r="D46" s="20"/>
      <c r="E46" s="3"/>
      <c r="F46" s="19"/>
      <c r="G46" s="3">
        <v>9124132</v>
      </c>
      <c r="H46" s="2">
        <v>5.0000000000000001E-3</v>
      </c>
      <c r="I46" s="19">
        <v>44180</v>
      </c>
      <c r="J46" s="19">
        <v>44196</v>
      </c>
      <c r="K46" s="3">
        <f t="shared" si="2"/>
        <v>17</v>
      </c>
      <c r="L46" s="3">
        <f t="shared" si="3"/>
        <v>2119</v>
      </c>
      <c r="M46" s="3"/>
    </row>
    <row r="47" spans="1:13" s="18" customFormat="1" hidden="1" outlineLevel="2">
      <c r="A47" s="19" t="s">
        <v>80</v>
      </c>
      <c r="B47" s="20" t="s">
        <v>65</v>
      </c>
      <c r="C47" s="21" t="s">
        <v>135</v>
      </c>
      <c r="D47" s="20" t="s">
        <v>134</v>
      </c>
      <c r="E47" s="3">
        <v>201000000</v>
      </c>
      <c r="F47" s="19">
        <v>44064</v>
      </c>
      <c r="G47" s="3">
        <v>201000000</v>
      </c>
      <c r="H47" s="2">
        <v>5.0000000000000001E-3</v>
      </c>
      <c r="I47" s="19">
        <v>44166</v>
      </c>
      <c r="J47" s="19">
        <v>44196</v>
      </c>
      <c r="K47" s="3">
        <f t="shared" si="2"/>
        <v>31</v>
      </c>
      <c r="L47" s="3">
        <f t="shared" si="3"/>
        <v>85123</v>
      </c>
      <c r="M47" s="3">
        <v>201000000</v>
      </c>
    </row>
    <row r="48" spans="1:13" s="18" customFormat="1" hidden="1" outlineLevel="2">
      <c r="A48" s="19" t="s">
        <v>80</v>
      </c>
      <c r="B48" s="20" t="s">
        <v>64</v>
      </c>
      <c r="C48" s="21" t="s">
        <v>205</v>
      </c>
      <c r="D48" s="20" t="s">
        <v>204</v>
      </c>
      <c r="E48" s="3">
        <v>211550000</v>
      </c>
      <c r="F48" s="19">
        <v>44078</v>
      </c>
      <c r="G48" s="3">
        <v>211550000</v>
      </c>
      <c r="H48" s="2">
        <v>5.0000000000000001E-3</v>
      </c>
      <c r="I48" s="19">
        <v>44166</v>
      </c>
      <c r="J48" s="19">
        <v>44196</v>
      </c>
      <c r="K48" s="3">
        <f t="shared" si="2"/>
        <v>31</v>
      </c>
      <c r="L48" s="3">
        <f t="shared" si="3"/>
        <v>89591</v>
      </c>
      <c r="M48" s="3">
        <v>211550000</v>
      </c>
    </row>
    <row r="49" spans="1:13" s="18" customFormat="1" hidden="1" outlineLevel="2">
      <c r="A49" s="19" t="s">
        <v>80</v>
      </c>
      <c r="B49" s="20" t="s">
        <v>85</v>
      </c>
      <c r="C49" s="21" t="s">
        <v>205</v>
      </c>
      <c r="D49" s="20" t="s">
        <v>204</v>
      </c>
      <c r="E49" s="3">
        <v>91330000</v>
      </c>
      <c r="F49" s="19">
        <v>44120</v>
      </c>
      <c r="G49" s="3">
        <v>91330000</v>
      </c>
      <c r="H49" s="2">
        <v>5.0000000000000001E-3</v>
      </c>
      <c r="I49" s="19">
        <v>44166</v>
      </c>
      <c r="J49" s="19">
        <v>44196</v>
      </c>
      <c r="K49" s="3">
        <f t="shared" si="2"/>
        <v>31</v>
      </c>
      <c r="L49" s="3">
        <f t="shared" si="3"/>
        <v>38678</v>
      </c>
      <c r="M49" s="3">
        <v>91330000</v>
      </c>
    </row>
    <row r="50" spans="1:13" s="18" customFormat="1" hidden="1" outlineLevel="2">
      <c r="A50" s="19" t="s">
        <v>80</v>
      </c>
      <c r="B50" s="20" t="s">
        <v>84</v>
      </c>
      <c r="C50" s="21" t="s">
        <v>107</v>
      </c>
      <c r="D50" s="20" t="s">
        <v>106</v>
      </c>
      <c r="E50" s="3">
        <v>10000000</v>
      </c>
      <c r="F50" s="19">
        <v>44120</v>
      </c>
      <c r="G50" s="3">
        <v>10000000</v>
      </c>
      <c r="H50" s="2">
        <v>5.0000000000000001E-3</v>
      </c>
      <c r="I50" s="19">
        <v>44166</v>
      </c>
      <c r="J50" s="19">
        <v>44196</v>
      </c>
      <c r="K50" s="3">
        <f t="shared" si="2"/>
        <v>31</v>
      </c>
      <c r="L50" s="3">
        <f t="shared" si="3"/>
        <v>4235</v>
      </c>
      <c r="M50" s="3">
        <v>10000000</v>
      </c>
    </row>
    <row r="51" spans="1:13" s="18" customFormat="1" hidden="1" outlineLevel="2">
      <c r="A51" s="19" t="s">
        <v>80</v>
      </c>
      <c r="B51" s="20" t="s">
        <v>83</v>
      </c>
      <c r="C51" s="21" t="s">
        <v>126</v>
      </c>
      <c r="D51" s="20" t="s">
        <v>125</v>
      </c>
      <c r="E51" s="3">
        <v>40000000</v>
      </c>
      <c r="F51" s="19">
        <v>44131</v>
      </c>
      <c r="G51" s="3">
        <v>40000000</v>
      </c>
      <c r="H51" s="2">
        <v>5.0000000000000001E-3</v>
      </c>
      <c r="I51" s="19">
        <v>44166</v>
      </c>
      <c r="J51" s="19">
        <v>44196</v>
      </c>
      <c r="K51" s="3">
        <f t="shared" si="2"/>
        <v>31</v>
      </c>
      <c r="L51" s="3">
        <f t="shared" si="3"/>
        <v>16940</v>
      </c>
      <c r="M51" s="3">
        <v>40000000</v>
      </c>
    </row>
    <row r="52" spans="1:13" s="18" customFormat="1" hidden="1" outlineLevel="2">
      <c r="A52" s="19" t="s">
        <v>80</v>
      </c>
      <c r="B52" s="20" t="s">
        <v>102</v>
      </c>
      <c r="C52" s="21" t="s">
        <v>130</v>
      </c>
      <c r="D52" s="20" t="s">
        <v>129</v>
      </c>
      <c r="E52" s="3">
        <v>88000000</v>
      </c>
      <c r="F52" s="19">
        <v>44119</v>
      </c>
      <c r="G52" s="3">
        <v>88000000</v>
      </c>
      <c r="H52" s="2">
        <v>5.0000000000000001E-3</v>
      </c>
      <c r="I52" s="19">
        <v>44166</v>
      </c>
      <c r="J52" s="19">
        <v>44196</v>
      </c>
      <c r="K52" s="3">
        <f t="shared" si="2"/>
        <v>31</v>
      </c>
      <c r="L52" s="3">
        <f t="shared" si="3"/>
        <v>37268</v>
      </c>
      <c r="M52" s="3">
        <v>88000000</v>
      </c>
    </row>
    <row r="53" spans="1:13" s="18" customFormat="1" hidden="1" outlineLevel="2">
      <c r="A53" s="19" t="s">
        <v>80</v>
      </c>
      <c r="B53" s="20" t="s">
        <v>101</v>
      </c>
      <c r="C53" s="21" t="s">
        <v>225</v>
      </c>
      <c r="D53" s="20" t="s">
        <v>224</v>
      </c>
      <c r="E53" s="3">
        <v>65800000</v>
      </c>
      <c r="F53" s="19">
        <v>44119</v>
      </c>
      <c r="G53" s="3">
        <v>65800000</v>
      </c>
      <c r="H53" s="2">
        <v>5.0000000000000001E-3</v>
      </c>
      <c r="I53" s="19">
        <v>44166</v>
      </c>
      <c r="J53" s="19">
        <v>44196</v>
      </c>
      <c r="K53" s="3">
        <f t="shared" si="2"/>
        <v>31</v>
      </c>
      <c r="L53" s="3">
        <f t="shared" si="3"/>
        <v>27866</v>
      </c>
      <c r="M53" s="3">
        <v>65800000</v>
      </c>
    </row>
    <row r="54" spans="1:13" s="18" customFormat="1" hidden="1" outlineLevel="2">
      <c r="A54" s="19" t="s">
        <v>80</v>
      </c>
      <c r="B54" s="20" t="s">
        <v>23</v>
      </c>
      <c r="C54" s="21" t="s">
        <v>74</v>
      </c>
      <c r="D54" s="20" t="s">
        <v>73</v>
      </c>
      <c r="E54" s="3">
        <v>90000000</v>
      </c>
      <c r="F54" s="19">
        <v>43913</v>
      </c>
      <c r="G54" s="3">
        <v>90000000</v>
      </c>
      <c r="H54" s="2">
        <v>5.0000000000000001E-3</v>
      </c>
      <c r="I54" s="19">
        <v>44166</v>
      </c>
      <c r="J54" s="19">
        <v>44196</v>
      </c>
      <c r="K54" s="3">
        <f t="shared" si="2"/>
        <v>31</v>
      </c>
      <c r="L54" s="3">
        <f t="shared" si="3"/>
        <v>38115</v>
      </c>
      <c r="M54" s="3">
        <v>90000000</v>
      </c>
    </row>
    <row r="55" spans="1:13" s="18" customFormat="1" hidden="1" outlineLevel="2">
      <c r="A55" s="19" t="s">
        <v>80</v>
      </c>
      <c r="B55" s="20" t="s">
        <v>100</v>
      </c>
      <c r="C55" s="21" t="s">
        <v>256</v>
      </c>
      <c r="D55" s="20" t="s">
        <v>255</v>
      </c>
      <c r="E55" s="3">
        <v>7611996</v>
      </c>
      <c r="F55" s="19">
        <v>44151</v>
      </c>
      <c r="G55" s="3">
        <v>7611996</v>
      </c>
      <c r="H55" s="2">
        <v>5.0000000000000001E-3</v>
      </c>
      <c r="I55" s="19">
        <v>44166</v>
      </c>
      <c r="J55" s="19">
        <v>44196</v>
      </c>
      <c r="K55" s="3">
        <f t="shared" si="2"/>
        <v>31</v>
      </c>
      <c r="L55" s="3">
        <f t="shared" si="3"/>
        <v>3224</v>
      </c>
      <c r="M55" s="3">
        <v>7611996</v>
      </c>
    </row>
    <row r="56" spans="1:13" s="18" customFormat="1" hidden="1" outlineLevel="2">
      <c r="A56" s="19" t="s">
        <v>80</v>
      </c>
      <c r="B56" s="20" t="s">
        <v>99</v>
      </c>
      <c r="C56" s="21" t="s">
        <v>256</v>
      </c>
      <c r="D56" s="20" t="s">
        <v>255</v>
      </c>
      <c r="E56" s="3">
        <v>4900000</v>
      </c>
      <c r="F56" s="19">
        <v>44151</v>
      </c>
      <c r="G56" s="3">
        <v>4900000</v>
      </c>
      <c r="H56" s="2">
        <v>5.0000000000000001E-3</v>
      </c>
      <c r="I56" s="19">
        <v>44166</v>
      </c>
      <c r="J56" s="19">
        <v>44196</v>
      </c>
      <c r="K56" s="3">
        <f t="shared" si="2"/>
        <v>31</v>
      </c>
      <c r="L56" s="3">
        <f t="shared" si="3"/>
        <v>2075</v>
      </c>
      <c r="M56" s="3">
        <v>4900000</v>
      </c>
    </row>
    <row r="57" spans="1:13" s="18" customFormat="1" hidden="1" outlineLevel="2">
      <c r="A57" s="19" t="s">
        <v>80</v>
      </c>
      <c r="B57" s="20" t="s">
        <v>98</v>
      </c>
      <c r="C57" s="21" t="s">
        <v>256</v>
      </c>
      <c r="D57" s="20" t="s">
        <v>255</v>
      </c>
      <c r="E57" s="3">
        <v>21838392</v>
      </c>
      <c r="F57" s="19">
        <v>44151</v>
      </c>
      <c r="G57" s="3">
        <v>21838392</v>
      </c>
      <c r="H57" s="2">
        <v>5.0000000000000001E-3</v>
      </c>
      <c r="I57" s="19">
        <v>44166</v>
      </c>
      <c r="J57" s="19">
        <v>44196</v>
      </c>
      <c r="K57" s="3">
        <f t="shared" si="2"/>
        <v>31</v>
      </c>
      <c r="L57" s="3">
        <f t="shared" si="3"/>
        <v>9248</v>
      </c>
      <c r="M57" s="3">
        <v>21838392</v>
      </c>
    </row>
    <row r="58" spans="1:13" s="18" customFormat="1" hidden="1" outlineLevel="2">
      <c r="A58" s="19" t="s">
        <v>80</v>
      </c>
      <c r="B58" s="20" t="s">
        <v>122</v>
      </c>
      <c r="C58" s="21" t="s">
        <v>235</v>
      </c>
      <c r="D58" s="20" t="s">
        <v>234</v>
      </c>
      <c r="E58" s="3">
        <v>41950000</v>
      </c>
      <c r="F58" s="19">
        <v>44154</v>
      </c>
      <c r="G58" s="3">
        <v>41950000</v>
      </c>
      <c r="H58" s="2">
        <v>5.0000000000000001E-3</v>
      </c>
      <c r="I58" s="19">
        <v>44166</v>
      </c>
      <c r="J58" s="19">
        <v>44196</v>
      </c>
      <c r="K58" s="3">
        <f t="shared" si="2"/>
        <v>31</v>
      </c>
      <c r="L58" s="3">
        <f t="shared" si="3"/>
        <v>17766</v>
      </c>
      <c r="M58" s="3">
        <v>41950000</v>
      </c>
    </row>
    <row r="59" spans="1:13" s="18" customFormat="1" hidden="1" outlineLevel="2">
      <c r="A59" s="19" t="s">
        <v>80</v>
      </c>
      <c r="B59" s="20" t="s">
        <v>121</v>
      </c>
      <c r="C59" s="21" t="s">
        <v>235</v>
      </c>
      <c r="D59" s="20" t="s">
        <v>234</v>
      </c>
      <c r="E59" s="3">
        <v>30000000</v>
      </c>
      <c r="F59" s="19">
        <v>44154</v>
      </c>
      <c r="G59" s="3">
        <v>30000000</v>
      </c>
      <c r="H59" s="2">
        <v>5.0000000000000001E-3</v>
      </c>
      <c r="I59" s="19">
        <v>44166</v>
      </c>
      <c r="J59" s="19">
        <v>44179</v>
      </c>
      <c r="K59" s="3">
        <f t="shared" si="2"/>
        <v>14</v>
      </c>
      <c r="L59" s="3">
        <f t="shared" si="3"/>
        <v>5738</v>
      </c>
      <c r="M59" s="3">
        <v>29642857</v>
      </c>
    </row>
    <row r="60" spans="1:13" s="18" customFormat="1" hidden="1" outlineLevel="2">
      <c r="A60" s="19" t="s">
        <v>80</v>
      </c>
      <c r="B60" s="20" t="s">
        <v>121</v>
      </c>
      <c r="C60" s="21" t="s">
        <v>235</v>
      </c>
      <c r="D60" s="20"/>
      <c r="E60" s="3"/>
      <c r="F60" s="19"/>
      <c r="G60" s="3">
        <v>29642857</v>
      </c>
      <c r="H60" s="2">
        <v>5.0000000000000001E-3</v>
      </c>
      <c r="I60" s="19">
        <v>44180</v>
      </c>
      <c r="J60" s="19">
        <v>44196</v>
      </c>
      <c r="K60" s="3">
        <f t="shared" si="2"/>
        <v>17</v>
      </c>
      <c r="L60" s="3">
        <f t="shared" si="3"/>
        <v>6884</v>
      </c>
      <c r="M60" s="3"/>
    </row>
    <row r="61" spans="1:13" s="18" customFormat="1" hidden="1" outlineLevel="2">
      <c r="A61" s="19" t="s">
        <v>80</v>
      </c>
      <c r="B61" s="20" t="s">
        <v>120</v>
      </c>
      <c r="C61" s="21" t="s">
        <v>137</v>
      </c>
      <c r="D61" s="20" t="s">
        <v>136</v>
      </c>
      <c r="E61" s="3">
        <v>3490000</v>
      </c>
      <c r="F61" s="19">
        <v>44138</v>
      </c>
      <c r="G61" s="3">
        <v>3490000</v>
      </c>
      <c r="H61" s="2">
        <v>5.0000000000000001E-3</v>
      </c>
      <c r="I61" s="19">
        <v>44166</v>
      </c>
      <c r="J61" s="19">
        <v>44179</v>
      </c>
      <c r="K61" s="3">
        <f t="shared" si="2"/>
        <v>14</v>
      </c>
      <c r="L61" s="3">
        <f t="shared" si="3"/>
        <v>667</v>
      </c>
      <c r="M61" s="3">
        <v>3426545</v>
      </c>
    </row>
    <row r="62" spans="1:13" s="18" customFormat="1" hidden="1" outlineLevel="2">
      <c r="A62" s="19" t="s">
        <v>80</v>
      </c>
      <c r="B62" s="20" t="s">
        <v>120</v>
      </c>
      <c r="C62" s="21" t="s">
        <v>137</v>
      </c>
      <c r="D62" s="20"/>
      <c r="E62" s="3"/>
      <c r="F62" s="19"/>
      <c r="G62" s="3">
        <v>3426545</v>
      </c>
      <c r="H62" s="2">
        <v>5.0000000000000001E-3</v>
      </c>
      <c r="I62" s="19">
        <v>44180</v>
      </c>
      <c r="J62" s="19">
        <v>44196</v>
      </c>
      <c r="K62" s="3">
        <f t="shared" si="2"/>
        <v>17</v>
      </c>
      <c r="L62" s="3">
        <f t="shared" si="3"/>
        <v>796</v>
      </c>
      <c r="M62" s="3"/>
    </row>
    <row r="63" spans="1:13" s="18" customFormat="1" hidden="1" outlineLevel="2">
      <c r="A63" s="19" t="s">
        <v>80</v>
      </c>
      <c r="B63" s="20" t="s">
        <v>147</v>
      </c>
      <c r="C63" s="21" t="s">
        <v>137</v>
      </c>
      <c r="D63" s="20" t="s">
        <v>136</v>
      </c>
      <c r="E63" s="3">
        <v>1970000</v>
      </c>
      <c r="F63" s="19">
        <v>44147</v>
      </c>
      <c r="G63" s="3">
        <v>1970000</v>
      </c>
      <c r="H63" s="2">
        <v>5.0000000000000001E-3</v>
      </c>
      <c r="I63" s="19">
        <v>44166</v>
      </c>
      <c r="J63" s="19">
        <v>44179</v>
      </c>
      <c r="K63" s="3">
        <f t="shared" si="2"/>
        <v>14</v>
      </c>
      <c r="L63" s="3">
        <f t="shared" si="3"/>
        <v>377</v>
      </c>
      <c r="M63" s="3">
        <v>1934181</v>
      </c>
    </row>
    <row r="64" spans="1:13" s="18" customFormat="1" hidden="1" outlineLevel="2">
      <c r="A64" s="19" t="s">
        <v>80</v>
      </c>
      <c r="B64" s="20" t="s">
        <v>147</v>
      </c>
      <c r="C64" s="21" t="s">
        <v>137</v>
      </c>
      <c r="D64" s="20"/>
      <c r="E64" s="3"/>
      <c r="F64" s="19"/>
      <c r="G64" s="3">
        <v>1934181</v>
      </c>
      <c r="H64" s="2">
        <v>5.0000000000000001E-3</v>
      </c>
      <c r="I64" s="19">
        <v>44180</v>
      </c>
      <c r="J64" s="19">
        <v>44196</v>
      </c>
      <c r="K64" s="3">
        <f t="shared" si="2"/>
        <v>17</v>
      </c>
      <c r="L64" s="3">
        <f t="shared" si="3"/>
        <v>449</v>
      </c>
      <c r="M64" s="3"/>
    </row>
    <row r="65" spans="1:13" s="18" customFormat="1" hidden="1" outlineLevel="2">
      <c r="A65" s="19" t="s">
        <v>80</v>
      </c>
      <c r="B65" s="20" t="s">
        <v>146</v>
      </c>
      <c r="C65" s="21" t="s">
        <v>256</v>
      </c>
      <c r="D65" s="20" t="s">
        <v>255</v>
      </c>
      <c r="E65" s="3">
        <v>20979731</v>
      </c>
      <c r="F65" s="19">
        <v>44167</v>
      </c>
      <c r="G65" s="3">
        <v>20979731</v>
      </c>
      <c r="H65" s="2">
        <v>5.0000000000000001E-3</v>
      </c>
      <c r="I65" s="19">
        <v>44167</v>
      </c>
      <c r="J65" s="19">
        <v>44196</v>
      </c>
      <c r="K65" s="3">
        <f t="shared" si="2"/>
        <v>30</v>
      </c>
      <c r="L65" s="3">
        <f t="shared" si="3"/>
        <v>8598</v>
      </c>
      <c r="M65" s="3">
        <v>20979731</v>
      </c>
    </row>
    <row r="66" spans="1:13" s="18" customFormat="1" hidden="1" outlineLevel="2">
      <c r="A66" s="19" t="s">
        <v>80</v>
      </c>
      <c r="B66" s="20" t="s">
        <v>145</v>
      </c>
      <c r="C66" s="21" t="s">
        <v>256</v>
      </c>
      <c r="D66" s="20" t="s">
        <v>255</v>
      </c>
      <c r="E66" s="3">
        <v>15036832</v>
      </c>
      <c r="F66" s="19">
        <v>44181</v>
      </c>
      <c r="G66" s="3">
        <v>15036832</v>
      </c>
      <c r="H66" s="2">
        <v>5.0000000000000001E-3</v>
      </c>
      <c r="I66" s="19">
        <v>44181</v>
      </c>
      <c r="J66" s="19">
        <v>44196</v>
      </c>
      <c r="K66" s="3">
        <f t="shared" si="2"/>
        <v>16</v>
      </c>
      <c r="L66" s="3">
        <f t="shared" si="3"/>
        <v>3287</v>
      </c>
      <c r="M66" s="3">
        <v>15036832</v>
      </c>
    </row>
    <row r="67" spans="1:13" s="18" customFormat="1" hidden="1" outlineLevel="2">
      <c r="A67" s="19" t="s">
        <v>80</v>
      </c>
      <c r="B67" s="20" t="s">
        <v>144</v>
      </c>
      <c r="C67" s="21" t="s">
        <v>256</v>
      </c>
      <c r="D67" s="20" t="s">
        <v>255</v>
      </c>
      <c r="E67" s="3">
        <v>2070415</v>
      </c>
      <c r="F67" s="19">
        <v>44193</v>
      </c>
      <c r="G67" s="3">
        <v>2070415</v>
      </c>
      <c r="H67" s="2">
        <v>5.0000000000000001E-3</v>
      </c>
      <c r="I67" s="19">
        <v>44193</v>
      </c>
      <c r="J67" s="19">
        <v>44196</v>
      </c>
      <c r="K67" s="3">
        <f t="shared" si="2"/>
        <v>4</v>
      </c>
      <c r="L67" s="3">
        <f t="shared" si="3"/>
        <v>113</v>
      </c>
      <c r="M67" s="3">
        <v>2070415</v>
      </c>
    </row>
    <row r="68" spans="1:13" s="18" customFormat="1" hidden="1" outlineLevel="2">
      <c r="A68" s="19" t="s">
        <v>80</v>
      </c>
      <c r="B68" s="20" t="s">
        <v>29</v>
      </c>
      <c r="C68" s="21" t="s">
        <v>57</v>
      </c>
      <c r="D68" s="20" t="s">
        <v>56</v>
      </c>
      <c r="E68" s="3">
        <v>23500000</v>
      </c>
      <c r="F68" s="19">
        <v>43928</v>
      </c>
      <c r="G68" s="3">
        <v>21261896</v>
      </c>
      <c r="H68" s="2">
        <v>5.0000000000000001E-3</v>
      </c>
      <c r="I68" s="19">
        <v>44166</v>
      </c>
      <c r="J68" s="19">
        <v>44179</v>
      </c>
      <c r="K68" s="3">
        <f t="shared" si="2"/>
        <v>14</v>
      </c>
      <c r="L68" s="3">
        <f t="shared" si="3"/>
        <v>4066</v>
      </c>
      <c r="M68" s="3">
        <v>20982133</v>
      </c>
    </row>
    <row r="69" spans="1:13" s="18" customFormat="1" hidden="1" outlineLevel="2">
      <c r="A69" s="19" t="s">
        <v>80</v>
      </c>
      <c r="B69" s="20" t="s">
        <v>29</v>
      </c>
      <c r="C69" s="21" t="s">
        <v>57</v>
      </c>
      <c r="D69" s="20"/>
      <c r="E69" s="3"/>
      <c r="F69" s="19"/>
      <c r="G69" s="3">
        <v>20982133</v>
      </c>
      <c r="H69" s="2">
        <v>5.0000000000000001E-3</v>
      </c>
      <c r="I69" s="19">
        <v>44180</v>
      </c>
      <c r="J69" s="19">
        <v>44196</v>
      </c>
      <c r="K69" s="3">
        <f t="shared" si="2"/>
        <v>17</v>
      </c>
      <c r="L69" s="3">
        <f t="shared" si="3"/>
        <v>4873</v>
      </c>
      <c r="M69" s="3"/>
    </row>
    <row r="70" spans="1:13" s="18" customFormat="1" hidden="1" outlineLevel="2">
      <c r="A70" s="19" t="s">
        <v>80</v>
      </c>
      <c r="B70" s="20" t="s">
        <v>143</v>
      </c>
      <c r="C70" s="21" t="s">
        <v>135</v>
      </c>
      <c r="D70" s="20" t="s">
        <v>134</v>
      </c>
      <c r="E70" s="3">
        <v>125000000</v>
      </c>
      <c r="F70" s="19">
        <v>44189</v>
      </c>
      <c r="G70" s="3">
        <v>125000000</v>
      </c>
      <c r="H70" s="2">
        <v>5.0000000000000001E-3</v>
      </c>
      <c r="I70" s="19">
        <v>44189</v>
      </c>
      <c r="J70" s="19">
        <v>44196</v>
      </c>
      <c r="K70" s="3">
        <f t="shared" si="2"/>
        <v>8</v>
      </c>
      <c r="L70" s="3">
        <f t="shared" si="3"/>
        <v>13661</v>
      </c>
      <c r="M70" s="3">
        <v>125000000</v>
      </c>
    </row>
    <row r="71" spans="1:13" s="18" customFormat="1" hidden="1" outlineLevel="2">
      <c r="A71" s="19" t="s">
        <v>80</v>
      </c>
      <c r="B71" s="20" t="s">
        <v>142</v>
      </c>
      <c r="C71" s="21" t="s">
        <v>141</v>
      </c>
      <c r="D71" s="20" t="s">
        <v>140</v>
      </c>
      <c r="E71" s="3">
        <v>51800000</v>
      </c>
      <c r="F71" s="19">
        <v>44180</v>
      </c>
      <c r="G71" s="3">
        <v>51800000</v>
      </c>
      <c r="H71" s="2">
        <v>5.0000000000000001E-3</v>
      </c>
      <c r="I71" s="19">
        <v>44180</v>
      </c>
      <c r="J71" s="19">
        <v>44196</v>
      </c>
      <c r="K71" s="3">
        <f t="shared" si="2"/>
        <v>17</v>
      </c>
      <c r="L71" s="3">
        <f t="shared" si="3"/>
        <v>12030</v>
      </c>
      <c r="M71" s="3">
        <v>51800000</v>
      </c>
    </row>
    <row r="72" spans="1:13" s="18" customFormat="1" hidden="1" outlineLevel="2">
      <c r="A72" s="19" t="s">
        <v>80</v>
      </c>
      <c r="B72" s="20" t="s">
        <v>152</v>
      </c>
      <c r="C72" s="21" t="s">
        <v>225</v>
      </c>
      <c r="D72" s="20" t="s">
        <v>224</v>
      </c>
      <c r="E72" s="3">
        <v>25000000</v>
      </c>
      <c r="F72" s="19">
        <v>44180</v>
      </c>
      <c r="G72" s="3">
        <v>25000000</v>
      </c>
      <c r="H72" s="2">
        <v>5.0000000000000001E-3</v>
      </c>
      <c r="I72" s="19">
        <v>44180</v>
      </c>
      <c r="J72" s="19">
        <v>44196</v>
      </c>
      <c r="K72" s="3">
        <f t="shared" si="2"/>
        <v>17</v>
      </c>
      <c r="L72" s="3">
        <f t="shared" si="3"/>
        <v>5806</v>
      </c>
      <c r="M72" s="3">
        <v>25000000</v>
      </c>
    </row>
    <row r="73" spans="1:13" s="18" customFormat="1" hidden="1" outlineLevel="2">
      <c r="A73" s="19" t="s">
        <v>80</v>
      </c>
      <c r="B73" s="20" t="s">
        <v>168</v>
      </c>
      <c r="C73" s="21" t="s">
        <v>225</v>
      </c>
      <c r="D73" s="20" t="s">
        <v>224</v>
      </c>
      <c r="E73" s="3">
        <v>44000000</v>
      </c>
      <c r="F73" s="19">
        <v>44180</v>
      </c>
      <c r="G73" s="3">
        <v>44000000</v>
      </c>
      <c r="H73" s="2">
        <v>5.0000000000000001E-3</v>
      </c>
      <c r="I73" s="19">
        <v>44180</v>
      </c>
      <c r="J73" s="19">
        <v>44196</v>
      </c>
      <c r="K73" s="3">
        <f t="shared" si="2"/>
        <v>17</v>
      </c>
      <c r="L73" s="3">
        <f t="shared" si="3"/>
        <v>10219</v>
      </c>
      <c r="M73" s="3">
        <v>44000000</v>
      </c>
    </row>
    <row r="74" spans="1:13" s="18" customFormat="1" hidden="1" outlineLevel="2">
      <c r="A74" s="19" t="s">
        <v>80</v>
      </c>
      <c r="B74" s="20" t="s">
        <v>167</v>
      </c>
      <c r="C74" s="21" t="s">
        <v>235</v>
      </c>
      <c r="D74" s="20" t="s">
        <v>234</v>
      </c>
      <c r="E74" s="3">
        <v>129650000</v>
      </c>
      <c r="F74" s="19">
        <v>44195</v>
      </c>
      <c r="G74" s="3">
        <v>129650000</v>
      </c>
      <c r="H74" s="2">
        <v>5.0000000000000001E-3</v>
      </c>
      <c r="I74" s="19">
        <v>44195</v>
      </c>
      <c r="J74" s="19">
        <v>44196</v>
      </c>
      <c r="K74" s="3">
        <f t="shared" si="2"/>
        <v>2</v>
      </c>
      <c r="L74" s="3">
        <f t="shared" si="3"/>
        <v>3542</v>
      </c>
      <c r="M74" s="3">
        <v>129650000</v>
      </c>
    </row>
    <row r="75" spans="1:13" s="18" customFormat="1" hidden="1" outlineLevel="2">
      <c r="A75" s="19" t="s">
        <v>80</v>
      </c>
      <c r="B75" s="20" t="s">
        <v>166</v>
      </c>
      <c r="C75" s="21" t="s">
        <v>235</v>
      </c>
      <c r="D75" s="20" t="s">
        <v>234</v>
      </c>
      <c r="E75" s="3">
        <v>12000000</v>
      </c>
      <c r="F75" s="19">
        <v>44195</v>
      </c>
      <c r="G75" s="3">
        <v>12000000</v>
      </c>
      <c r="H75" s="2">
        <v>5.0000000000000001E-3</v>
      </c>
      <c r="I75" s="19">
        <v>44195</v>
      </c>
      <c r="J75" s="19">
        <v>44196</v>
      </c>
      <c r="K75" s="3">
        <f t="shared" si="2"/>
        <v>2</v>
      </c>
      <c r="L75" s="3">
        <f t="shared" si="3"/>
        <v>328</v>
      </c>
      <c r="M75" s="3">
        <v>12000000</v>
      </c>
    </row>
    <row r="76" spans="1:13" s="18" customFormat="1" hidden="1" outlineLevel="2">
      <c r="A76" s="19" t="s">
        <v>80</v>
      </c>
      <c r="B76" s="20" t="s">
        <v>165</v>
      </c>
      <c r="C76" s="21" t="s">
        <v>113</v>
      </c>
      <c r="D76" s="20" t="s">
        <v>112</v>
      </c>
      <c r="E76" s="3">
        <v>144000000</v>
      </c>
      <c r="F76" s="19">
        <v>44196</v>
      </c>
      <c r="G76" s="3">
        <v>144000000</v>
      </c>
      <c r="H76" s="2">
        <v>5.0000000000000001E-3</v>
      </c>
      <c r="I76" s="19">
        <v>44196</v>
      </c>
      <c r="J76" s="19">
        <v>44196</v>
      </c>
      <c r="K76" s="3">
        <f t="shared" si="2"/>
        <v>1</v>
      </c>
      <c r="L76" s="3">
        <f t="shared" si="3"/>
        <v>1967</v>
      </c>
      <c r="M76" s="3">
        <v>144000000</v>
      </c>
    </row>
    <row r="77" spans="1:13" s="18" customFormat="1" hidden="1" outlineLevel="2">
      <c r="A77" s="19" t="s">
        <v>80</v>
      </c>
      <c r="B77" s="20" t="s">
        <v>30</v>
      </c>
      <c r="C77" s="21" t="s">
        <v>137</v>
      </c>
      <c r="D77" s="20" t="s">
        <v>136</v>
      </c>
      <c r="E77" s="3">
        <v>7000000</v>
      </c>
      <c r="F77" s="19">
        <v>44004</v>
      </c>
      <c r="G77" s="3">
        <v>6416665</v>
      </c>
      <c r="H77" s="2">
        <v>5.0000000000000001E-3</v>
      </c>
      <c r="I77" s="19">
        <v>44166</v>
      </c>
      <c r="J77" s="19">
        <v>44179</v>
      </c>
      <c r="K77" s="3">
        <f t="shared" si="2"/>
        <v>14</v>
      </c>
      <c r="L77" s="3">
        <f t="shared" si="3"/>
        <v>1227</v>
      </c>
      <c r="M77" s="3">
        <v>6299998</v>
      </c>
    </row>
    <row r="78" spans="1:13" s="18" customFormat="1" hidden="1" outlineLevel="2">
      <c r="A78" s="19" t="s">
        <v>80</v>
      </c>
      <c r="B78" s="20" t="s">
        <v>30</v>
      </c>
      <c r="C78" s="21" t="s">
        <v>137</v>
      </c>
      <c r="D78" s="20"/>
      <c r="E78" s="3"/>
      <c r="F78" s="19"/>
      <c r="G78" s="3">
        <v>6299998</v>
      </c>
      <c r="H78" s="2">
        <v>5.0000000000000001E-3</v>
      </c>
      <c r="I78" s="19">
        <v>44180</v>
      </c>
      <c r="J78" s="19">
        <v>44196</v>
      </c>
      <c r="K78" s="3">
        <f t="shared" si="2"/>
        <v>17</v>
      </c>
      <c r="L78" s="3">
        <f t="shared" si="3"/>
        <v>1463</v>
      </c>
      <c r="M78" s="3"/>
    </row>
    <row r="79" spans="1:13" s="18" customFormat="1" hidden="1" outlineLevel="2">
      <c r="A79" s="19" t="s">
        <v>80</v>
      </c>
      <c r="B79" s="20" t="s">
        <v>31</v>
      </c>
      <c r="C79" s="21" t="s">
        <v>135</v>
      </c>
      <c r="D79" s="20" t="s">
        <v>134</v>
      </c>
      <c r="E79" s="3">
        <v>298410000</v>
      </c>
      <c r="F79" s="19">
        <v>44006</v>
      </c>
      <c r="G79" s="3">
        <v>298410000</v>
      </c>
      <c r="H79" s="2">
        <v>5.0000000000000001E-3</v>
      </c>
      <c r="I79" s="19">
        <v>44166</v>
      </c>
      <c r="J79" s="19">
        <v>44196</v>
      </c>
      <c r="K79" s="3">
        <f t="shared" si="2"/>
        <v>31</v>
      </c>
      <c r="L79" s="3">
        <f t="shared" si="3"/>
        <v>126376</v>
      </c>
      <c r="M79" s="3">
        <v>298410000</v>
      </c>
    </row>
    <row r="80" spans="1:13" s="18" customFormat="1" hidden="1" outlineLevel="2">
      <c r="A80" s="19" t="s">
        <v>80</v>
      </c>
      <c r="B80" s="20" t="s">
        <v>32</v>
      </c>
      <c r="C80" s="21" t="s">
        <v>135</v>
      </c>
      <c r="D80" s="20" t="s">
        <v>134</v>
      </c>
      <c r="E80" s="3">
        <v>95370000</v>
      </c>
      <c r="F80" s="19">
        <v>44006</v>
      </c>
      <c r="G80" s="3">
        <v>95370000</v>
      </c>
      <c r="H80" s="2">
        <v>5.0000000000000001E-3</v>
      </c>
      <c r="I80" s="19">
        <v>44166</v>
      </c>
      <c r="J80" s="19">
        <v>44196</v>
      </c>
      <c r="K80" s="3">
        <f t="shared" si="2"/>
        <v>31</v>
      </c>
      <c r="L80" s="3">
        <f t="shared" si="3"/>
        <v>40389</v>
      </c>
      <c r="M80" s="3">
        <v>95370000</v>
      </c>
    </row>
    <row r="81" spans="1:13" s="18" customFormat="1" hidden="1" outlineLevel="2">
      <c r="A81" s="19" t="s">
        <v>80</v>
      </c>
      <c r="B81" s="20" t="s">
        <v>48</v>
      </c>
      <c r="C81" s="21" t="s">
        <v>135</v>
      </c>
      <c r="D81" s="20" t="s">
        <v>134</v>
      </c>
      <c r="E81" s="3">
        <v>73910000</v>
      </c>
      <c r="F81" s="19">
        <v>44032</v>
      </c>
      <c r="G81" s="3">
        <v>73910000</v>
      </c>
      <c r="H81" s="2">
        <v>5.0000000000000001E-3</v>
      </c>
      <c r="I81" s="19">
        <v>44166</v>
      </c>
      <c r="J81" s="19">
        <v>44196</v>
      </c>
      <c r="K81" s="3">
        <f t="shared" si="2"/>
        <v>31</v>
      </c>
      <c r="L81" s="3">
        <f t="shared" si="3"/>
        <v>31301</v>
      </c>
      <c r="M81" s="3">
        <v>73910000</v>
      </c>
    </row>
    <row r="82" spans="1:13" s="18" customFormat="1" hidden="1" outlineLevel="2">
      <c r="A82" s="19" t="s">
        <v>80</v>
      </c>
      <c r="B82" s="20" t="s">
        <v>59</v>
      </c>
      <c r="C82" s="21" t="s">
        <v>135</v>
      </c>
      <c r="D82" s="20" t="s">
        <v>134</v>
      </c>
      <c r="E82" s="3">
        <v>291200000</v>
      </c>
      <c r="F82" s="19">
        <v>44032</v>
      </c>
      <c r="G82" s="3">
        <v>291200000</v>
      </c>
      <c r="H82" s="2">
        <v>3.0000000000000001E-3</v>
      </c>
      <c r="I82" s="19">
        <v>44166</v>
      </c>
      <c r="J82" s="19">
        <v>44196</v>
      </c>
      <c r="K82" s="3">
        <f t="shared" si="2"/>
        <v>31</v>
      </c>
      <c r="L82" s="3">
        <f t="shared" si="3"/>
        <v>73993</v>
      </c>
      <c r="M82" s="3">
        <v>291200000</v>
      </c>
    </row>
    <row r="83" spans="1:13" s="18" customFormat="1" hidden="1" outlineLevel="2">
      <c r="A83" s="19" t="s">
        <v>80</v>
      </c>
      <c r="B83" s="20" t="s">
        <v>58</v>
      </c>
      <c r="C83" s="21" t="s">
        <v>137</v>
      </c>
      <c r="D83" s="20" t="s">
        <v>136</v>
      </c>
      <c r="E83" s="3">
        <v>10000000</v>
      </c>
      <c r="F83" s="19">
        <v>44025</v>
      </c>
      <c r="G83" s="3">
        <v>9322032</v>
      </c>
      <c r="H83" s="2">
        <v>5.0000000000000001E-3</v>
      </c>
      <c r="I83" s="19">
        <v>44166</v>
      </c>
      <c r="J83" s="19">
        <v>44179</v>
      </c>
      <c r="K83" s="3">
        <f t="shared" si="2"/>
        <v>14</v>
      </c>
      <c r="L83" s="3">
        <f t="shared" si="3"/>
        <v>1783</v>
      </c>
      <c r="M83" s="3">
        <v>9152540</v>
      </c>
    </row>
    <row r="84" spans="1:13" s="18" customFormat="1" hidden="1" outlineLevel="2">
      <c r="A84" s="19" t="s">
        <v>80</v>
      </c>
      <c r="B84" s="20" t="s">
        <v>58</v>
      </c>
      <c r="C84" s="21" t="s">
        <v>137</v>
      </c>
      <c r="D84" s="20"/>
      <c r="E84" s="3"/>
      <c r="F84" s="19"/>
      <c r="G84" s="3">
        <v>9152540</v>
      </c>
      <c r="H84" s="2">
        <v>5.0000000000000001E-3</v>
      </c>
      <c r="I84" s="19">
        <v>44180</v>
      </c>
      <c r="J84" s="19">
        <v>44196</v>
      </c>
      <c r="K84" s="3">
        <f t="shared" si="2"/>
        <v>17</v>
      </c>
      <c r="L84" s="3">
        <f t="shared" si="3"/>
        <v>2126</v>
      </c>
      <c r="M84" s="3"/>
    </row>
    <row r="85" spans="1:13" s="18" customFormat="1" ht="13.5" hidden="1" outlineLevel="1" collapsed="1">
      <c r="A85" s="22" t="s">
        <v>79</v>
      </c>
      <c r="B85" s="23"/>
      <c r="C85" s="24"/>
      <c r="D85" s="23"/>
      <c r="E85" s="25">
        <f>SUBTOTAL(9,E40:E84)</f>
        <v>0</v>
      </c>
      <c r="F85" s="26"/>
      <c r="G85" s="25"/>
      <c r="H85" s="27"/>
      <c r="I85" s="26"/>
      <c r="J85" s="26"/>
      <c r="K85" s="25"/>
      <c r="L85" s="25">
        <f>SUBTOTAL(9,L40:L84)</f>
        <v>0</v>
      </c>
      <c r="M85" s="25">
        <f>SUBTOTAL(9,M40:M84)</f>
        <v>0</v>
      </c>
    </row>
    <row r="86" spans="1:13" s="18" customFormat="1" hidden="1" outlineLevel="2">
      <c r="A86" s="19" t="s">
        <v>78</v>
      </c>
      <c r="B86" s="20" t="s">
        <v>16</v>
      </c>
      <c r="C86" s="21" t="s">
        <v>77</v>
      </c>
      <c r="D86" s="20" t="s">
        <v>76</v>
      </c>
      <c r="E86" s="3">
        <v>81465386</v>
      </c>
      <c r="F86" s="19">
        <v>43900</v>
      </c>
      <c r="G86" s="3">
        <v>81465386</v>
      </c>
      <c r="H86" s="2">
        <v>5.0000000000000001E-3</v>
      </c>
      <c r="I86" s="19">
        <v>44166</v>
      </c>
      <c r="J86" s="19">
        <v>44196</v>
      </c>
      <c r="K86" s="3">
        <f t="shared" ref="K86:K117" si="4">J86-I86+1</f>
        <v>31</v>
      </c>
      <c r="L86" s="3">
        <f t="shared" ref="L86:L117" si="5">ROUND(G86*H86*K86/366,0)</f>
        <v>34500</v>
      </c>
      <c r="M86" s="3">
        <v>81465386</v>
      </c>
    </row>
    <row r="87" spans="1:13" s="18" customFormat="1" hidden="1" outlineLevel="2">
      <c r="A87" s="19" t="s">
        <v>78</v>
      </c>
      <c r="B87" s="20" t="s">
        <v>61</v>
      </c>
      <c r="C87" s="21" t="s">
        <v>95</v>
      </c>
      <c r="D87" s="20" t="s">
        <v>94</v>
      </c>
      <c r="E87" s="3">
        <v>8860000</v>
      </c>
      <c r="F87" s="19">
        <v>43997</v>
      </c>
      <c r="G87" s="3">
        <v>8860000</v>
      </c>
      <c r="H87" s="2">
        <v>5.0000000000000001E-3</v>
      </c>
      <c r="I87" s="19">
        <v>44166</v>
      </c>
      <c r="J87" s="19">
        <v>44196</v>
      </c>
      <c r="K87" s="3">
        <f t="shared" si="4"/>
        <v>31</v>
      </c>
      <c r="L87" s="3">
        <f t="shared" si="5"/>
        <v>3752</v>
      </c>
      <c r="M87" s="3">
        <v>8860000</v>
      </c>
    </row>
    <row r="88" spans="1:13" s="18" customFormat="1" hidden="1" outlineLevel="2">
      <c r="A88" s="19" t="s">
        <v>78</v>
      </c>
      <c r="B88" s="20" t="s">
        <v>60</v>
      </c>
      <c r="C88" s="21" t="s">
        <v>93</v>
      </c>
      <c r="D88" s="20" t="s">
        <v>92</v>
      </c>
      <c r="E88" s="3">
        <v>20390000</v>
      </c>
      <c r="F88" s="19">
        <v>43997</v>
      </c>
      <c r="G88" s="3">
        <v>19146710</v>
      </c>
      <c r="H88" s="2">
        <v>5.0000000000000001E-3</v>
      </c>
      <c r="I88" s="19">
        <v>44166</v>
      </c>
      <c r="J88" s="19">
        <v>44179</v>
      </c>
      <c r="K88" s="3">
        <f t="shared" si="4"/>
        <v>14</v>
      </c>
      <c r="L88" s="3">
        <f t="shared" si="5"/>
        <v>3662</v>
      </c>
      <c r="M88" s="3">
        <v>18898052</v>
      </c>
    </row>
    <row r="89" spans="1:13" s="18" customFormat="1" hidden="1" outlineLevel="2">
      <c r="A89" s="19" t="s">
        <v>78</v>
      </c>
      <c r="B89" s="20" t="s">
        <v>60</v>
      </c>
      <c r="C89" s="21" t="s">
        <v>93</v>
      </c>
      <c r="D89" s="20"/>
      <c r="E89" s="3"/>
      <c r="F89" s="19"/>
      <c r="G89" s="3">
        <v>18898052</v>
      </c>
      <c r="H89" s="2">
        <v>5.0000000000000001E-3</v>
      </c>
      <c r="I89" s="19">
        <v>44180</v>
      </c>
      <c r="J89" s="19">
        <v>44196</v>
      </c>
      <c r="K89" s="3">
        <f t="shared" si="4"/>
        <v>17</v>
      </c>
      <c r="L89" s="3">
        <f t="shared" si="5"/>
        <v>4389</v>
      </c>
      <c r="M89" s="3"/>
    </row>
    <row r="90" spans="1:13" s="18" customFormat="1" hidden="1" outlineLevel="2">
      <c r="A90" s="19" t="s">
        <v>78</v>
      </c>
      <c r="B90" s="20" t="s">
        <v>66</v>
      </c>
      <c r="C90" s="21" t="s">
        <v>93</v>
      </c>
      <c r="D90" s="20" t="s">
        <v>92</v>
      </c>
      <c r="E90" s="3">
        <v>69600000</v>
      </c>
      <c r="F90" s="19">
        <v>43997</v>
      </c>
      <c r="G90" s="3">
        <v>66700000</v>
      </c>
      <c r="H90" s="2">
        <v>5.0000000000000001E-3</v>
      </c>
      <c r="I90" s="19">
        <v>44166</v>
      </c>
      <c r="J90" s="19">
        <v>44179</v>
      </c>
      <c r="K90" s="3">
        <f t="shared" si="4"/>
        <v>14</v>
      </c>
      <c r="L90" s="3">
        <f t="shared" si="5"/>
        <v>12757</v>
      </c>
      <c r="M90" s="3">
        <v>66120000</v>
      </c>
    </row>
    <row r="91" spans="1:13" s="18" customFormat="1" hidden="1" outlineLevel="2">
      <c r="A91" s="19" t="s">
        <v>78</v>
      </c>
      <c r="B91" s="20" t="s">
        <v>66</v>
      </c>
      <c r="C91" s="21" t="s">
        <v>93</v>
      </c>
      <c r="D91" s="20"/>
      <c r="E91" s="3"/>
      <c r="F91" s="19"/>
      <c r="G91" s="3">
        <v>66120000</v>
      </c>
      <c r="H91" s="2">
        <v>5.0000000000000001E-3</v>
      </c>
      <c r="I91" s="19">
        <v>44180</v>
      </c>
      <c r="J91" s="19">
        <v>44196</v>
      </c>
      <c r="K91" s="3">
        <f t="shared" si="4"/>
        <v>17</v>
      </c>
      <c r="L91" s="3">
        <f t="shared" si="5"/>
        <v>15356</v>
      </c>
      <c r="M91" s="3"/>
    </row>
    <row r="92" spans="1:13" s="18" customFormat="1" hidden="1" outlineLevel="2">
      <c r="A92" s="19" t="s">
        <v>78</v>
      </c>
      <c r="B92" s="20" t="s">
        <v>65</v>
      </c>
      <c r="C92" s="21" t="s">
        <v>77</v>
      </c>
      <c r="D92" s="20" t="s">
        <v>76</v>
      </c>
      <c r="E92" s="3">
        <v>16630000</v>
      </c>
      <c r="F92" s="19">
        <v>44011</v>
      </c>
      <c r="G92" s="3">
        <v>16630000</v>
      </c>
      <c r="H92" s="2">
        <v>5.0000000000000001E-3</v>
      </c>
      <c r="I92" s="19">
        <v>44166</v>
      </c>
      <c r="J92" s="19">
        <v>44196</v>
      </c>
      <c r="K92" s="3">
        <f t="shared" si="4"/>
        <v>31</v>
      </c>
      <c r="L92" s="3">
        <f t="shared" si="5"/>
        <v>7043</v>
      </c>
      <c r="M92" s="3">
        <v>16630000</v>
      </c>
    </row>
    <row r="93" spans="1:13" s="18" customFormat="1" hidden="1" outlineLevel="2">
      <c r="A93" s="19" t="s">
        <v>78</v>
      </c>
      <c r="B93" s="20" t="s">
        <v>64</v>
      </c>
      <c r="C93" s="21" t="s">
        <v>95</v>
      </c>
      <c r="D93" s="20" t="s">
        <v>94</v>
      </c>
      <c r="E93" s="3">
        <v>4650000</v>
      </c>
      <c r="F93" s="19">
        <v>44027</v>
      </c>
      <c r="G93" s="3">
        <v>4650000</v>
      </c>
      <c r="H93" s="2">
        <v>5.0000000000000001E-3</v>
      </c>
      <c r="I93" s="19">
        <v>44166</v>
      </c>
      <c r="J93" s="19">
        <v>44196</v>
      </c>
      <c r="K93" s="3">
        <f t="shared" si="4"/>
        <v>31</v>
      </c>
      <c r="L93" s="3">
        <f t="shared" si="5"/>
        <v>1969</v>
      </c>
      <c r="M93" s="3">
        <v>4650000</v>
      </c>
    </row>
    <row r="94" spans="1:13" s="18" customFormat="1" hidden="1" outlineLevel="2">
      <c r="A94" s="19" t="s">
        <v>78</v>
      </c>
      <c r="B94" s="20" t="s">
        <v>85</v>
      </c>
      <c r="C94" s="21" t="s">
        <v>93</v>
      </c>
      <c r="D94" s="20" t="s">
        <v>92</v>
      </c>
      <c r="E94" s="3">
        <v>10860000</v>
      </c>
      <c r="F94" s="19">
        <v>44027</v>
      </c>
      <c r="G94" s="3">
        <v>10323704</v>
      </c>
      <c r="H94" s="2">
        <v>5.0000000000000001E-3</v>
      </c>
      <c r="I94" s="19">
        <v>44166</v>
      </c>
      <c r="J94" s="19">
        <v>44179</v>
      </c>
      <c r="K94" s="3">
        <f t="shared" si="4"/>
        <v>14</v>
      </c>
      <c r="L94" s="3">
        <f t="shared" si="5"/>
        <v>1974</v>
      </c>
      <c r="M94" s="3">
        <v>10189630</v>
      </c>
    </row>
    <row r="95" spans="1:13" s="18" customFormat="1" hidden="1" outlineLevel="2">
      <c r="A95" s="19" t="s">
        <v>78</v>
      </c>
      <c r="B95" s="20" t="s">
        <v>85</v>
      </c>
      <c r="C95" s="21" t="s">
        <v>93</v>
      </c>
      <c r="D95" s="20"/>
      <c r="E95" s="3"/>
      <c r="F95" s="19"/>
      <c r="G95" s="3">
        <v>10189630</v>
      </c>
      <c r="H95" s="2">
        <v>5.0000000000000001E-3</v>
      </c>
      <c r="I95" s="19">
        <v>44180</v>
      </c>
      <c r="J95" s="19">
        <v>44196</v>
      </c>
      <c r="K95" s="3">
        <f t="shared" si="4"/>
        <v>17</v>
      </c>
      <c r="L95" s="3">
        <f t="shared" si="5"/>
        <v>2366</v>
      </c>
      <c r="M95" s="3"/>
    </row>
    <row r="96" spans="1:13" s="18" customFormat="1" hidden="1" outlineLevel="2">
      <c r="A96" s="19" t="s">
        <v>78</v>
      </c>
      <c r="B96" s="20" t="s">
        <v>84</v>
      </c>
      <c r="C96" s="21" t="s">
        <v>93</v>
      </c>
      <c r="D96" s="20" t="s">
        <v>92</v>
      </c>
      <c r="E96" s="3">
        <v>11600000</v>
      </c>
      <c r="F96" s="19">
        <v>44027</v>
      </c>
      <c r="G96" s="3">
        <v>11210088</v>
      </c>
      <c r="H96" s="2">
        <v>5.0000000000000001E-3</v>
      </c>
      <c r="I96" s="19">
        <v>44166</v>
      </c>
      <c r="J96" s="19">
        <v>44179</v>
      </c>
      <c r="K96" s="3">
        <f t="shared" si="4"/>
        <v>14</v>
      </c>
      <c r="L96" s="3">
        <f t="shared" si="5"/>
        <v>2144</v>
      </c>
      <c r="M96" s="3">
        <v>11112610</v>
      </c>
    </row>
    <row r="97" spans="1:13" s="18" customFormat="1" hidden="1" outlineLevel="2">
      <c r="A97" s="19" t="s">
        <v>78</v>
      </c>
      <c r="B97" s="20" t="s">
        <v>84</v>
      </c>
      <c r="C97" s="21" t="s">
        <v>93</v>
      </c>
      <c r="D97" s="20"/>
      <c r="E97" s="3"/>
      <c r="F97" s="19"/>
      <c r="G97" s="3">
        <v>11112610</v>
      </c>
      <c r="H97" s="2">
        <v>5.0000000000000001E-3</v>
      </c>
      <c r="I97" s="19">
        <v>44180</v>
      </c>
      <c r="J97" s="19">
        <v>44196</v>
      </c>
      <c r="K97" s="3">
        <f t="shared" si="4"/>
        <v>17</v>
      </c>
      <c r="L97" s="3">
        <f t="shared" si="5"/>
        <v>2581</v>
      </c>
      <c r="M97" s="3"/>
    </row>
    <row r="98" spans="1:13" s="18" customFormat="1" hidden="1" outlineLevel="2">
      <c r="A98" s="19" t="s">
        <v>78</v>
      </c>
      <c r="B98" s="20" t="s">
        <v>83</v>
      </c>
      <c r="C98" s="21" t="s">
        <v>139</v>
      </c>
      <c r="D98" s="20" t="s">
        <v>138</v>
      </c>
      <c r="E98" s="3">
        <v>18700000</v>
      </c>
      <c r="F98" s="19">
        <v>44032</v>
      </c>
      <c r="G98" s="3">
        <v>18700000</v>
      </c>
      <c r="H98" s="2">
        <v>5.0000000000000001E-3</v>
      </c>
      <c r="I98" s="19">
        <v>44166</v>
      </c>
      <c r="J98" s="19">
        <v>44196</v>
      </c>
      <c r="K98" s="3">
        <f t="shared" si="4"/>
        <v>31</v>
      </c>
      <c r="L98" s="3">
        <f t="shared" si="5"/>
        <v>7919</v>
      </c>
      <c r="M98" s="3">
        <v>18700000</v>
      </c>
    </row>
    <row r="99" spans="1:13" s="18" customFormat="1" hidden="1" outlineLevel="2">
      <c r="A99" s="19" t="s">
        <v>78</v>
      </c>
      <c r="B99" s="20" t="s">
        <v>102</v>
      </c>
      <c r="C99" s="21" t="s">
        <v>95</v>
      </c>
      <c r="D99" s="20" t="s">
        <v>94</v>
      </c>
      <c r="E99" s="3">
        <v>2950000</v>
      </c>
      <c r="F99" s="19">
        <v>44060</v>
      </c>
      <c r="G99" s="3">
        <v>2950000</v>
      </c>
      <c r="H99" s="2">
        <v>5.0000000000000001E-3</v>
      </c>
      <c r="I99" s="19">
        <v>44166</v>
      </c>
      <c r="J99" s="19">
        <v>44196</v>
      </c>
      <c r="K99" s="3">
        <f t="shared" si="4"/>
        <v>31</v>
      </c>
      <c r="L99" s="3">
        <f t="shared" si="5"/>
        <v>1249</v>
      </c>
      <c r="M99" s="3">
        <v>2950000</v>
      </c>
    </row>
    <row r="100" spans="1:13" s="18" customFormat="1" hidden="1" outlineLevel="2">
      <c r="A100" s="19" t="s">
        <v>78</v>
      </c>
      <c r="B100" s="20" t="s">
        <v>101</v>
      </c>
      <c r="C100" s="21" t="s">
        <v>77</v>
      </c>
      <c r="D100" s="20" t="s">
        <v>76</v>
      </c>
      <c r="E100" s="3">
        <v>15120000</v>
      </c>
      <c r="F100" s="19">
        <v>44091</v>
      </c>
      <c r="G100" s="3">
        <v>15120000</v>
      </c>
      <c r="H100" s="2">
        <v>5.0000000000000001E-3</v>
      </c>
      <c r="I100" s="19">
        <v>44166</v>
      </c>
      <c r="J100" s="19">
        <v>44196</v>
      </c>
      <c r="K100" s="3">
        <f t="shared" si="4"/>
        <v>31</v>
      </c>
      <c r="L100" s="3">
        <f t="shared" si="5"/>
        <v>6403</v>
      </c>
      <c r="M100" s="3">
        <v>15120000</v>
      </c>
    </row>
    <row r="101" spans="1:13" s="18" customFormat="1" hidden="1" outlineLevel="2">
      <c r="A101" s="19" t="s">
        <v>78</v>
      </c>
      <c r="B101" s="20" t="s">
        <v>23</v>
      </c>
      <c r="C101" s="21" t="s">
        <v>95</v>
      </c>
      <c r="D101" s="20" t="s">
        <v>94</v>
      </c>
      <c r="E101" s="3">
        <v>6200000</v>
      </c>
      <c r="F101" s="19">
        <v>43929</v>
      </c>
      <c r="G101" s="3">
        <v>6200000</v>
      </c>
      <c r="H101" s="2">
        <v>5.0000000000000001E-3</v>
      </c>
      <c r="I101" s="19">
        <v>44166</v>
      </c>
      <c r="J101" s="19">
        <v>44196</v>
      </c>
      <c r="K101" s="3">
        <f t="shared" si="4"/>
        <v>31</v>
      </c>
      <c r="L101" s="3">
        <f t="shared" si="5"/>
        <v>2626</v>
      </c>
      <c r="M101" s="3">
        <v>6200000</v>
      </c>
    </row>
    <row r="102" spans="1:13" s="18" customFormat="1" hidden="1" outlineLevel="2">
      <c r="A102" s="19" t="s">
        <v>78</v>
      </c>
      <c r="B102" s="20" t="s">
        <v>100</v>
      </c>
      <c r="C102" s="21" t="s">
        <v>158</v>
      </c>
      <c r="D102" s="20" t="s">
        <v>157</v>
      </c>
      <c r="E102" s="3">
        <v>10000000</v>
      </c>
      <c r="F102" s="19">
        <v>44111</v>
      </c>
      <c r="G102" s="3">
        <v>9666668</v>
      </c>
      <c r="H102" s="2">
        <v>5.0000000000000001E-3</v>
      </c>
      <c r="I102" s="19">
        <v>44166</v>
      </c>
      <c r="J102" s="19">
        <v>44179</v>
      </c>
      <c r="K102" s="3">
        <f t="shared" si="4"/>
        <v>14</v>
      </c>
      <c r="L102" s="3">
        <f t="shared" si="5"/>
        <v>1849</v>
      </c>
      <c r="M102" s="3">
        <v>9500002</v>
      </c>
    </row>
    <row r="103" spans="1:13" s="18" customFormat="1" hidden="1" outlineLevel="2">
      <c r="A103" s="19" t="s">
        <v>78</v>
      </c>
      <c r="B103" s="20" t="s">
        <v>100</v>
      </c>
      <c r="C103" s="21" t="s">
        <v>158</v>
      </c>
      <c r="D103" s="20"/>
      <c r="E103" s="3"/>
      <c r="F103" s="19"/>
      <c r="G103" s="3">
        <v>9500002</v>
      </c>
      <c r="H103" s="2">
        <v>5.0000000000000001E-3</v>
      </c>
      <c r="I103" s="19">
        <v>44180</v>
      </c>
      <c r="J103" s="19">
        <v>44196</v>
      </c>
      <c r="K103" s="3">
        <f t="shared" si="4"/>
        <v>17</v>
      </c>
      <c r="L103" s="3">
        <f t="shared" si="5"/>
        <v>2206</v>
      </c>
      <c r="M103" s="3"/>
    </row>
    <row r="104" spans="1:13" s="18" customFormat="1" hidden="1" outlineLevel="2">
      <c r="A104" s="19" t="s">
        <v>78</v>
      </c>
      <c r="B104" s="20" t="s">
        <v>99</v>
      </c>
      <c r="C104" s="21" t="s">
        <v>158</v>
      </c>
      <c r="D104" s="20" t="s">
        <v>157</v>
      </c>
      <c r="E104" s="3">
        <v>24450000</v>
      </c>
      <c r="F104" s="19">
        <v>44120</v>
      </c>
      <c r="G104" s="3">
        <v>24035594</v>
      </c>
      <c r="H104" s="2">
        <v>5.0000000000000001E-3</v>
      </c>
      <c r="I104" s="19">
        <v>44166</v>
      </c>
      <c r="J104" s="19">
        <v>44179</v>
      </c>
      <c r="K104" s="3">
        <f t="shared" si="4"/>
        <v>14</v>
      </c>
      <c r="L104" s="3">
        <f t="shared" si="5"/>
        <v>4597</v>
      </c>
      <c r="M104" s="3">
        <v>23621188</v>
      </c>
    </row>
    <row r="105" spans="1:13" s="18" customFormat="1" hidden="1" outlineLevel="2">
      <c r="A105" s="19" t="s">
        <v>78</v>
      </c>
      <c r="B105" s="20" t="s">
        <v>99</v>
      </c>
      <c r="C105" s="21" t="s">
        <v>158</v>
      </c>
      <c r="D105" s="20"/>
      <c r="E105" s="3"/>
      <c r="F105" s="19"/>
      <c r="G105" s="3">
        <v>23621188</v>
      </c>
      <c r="H105" s="2">
        <v>5.0000000000000001E-3</v>
      </c>
      <c r="I105" s="19">
        <v>44180</v>
      </c>
      <c r="J105" s="19">
        <v>44196</v>
      </c>
      <c r="K105" s="3">
        <f t="shared" si="4"/>
        <v>17</v>
      </c>
      <c r="L105" s="3">
        <f t="shared" si="5"/>
        <v>5486</v>
      </c>
      <c r="M105" s="3"/>
    </row>
    <row r="106" spans="1:13" s="18" customFormat="1" hidden="1" outlineLevel="2">
      <c r="A106" s="19" t="s">
        <v>78</v>
      </c>
      <c r="B106" s="20" t="s">
        <v>98</v>
      </c>
      <c r="C106" s="21" t="s">
        <v>139</v>
      </c>
      <c r="D106" s="20" t="s">
        <v>138</v>
      </c>
      <c r="E106" s="3">
        <v>26100000</v>
      </c>
      <c r="F106" s="19">
        <v>44124</v>
      </c>
      <c r="G106" s="3">
        <v>26100000</v>
      </c>
      <c r="H106" s="2">
        <v>5.0000000000000001E-3</v>
      </c>
      <c r="I106" s="19">
        <v>44166</v>
      </c>
      <c r="J106" s="19">
        <v>44196</v>
      </c>
      <c r="K106" s="3">
        <f t="shared" si="4"/>
        <v>31</v>
      </c>
      <c r="L106" s="3">
        <f t="shared" si="5"/>
        <v>11053</v>
      </c>
      <c r="M106" s="3">
        <v>26100000</v>
      </c>
    </row>
    <row r="107" spans="1:13" s="18" customFormat="1" hidden="1" outlineLevel="2">
      <c r="A107" s="19" t="s">
        <v>78</v>
      </c>
      <c r="B107" s="20" t="s">
        <v>122</v>
      </c>
      <c r="C107" s="21" t="s">
        <v>158</v>
      </c>
      <c r="D107" s="20" t="s">
        <v>157</v>
      </c>
      <c r="E107" s="3">
        <v>25800000</v>
      </c>
      <c r="F107" s="19">
        <v>44137</v>
      </c>
      <c r="G107" s="3">
        <v>25362712</v>
      </c>
      <c r="H107" s="2">
        <v>5.0000000000000001E-3</v>
      </c>
      <c r="I107" s="19">
        <v>44166</v>
      </c>
      <c r="J107" s="19">
        <v>44179</v>
      </c>
      <c r="K107" s="3">
        <f t="shared" si="4"/>
        <v>14</v>
      </c>
      <c r="L107" s="3">
        <f t="shared" si="5"/>
        <v>4851</v>
      </c>
      <c r="M107" s="3">
        <v>24925424</v>
      </c>
    </row>
    <row r="108" spans="1:13" s="18" customFormat="1" hidden="1" outlineLevel="2">
      <c r="A108" s="19" t="s">
        <v>78</v>
      </c>
      <c r="B108" s="20" t="s">
        <v>122</v>
      </c>
      <c r="C108" s="21" t="s">
        <v>158</v>
      </c>
      <c r="D108" s="20"/>
      <c r="E108" s="3"/>
      <c r="F108" s="19"/>
      <c r="G108" s="3">
        <v>24925424</v>
      </c>
      <c r="H108" s="2">
        <v>5.0000000000000001E-3</v>
      </c>
      <c r="I108" s="19">
        <v>44180</v>
      </c>
      <c r="J108" s="19">
        <v>44196</v>
      </c>
      <c r="K108" s="3">
        <f t="shared" si="4"/>
        <v>17</v>
      </c>
      <c r="L108" s="3">
        <f t="shared" si="5"/>
        <v>5789</v>
      </c>
      <c r="M108" s="3"/>
    </row>
    <row r="109" spans="1:13" s="18" customFormat="1" hidden="1" outlineLevel="2">
      <c r="A109" s="19" t="s">
        <v>78</v>
      </c>
      <c r="B109" s="20" t="s">
        <v>121</v>
      </c>
      <c r="C109" s="21" t="s">
        <v>227</v>
      </c>
      <c r="D109" s="20" t="s">
        <v>226</v>
      </c>
      <c r="E109" s="3">
        <v>1200000</v>
      </c>
      <c r="F109" s="19">
        <v>44138</v>
      </c>
      <c r="G109" s="3">
        <v>1200000</v>
      </c>
      <c r="H109" s="2">
        <v>5.0000000000000001E-3</v>
      </c>
      <c r="I109" s="19">
        <v>44166</v>
      </c>
      <c r="J109" s="19">
        <v>44196</v>
      </c>
      <c r="K109" s="3">
        <f t="shared" si="4"/>
        <v>31</v>
      </c>
      <c r="L109" s="3">
        <f t="shared" si="5"/>
        <v>508</v>
      </c>
      <c r="M109" s="3">
        <v>1200000</v>
      </c>
    </row>
    <row r="110" spans="1:13" s="18" customFormat="1" hidden="1" outlineLevel="2">
      <c r="A110" s="19" t="s">
        <v>78</v>
      </c>
      <c r="B110" s="20" t="s">
        <v>120</v>
      </c>
      <c r="C110" s="21" t="s">
        <v>227</v>
      </c>
      <c r="D110" s="20" t="s">
        <v>226</v>
      </c>
      <c r="E110" s="3">
        <v>2350000</v>
      </c>
      <c r="F110" s="19">
        <v>44138</v>
      </c>
      <c r="G110" s="3">
        <v>2350000</v>
      </c>
      <c r="H110" s="2">
        <v>5.0000000000000001E-3</v>
      </c>
      <c r="I110" s="19">
        <v>44166</v>
      </c>
      <c r="J110" s="19">
        <v>44196</v>
      </c>
      <c r="K110" s="3">
        <f t="shared" si="4"/>
        <v>31</v>
      </c>
      <c r="L110" s="3">
        <f t="shared" si="5"/>
        <v>995</v>
      </c>
      <c r="M110" s="3">
        <v>2350000</v>
      </c>
    </row>
    <row r="111" spans="1:13" s="18" customFormat="1" hidden="1" outlineLevel="2">
      <c r="A111" s="19" t="s">
        <v>78</v>
      </c>
      <c r="B111" s="20" t="s">
        <v>147</v>
      </c>
      <c r="C111" s="21" t="s">
        <v>93</v>
      </c>
      <c r="D111" s="20" t="s">
        <v>92</v>
      </c>
      <c r="E111" s="3">
        <v>23200000</v>
      </c>
      <c r="F111" s="19">
        <v>44151</v>
      </c>
      <c r="G111" s="3">
        <v>23200000</v>
      </c>
      <c r="H111" s="2">
        <v>5.0000000000000001E-3</v>
      </c>
      <c r="I111" s="19">
        <v>44166</v>
      </c>
      <c r="J111" s="19">
        <v>44179</v>
      </c>
      <c r="K111" s="3">
        <f t="shared" si="4"/>
        <v>14</v>
      </c>
      <c r="L111" s="3">
        <f t="shared" si="5"/>
        <v>4437</v>
      </c>
      <c r="M111" s="3">
        <v>22998261</v>
      </c>
    </row>
    <row r="112" spans="1:13" s="18" customFormat="1" hidden="1" outlineLevel="2">
      <c r="A112" s="19" t="s">
        <v>78</v>
      </c>
      <c r="B112" s="20" t="s">
        <v>147</v>
      </c>
      <c r="C112" s="21" t="s">
        <v>93</v>
      </c>
      <c r="D112" s="20"/>
      <c r="E112" s="3"/>
      <c r="F112" s="19"/>
      <c r="G112" s="3">
        <v>22998261</v>
      </c>
      <c r="H112" s="2">
        <v>5.0000000000000001E-3</v>
      </c>
      <c r="I112" s="19">
        <v>44180</v>
      </c>
      <c r="J112" s="19">
        <v>44196</v>
      </c>
      <c r="K112" s="3">
        <f t="shared" si="4"/>
        <v>17</v>
      </c>
      <c r="L112" s="3">
        <f t="shared" si="5"/>
        <v>5341</v>
      </c>
      <c r="M112" s="3"/>
    </row>
    <row r="113" spans="1:13" s="18" customFormat="1" hidden="1" outlineLevel="2">
      <c r="A113" s="19" t="s">
        <v>78</v>
      </c>
      <c r="B113" s="20" t="s">
        <v>146</v>
      </c>
      <c r="C113" s="21" t="s">
        <v>95</v>
      </c>
      <c r="D113" s="20" t="s">
        <v>94</v>
      </c>
      <c r="E113" s="3">
        <v>5910000</v>
      </c>
      <c r="F113" s="19">
        <v>44151</v>
      </c>
      <c r="G113" s="3">
        <v>5910000</v>
      </c>
      <c r="H113" s="2">
        <v>5.0000000000000001E-3</v>
      </c>
      <c r="I113" s="19">
        <v>44166</v>
      </c>
      <c r="J113" s="19">
        <v>44196</v>
      </c>
      <c r="K113" s="3">
        <f t="shared" si="4"/>
        <v>31</v>
      </c>
      <c r="L113" s="3">
        <f t="shared" si="5"/>
        <v>2503</v>
      </c>
      <c r="M113" s="3">
        <v>5910000</v>
      </c>
    </row>
    <row r="114" spans="1:13" s="18" customFormat="1" hidden="1" outlineLevel="2">
      <c r="A114" s="19" t="s">
        <v>78</v>
      </c>
      <c r="B114" s="20" t="s">
        <v>145</v>
      </c>
      <c r="C114" s="21" t="s">
        <v>72</v>
      </c>
      <c r="D114" s="20" t="s">
        <v>71</v>
      </c>
      <c r="E114" s="3">
        <v>26000000</v>
      </c>
      <c r="F114" s="19">
        <v>44162</v>
      </c>
      <c r="G114" s="3">
        <v>26000000</v>
      </c>
      <c r="H114" s="2">
        <v>5.0000000000000001E-3</v>
      </c>
      <c r="I114" s="19">
        <v>44166</v>
      </c>
      <c r="J114" s="19">
        <v>44179</v>
      </c>
      <c r="K114" s="3">
        <f t="shared" si="4"/>
        <v>14</v>
      </c>
      <c r="L114" s="3">
        <f t="shared" si="5"/>
        <v>4973</v>
      </c>
      <c r="M114" s="3">
        <v>25769912</v>
      </c>
    </row>
    <row r="115" spans="1:13" s="18" customFormat="1" hidden="1" outlineLevel="2">
      <c r="A115" s="19" t="s">
        <v>78</v>
      </c>
      <c r="B115" s="20" t="s">
        <v>145</v>
      </c>
      <c r="C115" s="21" t="s">
        <v>72</v>
      </c>
      <c r="D115" s="20"/>
      <c r="E115" s="3"/>
      <c r="F115" s="19"/>
      <c r="G115" s="3">
        <v>25769912</v>
      </c>
      <c r="H115" s="2">
        <v>5.0000000000000001E-3</v>
      </c>
      <c r="I115" s="19">
        <v>44180</v>
      </c>
      <c r="J115" s="19">
        <v>44196</v>
      </c>
      <c r="K115" s="3">
        <f t="shared" si="4"/>
        <v>17</v>
      </c>
      <c r="L115" s="3">
        <f t="shared" si="5"/>
        <v>5985</v>
      </c>
      <c r="M115" s="3"/>
    </row>
    <row r="116" spans="1:13" s="18" customFormat="1" hidden="1" outlineLevel="2">
      <c r="A116" s="19" t="s">
        <v>78</v>
      </c>
      <c r="B116" s="20" t="s">
        <v>144</v>
      </c>
      <c r="C116" s="21" t="s">
        <v>158</v>
      </c>
      <c r="D116" s="20" t="s">
        <v>157</v>
      </c>
      <c r="E116" s="3">
        <v>9280000</v>
      </c>
      <c r="F116" s="19">
        <v>44167</v>
      </c>
      <c r="G116" s="3">
        <v>9280000</v>
      </c>
      <c r="H116" s="2">
        <v>5.0000000000000001E-3</v>
      </c>
      <c r="I116" s="19">
        <v>44167</v>
      </c>
      <c r="J116" s="19">
        <v>44179</v>
      </c>
      <c r="K116" s="3">
        <f t="shared" si="4"/>
        <v>13</v>
      </c>
      <c r="L116" s="3">
        <f t="shared" si="5"/>
        <v>1648</v>
      </c>
      <c r="M116" s="3">
        <v>9120000</v>
      </c>
    </row>
    <row r="117" spans="1:13" s="18" customFormat="1" hidden="1" outlineLevel="2">
      <c r="A117" s="19" t="s">
        <v>78</v>
      </c>
      <c r="B117" s="20" t="s">
        <v>144</v>
      </c>
      <c r="C117" s="21" t="s">
        <v>158</v>
      </c>
      <c r="D117" s="20"/>
      <c r="E117" s="3"/>
      <c r="F117" s="19"/>
      <c r="G117" s="3">
        <v>9120000</v>
      </c>
      <c r="H117" s="2">
        <v>5.0000000000000001E-3</v>
      </c>
      <c r="I117" s="19">
        <v>44180</v>
      </c>
      <c r="J117" s="19">
        <v>44196</v>
      </c>
      <c r="K117" s="3">
        <f t="shared" si="4"/>
        <v>17</v>
      </c>
      <c r="L117" s="3">
        <f t="shared" si="5"/>
        <v>2118</v>
      </c>
      <c r="M117" s="3"/>
    </row>
    <row r="118" spans="1:13" s="18" customFormat="1" hidden="1" outlineLevel="2">
      <c r="A118" s="19" t="s">
        <v>78</v>
      </c>
      <c r="B118" s="20" t="s">
        <v>29</v>
      </c>
      <c r="C118" s="21" t="s">
        <v>95</v>
      </c>
      <c r="D118" s="20" t="s">
        <v>94</v>
      </c>
      <c r="E118" s="3">
        <v>23630000</v>
      </c>
      <c r="F118" s="19">
        <v>43936</v>
      </c>
      <c r="G118" s="3">
        <v>23630000</v>
      </c>
      <c r="H118" s="2">
        <v>5.0000000000000001E-3</v>
      </c>
      <c r="I118" s="19">
        <v>44166</v>
      </c>
      <c r="J118" s="19">
        <v>44196</v>
      </c>
      <c r="K118" s="3">
        <f t="shared" ref="K118:K134" si="6">J118-I118+1</f>
        <v>31</v>
      </c>
      <c r="L118" s="3">
        <f t="shared" ref="L118:L134" si="7">ROUND(G118*H118*K118/366,0)</f>
        <v>10007</v>
      </c>
      <c r="M118" s="3">
        <v>23630000</v>
      </c>
    </row>
    <row r="119" spans="1:13" s="18" customFormat="1" hidden="1" outlineLevel="2">
      <c r="A119" s="19" t="s">
        <v>78</v>
      </c>
      <c r="B119" s="20" t="s">
        <v>143</v>
      </c>
      <c r="C119" s="21" t="s">
        <v>158</v>
      </c>
      <c r="D119" s="20" t="s">
        <v>157</v>
      </c>
      <c r="E119" s="3">
        <v>10470000</v>
      </c>
      <c r="F119" s="19">
        <v>44181</v>
      </c>
      <c r="G119" s="3">
        <v>10470000</v>
      </c>
      <c r="H119" s="2">
        <v>5.0000000000000001E-3</v>
      </c>
      <c r="I119" s="19">
        <v>44181</v>
      </c>
      <c r="J119" s="19">
        <v>44196</v>
      </c>
      <c r="K119" s="3">
        <f t="shared" si="6"/>
        <v>16</v>
      </c>
      <c r="L119" s="3">
        <f t="shared" si="7"/>
        <v>2289</v>
      </c>
      <c r="M119" s="3">
        <v>10470000</v>
      </c>
    </row>
    <row r="120" spans="1:13" s="18" customFormat="1" hidden="1" outlineLevel="2">
      <c r="A120" s="19" t="s">
        <v>78</v>
      </c>
      <c r="B120" s="20" t="s">
        <v>142</v>
      </c>
      <c r="C120" s="21" t="s">
        <v>95</v>
      </c>
      <c r="D120" s="20" t="s">
        <v>94</v>
      </c>
      <c r="E120" s="3">
        <v>2950000</v>
      </c>
      <c r="F120" s="19">
        <v>44180</v>
      </c>
      <c r="G120" s="3">
        <v>2950000</v>
      </c>
      <c r="H120" s="2">
        <v>5.0000000000000001E-3</v>
      </c>
      <c r="I120" s="19">
        <v>44180</v>
      </c>
      <c r="J120" s="19">
        <v>44196</v>
      </c>
      <c r="K120" s="3">
        <f t="shared" si="6"/>
        <v>17</v>
      </c>
      <c r="L120" s="3">
        <f t="shared" si="7"/>
        <v>685</v>
      </c>
      <c r="M120" s="3">
        <v>2950000</v>
      </c>
    </row>
    <row r="121" spans="1:13" s="18" customFormat="1" hidden="1" outlineLevel="2">
      <c r="A121" s="19" t="s">
        <v>78</v>
      </c>
      <c r="B121" s="20" t="s">
        <v>152</v>
      </c>
      <c r="C121" s="21" t="s">
        <v>227</v>
      </c>
      <c r="D121" s="20" t="s">
        <v>226</v>
      </c>
      <c r="E121" s="3">
        <v>24400000</v>
      </c>
      <c r="F121" s="19">
        <v>44193</v>
      </c>
      <c r="G121" s="3">
        <v>24400000</v>
      </c>
      <c r="H121" s="2">
        <v>5.0000000000000001E-3</v>
      </c>
      <c r="I121" s="19">
        <v>44193</v>
      </c>
      <c r="J121" s="19">
        <v>44196</v>
      </c>
      <c r="K121" s="3">
        <f t="shared" si="6"/>
        <v>4</v>
      </c>
      <c r="L121" s="3">
        <f t="shared" si="7"/>
        <v>1333</v>
      </c>
      <c r="M121" s="3">
        <v>24400000</v>
      </c>
    </row>
    <row r="122" spans="1:13" s="18" customFormat="1" hidden="1" outlineLevel="2">
      <c r="A122" s="19" t="s">
        <v>78</v>
      </c>
      <c r="B122" s="20" t="s">
        <v>168</v>
      </c>
      <c r="C122" s="21" t="s">
        <v>227</v>
      </c>
      <c r="D122" s="20" t="s">
        <v>226</v>
      </c>
      <c r="E122" s="3">
        <v>5500000</v>
      </c>
      <c r="F122" s="19">
        <v>44193</v>
      </c>
      <c r="G122" s="3">
        <v>5500000</v>
      </c>
      <c r="H122" s="2">
        <v>5.0000000000000001E-3</v>
      </c>
      <c r="I122" s="19">
        <v>44193</v>
      </c>
      <c r="J122" s="19">
        <v>44196</v>
      </c>
      <c r="K122" s="3">
        <f t="shared" si="6"/>
        <v>4</v>
      </c>
      <c r="L122" s="3">
        <f t="shared" si="7"/>
        <v>301</v>
      </c>
      <c r="M122" s="3">
        <v>5500000</v>
      </c>
    </row>
    <row r="123" spans="1:13" s="18" customFormat="1" hidden="1" outlineLevel="2">
      <c r="A123" s="19" t="s">
        <v>78</v>
      </c>
      <c r="B123" s="20" t="s">
        <v>167</v>
      </c>
      <c r="C123" s="21" t="s">
        <v>227</v>
      </c>
      <c r="D123" s="20" t="s">
        <v>226</v>
      </c>
      <c r="E123" s="3">
        <v>28050000</v>
      </c>
      <c r="F123" s="19">
        <v>44193</v>
      </c>
      <c r="G123" s="3">
        <v>28050000</v>
      </c>
      <c r="H123" s="2">
        <v>5.0000000000000001E-3</v>
      </c>
      <c r="I123" s="19">
        <v>44193</v>
      </c>
      <c r="J123" s="19">
        <v>44196</v>
      </c>
      <c r="K123" s="3">
        <f t="shared" si="6"/>
        <v>4</v>
      </c>
      <c r="L123" s="3">
        <f t="shared" si="7"/>
        <v>1533</v>
      </c>
      <c r="M123" s="3">
        <v>28050000</v>
      </c>
    </row>
    <row r="124" spans="1:13" s="18" customFormat="1" hidden="1" outlineLevel="2">
      <c r="A124" s="19" t="s">
        <v>78</v>
      </c>
      <c r="B124" s="20" t="s">
        <v>166</v>
      </c>
      <c r="C124" s="21" t="s">
        <v>227</v>
      </c>
      <c r="D124" s="20" t="s">
        <v>226</v>
      </c>
      <c r="E124" s="3">
        <v>5000000</v>
      </c>
      <c r="F124" s="19">
        <v>44193</v>
      </c>
      <c r="G124" s="3">
        <v>5000000</v>
      </c>
      <c r="H124" s="2">
        <v>5.0000000000000001E-3</v>
      </c>
      <c r="I124" s="19">
        <v>44193</v>
      </c>
      <c r="J124" s="19">
        <v>44196</v>
      </c>
      <c r="K124" s="3">
        <f t="shared" si="6"/>
        <v>4</v>
      </c>
      <c r="L124" s="3">
        <f t="shared" si="7"/>
        <v>273</v>
      </c>
      <c r="M124" s="3">
        <v>5000000</v>
      </c>
    </row>
    <row r="125" spans="1:13" s="18" customFormat="1" hidden="1" outlineLevel="2">
      <c r="A125" s="19" t="s">
        <v>78</v>
      </c>
      <c r="B125" s="20" t="s">
        <v>30</v>
      </c>
      <c r="C125" s="21" t="s">
        <v>72</v>
      </c>
      <c r="D125" s="20" t="s">
        <v>71</v>
      </c>
      <c r="E125" s="3">
        <v>24000000</v>
      </c>
      <c r="F125" s="19">
        <v>43937</v>
      </c>
      <c r="G125" s="3">
        <v>22600000</v>
      </c>
      <c r="H125" s="2">
        <v>5.0000000000000001E-3</v>
      </c>
      <c r="I125" s="19">
        <v>44166</v>
      </c>
      <c r="J125" s="19">
        <v>44179</v>
      </c>
      <c r="K125" s="3">
        <f t="shared" si="6"/>
        <v>14</v>
      </c>
      <c r="L125" s="3">
        <f t="shared" si="7"/>
        <v>4322</v>
      </c>
      <c r="M125" s="3">
        <v>22400000</v>
      </c>
    </row>
    <row r="126" spans="1:13" s="18" customFormat="1" hidden="1" outlineLevel="2">
      <c r="A126" s="19" t="s">
        <v>78</v>
      </c>
      <c r="B126" s="20" t="s">
        <v>30</v>
      </c>
      <c r="C126" s="21" t="s">
        <v>72</v>
      </c>
      <c r="D126" s="20"/>
      <c r="E126" s="3"/>
      <c r="F126" s="19"/>
      <c r="G126" s="3">
        <v>22400000</v>
      </c>
      <c r="H126" s="2">
        <v>5.0000000000000001E-3</v>
      </c>
      <c r="I126" s="19">
        <v>44180</v>
      </c>
      <c r="J126" s="19">
        <v>44196</v>
      </c>
      <c r="K126" s="3">
        <f t="shared" si="6"/>
        <v>17</v>
      </c>
      <c r="L126" s="3">
        <f t="shared" si="7"/>
        <v>5202</v>
      </c>
      <c r="M126" s="3"/>
    </row>
    <row r="127" spans="1:13" s="18" customFormat="1" hidden="1" outlineLevel="2">
      <c r="A127" s="19" t="s">
        <v>78</v>
      </c>
      <c r="B127" s="20" t="s">
        <v>31</v>
      </c>
      <c r="C127" s="21" t="s">
        <v>93</v>
      </c>
      <c r="D127" s="20" t="s">
        <v>92</v>
      </c>
      <c r="E127" s="3">
        <v>28240000</v>
      </c>
      <c r="F127" s="19">
        <v>43951</v>
      </c>
      <c r="G127" s="3">
        <v>25886670</v>
      </c>
      <c r="H127" s="2">
        <v>5.0000000000000001E-3</v>
      </c>
      <c r="I127" s="19">
        <v>44166</v>
      </c>
      <c r="J127" s="19">
        <v>44179</v>
      </c>
      <c r="K127" s="3">
        <f t="shared" si="6"/>
        <v>14</v>
      </c>
      <c r="L127" s="3">
        <f t="shared" si="7"/>
        <v>4951</v>
      </c>
      <c r="M127" s="3">
        <v>25550480</v>
      </c>
    </row>
    <row r="128" spans="1:13" s="18" customFormat="1" hidden="1" outlineLevel="2">
      <c r="A128" s="19" t="s">
        <v>78</v>
      </c>
      <c r="B128" s="20" t="s">
        <v>31</v>
      </c>
      <c r="C128" s="21" t="s">
        <v>93</v>
      </c>
      <c r="D128" s="20"/>
      <c r="E128" s="3"/>
      <c r="F128" s="19"/>
      <c r="G128" s="3">
        <v>25550480</v>
      </c>
      <c r="H128" s="2">
        <v>5.0000000000000001E-3</v>
      </c>
      <c r="I128" s="19">
        <v>44180</v>
      </c>
      <c r="J128" s="19">
        <v>44196</v>
      </c>
      <c r="K128" s="3">
        <f t="shared" si="6"/>
        <v>17</v>
      </c>
      <c r="L128" s="3">
        <f t="shared" si="7"/>
        <v>5934</v>
      </c>
      <c r="M128" s="3"/>
    </row>
    <row r="129" spans="1:13" s="18" customFormat="1" hidden="1" outlineLevel="2">
      <c r="A129" s="19" t="s">
        <v>78</v>
      </c>
      <c r="B129" s="20" t="s">
        <v>32</v>
      </c>
      <c r="C129" s="21" t="s">
        <v>95</v>
      </c>
      <c r="D129" s="20" t="s">
        <v>94</v>
      </c>
      <c r="E129" s="3">
        <v>8000000</v>
      </c>
      <c r="F129" s="19">
        <v>43957</v>
      </c>
      <c r="G129" s="3">
        <v>7066669</v>
      </c>
      <c r="H129" s="2">
        <v>5.0000000000000001E-3</v>
      </c>
      <c r="I129" s="19">
        <v>44166</v>
      </c>
      <c r="J129" s="19">
        <v>44179</v>
      </c>
      <c r="K129" s="3">
        <f t="shared" si="6"/>
        <v>14</v>
      </c>
      <c r="L129" s="3">
        <f t="shared" si="7"/>
        <v>1352</v>
      </c>
      <c r="M129" s="3">
        <v>6933336</v>
      </c>
    </row>
    <row r="130" spans="1:13" s="18" customFormat="1" hidden="1" outlineLevel="2">
      <c r="A130" s="19" t="s">
        <v>78</v>
      </c>
      <c r="B130" s="20" t="s">
        <v>32</v>
      </c>
      <c r="C130" s="21" t="s">
        <v>95</v>
      </c>
      <c r="D130" s="20"/>
      <c r="E130" s="3"/>
      <c r="F130" s="19"/>
      <c r="G130" s="3">
        <v>6933336</v>
      </c>
      <c r="H130" s="2">
        <v>5.0000000000000001E-3</v>
      </c>
      <c r="I130" s="19">
        <v>44180</v>
      </c>
      <c r="J130" s="19">
        <v>44196</v>
      </c>
      <c r="K130" s="3">
        <f t="shared" si="6"/>
        <v>17</v>
      </c>
      <c r="L130" s="3">
        <f t="shared" si="7"/>
        <v>1610</v>
      </c>
      <c r="M130" s="3"/>
    </row>
    <row r="131" spans="1:13" s="18" customFormat="1" hidden="1" outlineLevel="2">
      <c r="A131" s="19" t="s">
        <v>78</v>
      </c>
      <c r="B131" s="20" t="s">
        <v>48</v>
      </c>
      <c r="C131" s="21" t="s">
        <v>95</v>
      </c>
      <c r="D131" s="20" t="s">
        <v>94</v>
      </c>
      <c r="E131" s="3">
        <v>5910000</v>
      </c>
      <c r="F131" s="19">
        <v>43966</v>
      </c>
      <c r="G131" s="3">
        <v>5910000</v>
      </c>
      <c r="H131" s="2">
        <v>5.0000000000000001E-3</v>
      </c>
      <c r="I131" s="19">
        <v>44166</v>
      </c>
      <c r="J131" s="19">
        <v>44196</v>
      </c>
      <c r="K131" s="3">
        <f t="shared" si="6"/>
        <v>31</v>
      </c>
      <c r="L131" s="3">
        <f t="shared" si="7"/>
        <v>2503</v>
      </c>
      <c r="M131" s="3">
        <v>5910000</v>
      </c>
    </row>
    <row r="132" spans="1:13" s="18" customFormat="1" hidden="1" outlineLevel="2">
      <c r="A132" s="19" t="s">
        <v>78</v>
      </c>
      <c r="B132" s="20" t="s">
        <v>59</v>
      </c>
      <c r="C132" s="21" t="s">
        <v>93</v>
      </c>
      <c r="D132" s="20" t="s">
        <v>92</v>
      </c>
      <c r="E132" s="3">
        <v>20510000</v>
      </c>
      <c r="F132" s="19">
        <v>43966</v>
      </c>
      <c r="G132" s="3">
        <v>19027352</v>
      </c>
      <c r="H132" s="2">
        <v>5.0000000000000001E-3</v>
      </c>
      <c r="I132" s="19">
        <v>44166</v>
      </c>
      <c r="J132" s="19">
        <v>44179</v>
      </c>
      <c r="K132" s="3">
        <f t="shared" si="6"/>
        <v>14</v>
      </c>
      <c r="L132" s="3">
        <f t="shared" si="7"/>
        <v>3639</v>
      </c>
      <c r="M132" s="3">
        <v>18780244</v>
      </c>
    </row>
    <row r="133" spans="1:13" s="18" customFormat="1" hidden="1" outlineLevel="2">
      <c r="A133" s="19" t="s">
        <v>78</v>
      </c>
      <c r="B133" s="20" t="s">
        <v>59</v>
      </c>
      <c r="C133" s="21" t="s">
        <v>93</v>
      </c>
      <c r="D133" s="20"/>
      <c r="E133" s="3"/>
      <c r="F133" s="19"/>
      <c r="G133" s="3">
        <v>18780244</v>
      </c>
      <c r="H133" s="2">
        <v>5.0000000000000001E-3</v>
      </c>
      <c r="I133" s="19">
        <v>44180</v>
      </c>
      <c r="J133" s="19">
        <v>44196</v>
      </c>
      <c r="K133" s="3">
        <f t="shared" si="6"/>
        <v>17</v>
      </c>
      <c r="L133" s="3">
        <f t="shared" si="7"/>
        <v>4362</v>
      </c>
      <c r="M133" s="3"/>
    </row>
    <row r="134" spans="1:13" s="18" customFormat="1" hidden="1" outlineLevel="2">
      <c r="A134" s="19" t="s">
        <v>78</v>
      </c>
      <c r="B134" s="20" t="s">
        <v>58</v>
      </c>
      <c r="C134" s="21" t="s">
        <v>77</v>
      </c>
      <c r="D134" s="20" t="s">
        <v>76</v>
      </c>
      <c r="E134" s="3">
        <v>33960000</v>
      </c>
      <c r="F134" s="19">
        <v>43978</v>
      </c>
      <c r="G134" s="3">
        <v>33960000</v>
      </c>
      <c r="H134" s="2">
        <v>5.0000000000000001E-3</v>
      </c>
      <c r="I134" s="19">
        <v>44166</v>
      </c>
      <c r="J134" s="19">
        <v>44196</v>
      </c>
      <c r="K134" s="3">
        <f t="shared" si="6"/>
        <v>31</v>
      </c>
      <c r="L134" s="3">
        <f t="shared" si="7"/>
        <v>14382</v>
      </c>
      <c r="M134" s="3">
        <v>33960000</v>
      </c>
    </row>
    <row r="135" spans="1:13" s="18" customFormat="1" ht="13.5" hidden="1" outlineLevel="1" collapsed="1">
      <c r="A135" s="22" t="s">
        <v>75</v>
      </c>
      <c r="B135" s="23"/>
      <c r="C135" s="24"/>
      <c r="D135" s="23"/>
      <c r="E135" s="25">
        <f>SUBTOTAL(9,E86:E134)</f>
        <v>0</v>
      </c>
      <c r="F135" s="26"/>
      <c r="G135" s="25"/>
      <c r="H135" s="27"/>
      <c r="I135" s="26"/>
      <c r="J135" s="26"/>
      <c r="K135" s="25"/>
      <c r="L135" s="25">
        <f>SUBTOTAL(9,L86:L134)</f>
        <v>0</v>
      </c>
      <c r="M135" s="25">
        <f>SUBTOTAL(9,M86:M134)</f>
        <v>0</v>
      </c>
    </row>
    <row r="136" spans="1:13" s="18" customFormat="1" hidden="1" outlineLevel="2">
      <c r="A136" s="19" t="s">
        <v>20</v>
      </c>
      <c r="B136" s="20" t="s">
        <v>16</v>
      </c>
      <c r="C136" s="21" t="s">
        <v>21</v>
      </c>
      <c r="D136" s="20" t="s">
        <v>22</v>
      </c>
      <c r="E136" s="3">
        <v>69000000</v>
      </c>
      <c r="F136" s="19">
        <v>43822</v>
      </c>
      <c r="G136" s="3">
        <v>69000000</v>
      </c>
      <c r="H136" s="2">
        <v>5.0000000000000001E-3</v>
      </c>
      <c r="I136" s="19">
        <v>44166</v>
      </c>
      <c r="J136" s="19">
        <v>44196</v>
      </c>
      <c r="K136" s="3">
        <f t="shared" ref="K136:K178" si="8">J136-I136+1</f>
        <v>31</v>
      </c>
      <c r="L136" s="3">
        <f t="shared" ref="L136:L178" si="9">ROUND(G136*H136*K136/366,0)</f>
        <v>29221</v>
      </c>
      <c r="M136" s="3">
        <v>69000000</v>
      </c>
    </row>
    <row r="137" spans="1:13" s="18" customFormat="1" hidden="1" outlineLevel="2">
      <c r="A137" s="19" t="s">
        <v>20</v>
      </c>
      <c r="B137" s="20" t="s">
        <v>61</v>
      </c>
      <c r="C137" s="21" t="s">
        <v>133</v>
      </c>
      <c r="D137" s="20" t="s">
        <v>132</v>
      </c>
      <c r="E137" s="3">
        <v>247700000</v>
      </c>
      <c r="F137" s="19">
        <v>43985</v>
      </c>
      <c r="G137" s="3">
        <v>247700000</v>
      </c>
      <c r="H137" s="2">
        <v>5.0000000000000001E-3</v>
      </c>
      <c r="I137" s="19">
        <v>44166</v>
      </c>
      <c r="J137" s="19">
        <v>44196</v>
      </c>
      <c r="K137" s="3">
        <f t="shared" si="8"/>
        <v>31</v>
      </c>
      <c r="L137" s="3">
        <f t="shared" si="9"/>
        <v>104900</v>
      </c>
      <c r="M137" s="3">
        <v>247700000</v>
      </c>
    </row>
    <row r="138" spans="1:13" s="18" customFormat="1" hidden="1" outlineLevel="2">
      <c r="A138" s="19" t="s">
        <v>20</v>
      </c>
      <c r="B138" s="20" t="s">
        <v>60</v>
      </c>
      <c r="C138" s="21" t="s">
        <v>192</v>
      </c>
      <c r="D138" s="20" t="s">
        <v>110</v>
      </c>
      <c r="E138" s="3">
        <v>18612000</v>
      </c>
      <c r="F138" s="19">
        <v>43997</v>
      </c>
      <c r="G138" s="3">
        <v>3722400</v>
      </c>
      <c r="H138" s="2">
        <v>5.0000000000000001E-3</v>
      </c>
      <c r="I138" s="19">
        <v>44166</v>
      </c>
      <c r="J138" s="19">
        <v>44196</v>
      </c>
      <c r="K138" s="3">
        <f t="shared" si="8"/>
        <v>31</v>
      </c>
      <c r="L138" s="3">
        <f t="shared" si="9"/>
        <v>1576</v>
      </c>
      <c r="M138" s="3">
        <v>3722400</v>
      </c>
    </row>
    <row r="139" spans="1:13" s="18" customFormat="1" hidden="1" outlineLevel="2">
      <c r="A139" s="19" t="s">
        <v>20</v>
      </c>
      <c r="B139" s="20" t="s">
        <v>66</v>
      </c>
      <c r="C139" s="21" t="s">
        <v>69</v>
      </c>
      <c r="D139" s="20" t="s">
        <v>68</v>
      </c>
      <c r="E139" s="3">
        <v>624000000</v>
      </c>
      <c r="F139" s="19">
        <v>44014</v>
      </c>
      <c r="G139" s="3">
        <v>624000000</v>
      </c>
      <c r="H139" s="2">
        <v>5.0000000000000001E-3</v>
      </c>
      <c r="I139" s="19">
        <v>44166</v>
      </c>
      <c r="J139" s="19">
        <v>44196</v>
      </c>
      <c r="K139" s="3">
        <f t="shared" si="8"/>
        <v>31</v>
      </c>
      <c r="L139" s="3">
        <f t="shared" si="9"/>
        <v>264262</v>
      </c>
      <c r="M139" s="3">
        <v>624000000</v>
      </c>
    </row>
    <row r="140" spans="1:13" s="18" customFormat="1" hidden="1" outlineLevel="2">
      <c r="A140" s="19" t="s">
        <v>20</v>
      </c>
      <c r="B140" s="20" t="s">
        <v>65</v>
      </c>
      <c r="C140" s="21" t="s">
        <v>69</v>
      </c>
      <c r="D140" s="20" t="s">
        <v>68</v>
      </c>
      <c r="E140" s="3">
        <v>82000000</v>
      </c>
      <c r="F140" s="19">
        <v>44042</v>
      </c>
      <c r="G140" s="3">
        <v>82000000</v>
      </c>
      <c r="H140" s="2">
        <v>5.0000000000000001E-3</v>
      </c>
      <c r="I140" s="19">
        <v>44166</v>
      </c>
      <c r="J140" s="19">
        <v>44196</v>
      </c>
      <c r="K140" s="3">
        <f t="shared" si="8"/>
        <v>31</v>
      </c>
      <c r="L140" s="3">
        <f t="shared" si="9"/>
        <v>34727</v>
      </c>
      <c r="M140" s="3">
        <v>82000000</v>
      </c>
    </row>
    <row r="141" spans="1:13" s="18" customFormat="1" hidden="1" outlineLevel="2">
      <c r="A141" s="19" t="s">
        <v>20</v>
      </c>
      <c r="B141" s="20" t="s">
        <v>64</v>
      </c>
      <c r="C141" s="21" t="s">
        <v>69</v>
      </c>
      <c r="D141" s="20" t="s">
        <v>68</v>
      </c>
      <c r="E141" s="3">
        <v>406400000</v>
      </c>
      <c r="F141" s="19">
        <v>44042</v>
      </c>
      <c r="G141" s="3">
        <v>406400000</v>
      </c>
      <c r="H141" s="2">
        <v>3.0000000000000001E-3</v>
      </c>
      <c r="I141" s="19">
        <v>44166</v>
      </c>
      <c r="J141" s="19">
        <v>44196</v>
      </c>
      <c r="K141" s="3">
        <f t="shared" si="8"/>
        <v>31</v>
      </c>
      <c r="L141" s="3">
        <f t="shared" si="9"/>
        <v>103266</v>
      </c>
      <c r="M141" s="3">
        <v>406400000</v>
      </c>
    </row>
    <row r="142" spans="1:13" s="18" customFormat="1" hidden="1" outlineLevel="2">
      <c r="A142" s="19" t="s">
        <v>20</v>
      </c>
      <c r="B142" s="20" t="s">
        <v>85</v>
      </c>
      <c r="C142" s="21" t="s">
        <v>69</v>
      </c>
      <c r="D142" s="20" t="s">
        <v>68</v>
      </c>
      <c r="E142" s="3">
        <v>51600000</v>
      </c>
      <c r="F142" s="19">
        <v>44042</v>
      </c>
      <c r="G142" s="3">
        <v>51600000</v>
      </c>
      <c r="H142" s="2">
        <v>3.0000000000000001E-3</v>
      </c>
      <c r="I142" s="19">
        <v>44166</v>
      </c>
      <c r="J142" s="19">
        <v>44196</v>
      </c>
      <c r="K142" s="3">
        <f t="shared" si="8"/>
        <v>31</v>
      </c>
      <c r="L142" s="3">
        <f t="shared" si="9"/>
        <v>13111</v>
      </c>
      <c r="M142" s="3">
        <v>51600000</v>
      </c>
    </row>
    <row r="143" spans="1:13" s="18" customFormat="1" hidden="1" outlineLevel="2">
      <c r="A143" s="19" t="s">
        <v>20</v>
      </c>
      <c r="B143" s="20" t="s">
        <v>84</v>
      </c>
      <c r="C143" s="21" t="s">
        <v>115</v>
      </c>
      <c r="D143" s="20" t="s">
        <v>114</v>
      </c>
      <c r="E143" s="3">
        <v>1850000</v>
      </c>
      <c r="F143" s="19">
        <v>44018</v>
      </c>
      <c r="G143" s="3">
        <v>1850000</v>
      </c>
      <c r="H143" s="2">
        <v>5.0000000000000001E-3</v>
      </c>
      <c r="I143" s="19">
        <v>44166</v>
      </c>
      <c r="J143" s="19">
        <v>44196</v>
      </c>
      <c r="K143" s="3">
        <f t="shared" si="8"/>
        <v>31</v>
      </c>
      <c r="L143" s="3">
        <f t="shared" si="9"/>
        <v>783</v>
      </c>
      <c r="M143" s="3">
        <v>1850000</v>
      </c>
    </row>
    <row r="144" spans="1:13" s="18" customFormat="1" hidden="1" outlineLevel="2">
      <c r="A144" s="19" t="s">
        <v>20</v>
      </c>
      <c r="B144" s="20" t="s">
        <v>83</v>
      </c>
      <c r="C144" s="21" t="s">
        <v>115</v>
      </c>
      <c r="D144" s="20" t="s">
        <v>114</v>
      </c>
      <c r="E144" s="3">
        <v>5400000</v>
      </c>
      <c r="F144" s="19">
        <v>44019</v>
      </c>
      <c r="G144" s="3">
        <v>5400000</v>
      </c>
      <c r="H144" s="2">
        <v>5.0000000000000001E-3</v>
      </c>
      <c r="I144" s="19">
        <v>44166</v>
      </c>
      <c r="J144" s="19">
        <v>44196</v>
      </c>
      <c r="K144" s="3">
        <f t="shared" si="8"/>
        <v>31</v>
      </c>
      <c r="L144" s="3">
        <f t="shared" si="9"/>
        <v>2287</v>
      </c>
      <c r="M144" s="3">
        <v>5400000</v>
      </c>
    </row>
    <row r="145" spans="1:13" s="18" customFormat="1" hidden="1" outlineLevel="2">
      <c r="A145" s="19" t="s">
        <v>20</v>
      </c>
      <c r="B145" s="20" t="s">
        <v>102</v>
      </c>
      <c r="C145" s="21" t="s">
        <v>115</v>
      </c>
      <c r="D145" s="20" t="s">
        <v>114</v>
      </c>
      <c r="E145" s="3">
        <v>2300000</v>
      </c>
      <c r="F145" s="19">
        <v>44027</v>
      </c>
      <c r="G145" s="3">
        <v>2300000</v>
      </c>
      <c r="H145" s="2">
        <v>5.0000000000000001E-3</v>
      </c>
      <c r="I145" s="19">
        <v>44166</v>
      </c>
      <c r="J145" s="19">
        <v>44196</v>
      </c>
      <c r="K145" s="3">
        <f t="shared" si="8"/>
        <v>31</v>
      </c>
      <c r="L145" s="3">
        <f t="shared" si="9"/>
        <v>974</v>
      </c>
      <c r="M145" s="3">
        <v>2300000</v>
      </c>
    </row>
    <row r="146" spans="1:13" s="18" customFormat="1" hidden="1" outlineLevel="2">
      <c r="A146" s="19" t="s">
        <v>20</v>
      </c>
      <c r="B146" s="20" t="s">
        <v>101</v>
      </c>
      <c r="C146" s="21" t="s">
        <v>115</v>
      </c>
      <c r="D146" s="20" t="s">
        <v>114</v>
      </c>
      <c r="E146" s="3">
        <v>16280000</v>
      </c>
      <c r="F146" s="19">
        <v>44041</v>
      </c>
      <c r="G146" s="3">
        <v>16280000</v>
      </c>
      <c r="H146" s="2">
        <v>5.0000000000000001E-3</v>
      </c>
      <c r="I146" s="19">
        <v>44166</v>
      </c>
      <c r="J146" s="19">
        <v>44196</v>
      </c>
      <c r="K146" s="3">
        <f t="shared" si="8"/>
        <v>31</v>
      </c>
      <c r="L146" s="3">
        <f t="shared" si="9"/>
        <v>6895</v>
      </c>
      <c r="M146" s="3">
        <v>16280000</v>
      </c>
    </row>
    <row r="147" spans="1:13" s="18" customFormat="1" hidden="1" outlineLevel="2">
      <c r="A147" s="19" t="s">
        <v>20</v>
      </c>
      <c r="B147" s="20" t="s">
        <v>23</v>
      </c>
      <c r="C147" s="21" t="s">
        <v>24</v>
      </c>
      <c r="D147" s="20" t="s">
        <v>18</v>
      </c>
      <c r="E147" s="3">
        <v>162300000</v>
      </c>
      <c r="F147" s="19">
        <v>43829</v>
      </c>
      <c r="G147" s="3">
        <v>132545000</v>
      </c>
      <c r="H147" s="2">
        <v>5.0000000000000001E-3</v>
      </c>
      <c r="I147" s="19">
        <v>44166</v>
      </c>
      <c r="J147" s="19">
        <v>44179</v>
      </c>
      <c r="K147" s="3">
        <f t="shared" si="8"/>
        <v>14</v>
      </c>
      <c r="L147" s="3">
        <f t="shared" si="9"/>
        <v>25350</v>
      </c>
      <c r="M147" s="3">
        <v>129840000</v>
      </c>
    </row>
    <row r="148" spans="1:13" s="18" customFormat="1" hidden="1" outlineLevel="2">
      <c r="A148" s="19" t="s">
        <v>20</v>
      </c>
      <c r="B148" s="20" t="s">
        <v>23</v>
      </c>
      <c r="C148" s="21" t="s">
        <v>24</v>
      </c>
      <c r="D148" s="20"/>
      <c r="E148" s="3"/>
      <c r="F148" s="19"/>
      <c r="G148" s="3">
        <v>129840000</v>
      </c>
      <c r="H148" s="2">
        <v>5.0000000000000001E-3</v>
      </c>
      <c r="I148" s="19">
        <v>44180</v>
      </c>
      <c r="J148" s="19">
        <v>44196</v>
      </c>
      <c r="K148" s="3">
        <f t="shared" si="8"/>
        <v>17</v>
      </c>
      <c r="L148" s="3">
        <f t="shared" si="9"/>
        <v>30154</v>
      </c>
      <c r="M148" s="3"/>
    </row>
    <row r="149" spans="1:13" s="18" customFormat="1" hidden="1" outlineLevel="2">
      <c r="A149" s="19" t="s">
        <v>20</v>
      </c>
      <c r="B149" s="20" t="s">
        <v>100</v>
      </c>
      <c r="C149" s="21" t="s">
        <v>160</v>
      </c>
      <c r="D149" s="20" t="s">
        <v>159</v>
      </c>
      <c r="E149" s="3">
        <v>30000000</v>
      </c>
      <c r="F149" s="19">
        <v>44020</v>
      </c>
      <c r="G149" s="3">
        <v>30000000</v>
      </c>
      <c r="H149" s="2">
        <v>5.0000000000000001E-3</v>
      </c>
      <c r="I149" s="19">
        <v>44166</v>
      </c>
      <c r="J149" s="19">
        <v>44196</v>
      </c>
      <c r="K149" s="3">
        <f t="shared" si="8"/>
        <v>31</v>
      </c>
      <c r="L149" s="3">
        <f t="shared" si="9"/>
        <v>12705</v>
      </c>
      <c r="M149" s="3">
        <v>30000000</v>
      </c>
    </row>
    <row r="150" spans="1:13" s="18" customFormat="1" hidden="1" outlineLevel="2">
      <c r="A150" s="19" t="s">
        <v>20</v>
      </c>
      <c r="B150" s="20" t="s">
        <v>99</v>
      </c>
      <c r="C150" s="21" t="s">
        <v>158</v>
      </c>
      <c r="D150" s="20" t="s">
        <v>157</v>
      </c>
      <c r="E150" s="3">
        <v>35100000</v>
      </c>
      <c r="F150" s="19">
        <v>44013</v>
      </c>
      <c r="G150" s="3">
        <v>35100000</v>
      </c>
      <c r="H150" s="2">
        <v>5.0000000000000001E-3</v>
      </c>
      <c r="I150" s="19">
        <v>44166</v>
      </c>
      <c r="J150" s="19">
        <v>44196</v>
      </c>
      <c r="K150" s="3">
        <f t="shared" si="8"/>
        <v>31</v>
      </c>
      <c r="L150" s="3">
        <f t="shared" si="9"/>
        <v>14865</v>
      </c>
      <c r="M150" s="3">
        <v>35100000</v>
      </c>
    </row>
    <row r="151" spans="1:13" s="18" customFormat="1" hidden="1" outlineLevel="2">
      <c r="A151" s="19" t="s">
        <v>20</v>
      </c>
      <c r="B151" s="20" t="s">
        <v>98</v>
      </c>
      <c r="C151" s="21" t="s">
        <v>158</v>
      </c>
      <c r="D151" s="20" t="s">
        <v>157</v>
      </c>
      <c r="E151" s="3">
        <v>14900000</v>
      </c>
      <c r="F151" s="19">
        <v>44021</v>
      </c>
      <c r="G151" s="3">
        <v>14900000</v>
      </c>
      <c r="H151" s="2">
        <v>5.0000000000000001E-3</v>
      </c>
      <c r="I151" s="19">
        <v>44166</v>
      </c>
      <c r="J151" s="19">
        <v>44196</v>
      </c>
      <c r="K151" s="3">
        <f t="shared" si="8"/>
        <v>31</v>
      </c>
      <c r="L151" s="3">
        <f t="shared" si="9"/>
        <v>6310</v>
      </c>
      <c r="M151" s="3">
        <v>14900000</v>
      </c>
    </row>
    <row r="152" spans="1:13" s="18" customFormat="1" hidden="1" outlineLevel="2">
      <c r="A152" s="19" t="s">
        <v>20</v>
      </c>
      <c r="B152" s="20" t="s">
        <v>122</v>
      </c>
      <c r="C152" s="21" t="s">
        <v>160</v>
      </c>
      <c r="D152" s="20" t="s">
        <v>159</v>
      </c>
      <c r="E152" s="3">
        <v>30000000</v>
      </c>
      <c r="F152" s="19">
        <v>44050</v>
      </c>
      <c r="G152" s="3">
        <v>30000000</v>
      </c>
      <c r="H152" s="2">
        <v>5.0000000000000001E-3</v>
      </c>
      <c r="I152" s="19">
        <v>44166</v>
      </c>
      <c r="J152" s="19">
        <v>44196</v>
      </c>
      <c r="K152" s="3">
        <f t="shared" si="8"/>
        <v>31</v>
      </c>
      <c r="L152" s="3">
        <f t="shared" si="9"/>
        <v>12705</v>
      </c>
      <c r="M152" s="3">
        <v>30000000</v>
      </c>
    </row>
    <row r="153" spans="1:13" s="18" customFormat="1" hidden="1" outlineLevel="2">
      <c r="A153" s="19" t="s">
        <v>20</v>
      </c>
      <c r="B153" s="20" t="s">
        <v>121</v>
      </c>
      <c r="C153" s="21" t="s">
        <v>135</v>
      </c>
      <c r="D153" s="20" t="s">
        <v>134</v>
      </c>
      <c r="E153" s="3">
        <v>72450000</v>
      </c>
      <c r="F153" s="19">
        <v>44064</v>
      </c>
      <c r="G153" s="3">
        <v>72450000</v>
      </c>
      <c r="H153" s="2">
        <v>5.0000000000000001E-3</v>
      </c>
      <c r="I153" s="19">
        <v>44166</v>
      </c>
      <c r="J153" s="19">
        <v>44196</v>
      </c>
      <c r="K153" s="3">
        <f t="shared" si="8"/>
        <v>31</v>
      </c>
      <c r="L153" s="3">
        <f t="shared" si="9"/>
        <v>30682</v>
      </c>
      <c r="M153" s="3">
        <v>72450000</v>
      </c>
    </row>
    <row r="154" spans="1:13" s="18" customFormat="1" hidden="1" outlineLevel="2">
      <c r="A154" s="19" t="s">
        <v>20</v>
      </c>
      <c r="B154" s="20" t="s">
        <v>120</v>
      </c>
      <c r="C154" s="21" t="s">
        <v>141</v>
      </c>
      <c r="D154" s="20" t="s">
        <v>140</v>
      </c>
      <c r="E154" s="3">
        <v>77500000</v>
      </c>
      <c r="F154" s="19">
        <v>44060</v>
      </c>
      <c r="G154" s="3">
        <v>77500000</v>
      </c>
      <c r="H154" s="2">
        <v>5.0000000000000001E-3</v>
      </c>
      <c r="I154" s="19">
        <v>44166</v>
      </c>
      <c r="J154" s="19">
        <v>44196</v>
      </c>
      <c r="K154" s="3">
        <f t="shared" si="8"/>
        <v>31</v>
      </c>
      <c r="L154" s="3">
        <f t="shared" si="9"/>
        <v>32821</v>
      </c>
      <c r="M154" s="3">
        <v>77500000</v>
      </c>
    </row>
    <row r="155" spans="1:13" s="18" customFormat="1" hidden="1" outlineLevel="2">
      <c r="A155" s="19" t="s">
        <v>20</v>
      </c>
      <c r="B155" s="20" t="s">
        <v>147</v>
      </c>
      <c r="C155" s="21" t="s">
        <v>135</v>
      </c>
      <c r="D155" s="20" t="s">
        <v>134</v>
      </c>
      <c r="E155" s="3">
        <v>160000000</v>
      </c>
      <c r="F155" s="19">
        <v>44098</v>
      </c>
      <c r="G155" s="3">
        <v>160000000</v>
      </c>
      <c r="H155" s="2">
        <v>5.0000000000000001E-3</v>
      </c>
      <c r="I155" s="19">
        <v>44166</v>
      </c>
      <c r="J155" s="19">
        <v>44196</v>
      </c>
      <c r="K155" s="3">
        <f t="shared" si="8"/>
        <v>31</v>
      </c>
      <c r="L155" s="3">
        <f t="shared" si="9"/>
        <v>67760</v>
      </c>
      <c r="M155" s="3">
        <v>160000000</v>
      </c>
    </row>
    <row r="156" spans="1:13" s="18" customFormat="1" hidden="1" outlineLevel="2">
      <c r="A156" s="19" t="s">
        <v>20</v>
      </c>
      <c r="B156" s="20" t="s">
        <v>146</v>
      </c>
      <c r="C156" s="21" t="s">
        <v>203</v>
      </c>
      <c r="D156" s="20" t="s">
        <v>202</v>
      </c>
      <c r="E156" s="3">
        <v>73100000</v>
      </c>
      <c r="F156" s="19">
        <v>44095</v>
      </c>
      <c r="G156" s="3">
        <v>73100000</v>
      </c>
      <c r="H156" s="2">
        <v>5.0000000000000001E-3</v>
      </c>
      <c r="I156" s="19">
        <v>44166</v>
      </c>
      <c r="J156" s="19">
        <v>44196</v>
      </c>
      <c r="K156" s="3">
        <f t="shared" si="8"/>
        <v>31</v>
      </c>
      <c r="L156" s="3">
        <f t="shared" si="9"/>
        <v>30958</v>
      </c>
      <c r="M156" s="3">
        <v>73100000</v>
      </c>
    </row>
    <row r="157" spans="1:13" s="18" customFormat="1" hidden="1" outlineLevel="2">
      <c r="A157" s="19" t="s">
        <v>20</v>
      </c>
      <c r="B157" s="20" t="s">
        <v>145</v>
      </c>
      <c r="C157" s="21" t="s">
        <v>115</v>
      </c>
      <c r="D157" s="20" t="s">
        <v>114</v>
      </c>
      <c r="E157" s="3">
        <v>3000000</v>
      </c>
      <c r="F157" s="19">
        <v>44132</v>
      </c>
      <c r="G157" s="3">
        <v>3000000</v>
      </c>
      <c r="H157" s="2">
        <v>5.0000000000000001E-3</v>
      </c>
      <c r="I157" s="19">
        <v>44166</v>
      </c>
      <c r="J157" s="19">
        <v>44196</v>
      </c>
      <c r="K157" s="3">
        <f t="shared" si="8"/>
        <v>31</v>
      </c>
      <c r="L157" s="3">
        <f t="shared" si="9"/>
        <v>1270</v>
      </c>
      <c r="M157" s="3">
        <v>3000000</v>
      </c>
    </row>
    <row r="158" spans="1:13" s="18" customFormat="1" hidden="1" outlineLevel="2">
      <c r="A158" s="19" t="s">
        <v>20</v>
      </c>
      <c r="B158" s="20" t="s">
        <v>144</v>
      </c>
      <c r="C158" s="21" t="s">
        <v>141</v>
      </c>
      <c r="D158" s="20" t="s">
        <v>140</v>
      </c>
      <c r="E158" s="3">
        <v>141000000</v>
      </c>
      <c r="F158" s="19">
        <v>44119</v>
      </c>
      <c r="G158" s="3">
        <v>141000000</v>
      </c>
      <c r="H158" s="2">
        <v>5.0000000000000001E-3</v>
      </c>
      <c r="I158" s="19">
        <v>44166</v>
      </c>
      <c r="J158" s="19">
        <v>44196</v>
      </c>
      <c r="K158" s="3">
        <f t="shared" si="8"/>
        <v>31</v>
      </c>
      <c r="L158" s="3">
        <f t="shared" si="9"/>
        <v>59713</v>
      </c>
      <c r="M158" s="3">
        <v>141000000</v>
      </c>
    </row>
    <row r="159" spans="1:13" s="18" customFormat="1" hidden="1" outlineLevel="2">
      <c r="A159" s="19" t="s">
        <v>20</v>
      </c>
      <c r="B159" s="20" t="s">
        <v>29</v>
      </c>
      <c r="C159" s="21" t="s">
        <v>69</v>
      </c>
      <c r="D159" s="20" t="s">
        <v>68</v>
      </c>
      <c r="E159" s="3">
        <v>60000000</v>
      </c>
      <c r="F159" s="19">
        <v>43922</v>
      </c>
      <c r="G159" s="3">
        <v>60000000</v>
      </c>
      <c r="H159" s="2">
        <v>3.0000000000000001E-3</v>
      </c>
      <c r="I159" s="19">
        <v>44166</v>
      </c>
      <c r="J159" s="19">
        <v>44196</v>
      </c>
      <c r="K159" s="3">
        <f t="shared" si="8"/>
        <v>31</v>
      </c>
      <c r="L159" s="3">
        <f t="shared" si="9"/>
        <v>15246</v>
      </c>
      <c r="M159" s="3">
        <v>60000000</v>
      </c>
    </row>
    <row r="160" spans="1:13" s="18" customFormat="1" hidden="1" outlineLevel="2">
      <c r="A160" s="19" t="s">
        <v>20</v>
      </c>
      <c r="B160" s="20" t="s">
        <v>143</v>
      </c>
      <c r="C160" s="21" t="s">
        <v>115</v>
      </c>
      <c r="D160" s="20" t="s">
        <v>114</v>
      </c>
      <c r="E160" s="3">
        <v>2500000</v>
      </c>
      <c r="F160" s="19">
        <v>44146</v>
      </c>
      <c r="G160" s="3">
        <v>2500000</v>
      </c>
      <c r="H160" s="2">
        <v>5.0000000000000001E-3</v>
      </c>
      <c r="I160" s="19">
        <v>44166</v>
      </c>
      <c r="J160" s="19">
        <v>44196</v>
      </c>
      <c r="K160" s="3">
        <f t="shared" si="8"/>
        <v>31</v>
      </c>
      <c r="L160" s="3">
        <f t="shared" si="9"/>
        <v>1059</v>
      </c>
      <c r="M160" s="3">
        <v>2500000</v>
      </c>
    </row>
    <row r="161" spans="1:13" s="18" customFormat="1" hidden="1" outlineLevel="2">
      <c r="A161" s="19" t="s">
        <v>20</v>
      </c>
      <c r="B161" s="20" t="s">
        <v>142</v>
      </c>
      <c r="C161" s="21" t="s">
        <v>160</v>
      </c>
      <c r="D161" s="20" t="s">
        <v>159</v>
      </c>
      <c r="E161" s="3">
        <v>11610900</v>
      </c>
      <c r="F161" s="19">
        <v>44137</v>
      </c>
      <c r="G161" s="3">
        <v>11610900</v>
      </c>
      <c r="H161" s="2">
        <v>5.0000000000000001E-3</v>
      </c>
      <c r="I161" s="19">
        <v>44166</v>
      </c>
      <c r="J161" s="19">
        <v>44196</v>
      </c>
      <c r="K161" s="3">
        <f t="shared" si="8"/>
        <v>31</v>
      </c>
      <c r="L161" s="3">
        <f t="shared" si="9"/>
        <v>4917</v>
      </c>
      <c r="M161" s="3">
        <v>11610900</v>
      </c>
    </row>
    <row r="162" spans="1:13" s="18" customFormat="1" hidden="1" outlineLevel="2">
      <c r="A162" s="19" t="s">
        <v>20</v>
      </c>
      <c r="B162" s="20" t="s">
        <v>152</v>
      </c>
      <c r="C162" s="21" t="s">
        <v>253</v>
      </c>
      <c r="D162" s="20" t="s">
        <v>252</v>
      </c>
      <c r="E162" s="3">
        <v>12000000</v>
      </c>
      <c r="F162" s="19">
        <v>44145</v>
      </c>
      <c r="G162" s="3">
        <v>12000000</v>
      </c>
      <c r="H162" s="2">
        <v>5.0000000000000001E-3</v>
      </c>
      <c r="I162" s="19">
        <v>44166</v>
      </c>
      <c r="J162" s="19">
        <v>44196</v>
      </c>
      <c r="K162" s="3">
        <f t="shared" si="8"/>
        <v>31</v>
      </c>
      <c r="L162" s="3">
        <f t="shared" si="9"/>
        <v>5082</v>
      </c>
      <c r="M162" s="3">
        <v>12000000</v>
      </c>
    </row>
    <row r="163" spans="1:13" s="18" customFormat="1" hidden="1" outlineLevel="2">
      <c r="A163" s="19" t="s">
        <v>20</v>
      </c>
      <c r="B163" s="20" t="s">
        <v>168</v>
      </c>
      <c r="C163" s="21" t="s">
        <v>250</v>
      </c>
      <c r="D163" s="20" t="s">
        <v>251</v>
      </c>
      <c r="E163" s="3">
        <v>23000000</v>
      </c>
      <c r="F163" s="19">
        <v>44137</v>
      </c>
      <c r="G163" s="3">
        <v>22616667</v>
      </c>
      <c r="H163" s="2">
        <v>5.0000000000000001E-3</v>
      </c>
      <c r="I163" s="19">
        <v>44166</v>
      </c>
      <c r="J163" s="19">
        <v>44179</v>
      </c>
      <c r="K163" s="3">
        <f t="shared" si="8"/>
        <v>14</v>
      </c>
      <c r="L163" s="3">
        <f t="shared" si="9"/>
        <v>4326</v>
      </c>
      <c r="M163" s="3">
        <v>22233334</v>
      </c>
    </row>
    <row r="164" spans="1:13" s="18" customFormat="1" hidden="1" outlineLevel="2">
      <c r="A164" s="19" t="s">
        <v>20</v>
      </c>
      <c r="B164" s="20" t="s">
        <v>168</v>
      </c>
      <c r="C164" s="21" t="s">
        <v>250</v>
      </c>
      <c r="D164" s="20"/>
      <c r="E164" s="3"/>
      <c r="F164" s="19"/>
      <c r="G164" s="3">
        <v>22233334</v>
      </c>
      <c r="H164" s="2">
        <v>5.0000000000000001E-3</v>
      </c>
      <c r="I164" s="19">
        <v>44180</v>
      </c>
      <c r="J164" s="19">
        <v>44196</v>
      </c>
      <c r="K164" s="3">
        <f t="shared" si="8"/>
        <v>17</v>
      </c>
      <c r="L164" s="3">
        <f t="shared" si="9"/>
        <v>5163</v>
      </c>
      <c r="M164" s="3"/>
    </row>
    <row r="165" spans="1:13" s="18" customFormat="1" hidden="1" outlineLevel="2">
      <c r="A165" s="19" t="s">
        <v>20</v>
      </c>
      <c r="B165" s="20" t="s">
        <v>167</v>
      </c>
      <c r="C165" s="21" t="s">
        <v>250</v>
      </c>
      <c r="D165" s="20" t="s">
        <v>251</v>
      </c>
      <c r="E165" s="3">
        <v>17000000</v>
      </c>
      <c r="F165" s="19">
        <v>44145</v>
      </c>
      <c r="G165" s="3">
        <v>16716667</v>
      </c>
      <c r="H165" s="2">
        <v>5.0000000000000001E-3</v>
      </c>
      <c r="I165" s="19">
        <v>44166</v>
      </c>
      <c r="J165" s="19">
        <v>44179</v>
      </c>
      <c r="K165" s="3">
        <f t="shared" si="8"/>
        <v>14</v>
      </c>
      <c r="L165" s="3">
        <f t="shared" si="9"/>
        <v>3197</v>
      </c>
      <c r="M165" s="3">
        <v>16433334</v>
      </c>
    </row>
    <row r="166" spans="1:13" s="18" customFormat="1" hidden="1" outlineLevel="2">
      <c r="A166" s="19" t="s">
        <v>20</v>
      </c>
      <c r="B166" s="20" t="s">
        <v>167</v>
      </c>
      <c r="C166" s="21" t="s">
        <v>250</v>
      </c>
      <c r="D166" s="20"/>
      <c r="E166" s="3"/>
      <c r="F166" s="19"/>
      <c r="G166" s="3">
        <v>16433334</v>
      </c>
      <c r="H166" s="2">
        <v>5.0000000000000001E-3</v>
      </c>
      <c r="I166" s="19">
        <v>44180</v>
      </c>
      <c r="J166" s="19">
        <v>44196</v>
      </c>
      <c r="K166" s="3">
        <f t="shared" si="8"/>
        <v>17</v>
      </c>
      <c r="L166" s="3">
        <f t="shared" si="9"/>
        <v>3816</v>
      </c>
      <c r="M166" s="3"/>
    </row>
    <row r="167" spans="1:13" s="18" customFormat="1" outlineLevel="2">
      <c r="A167" s="19" t="s">
        <v>20</v>
      </c>
      <c r="B167" s="20" t="s">
        <v>166</v>
      </c>
      <c r="C167" s="21" t="s">
        <v>17</v>
      </c>
      <c r="D167" s="20" t="s">
        <v>18</v>
      </c>
      <c r="E167" s="3">
        <v>4591000</v>
      </c>
      <c r="F167" s="19">
        <v>44160</v>
      </c>
      <c r="G167" s="3">
        <v>4591000</v>
      </c>
      <c r="H167" s="2">
        <v>5.0000000000000001E-3</v>
      </c>
      <c r="I167" s="19">
        <v>44166</v>
      </c>
      <c r="J167" s="19">
        <v>44179</v>
      </c>
      <c r="K167" s="3">
        <f t="shared" si="8"/>
        <v>14</v>
      </c>
      <c r="L167" s="3">
        <f t="shared" si="9"/>
        <v>878</v>
      </c>
      <c r="M167" s="3">
        <v>4514483</v>
      </c>
    </row>
    <row r="168" spans="1:13" s="18" customFormat="1" outlineLevel="2">
      <c r="A168" s="19" t="s">
        <v>20</v>
      </c>
      <c r="B168" s="20" t="s">
        <v>166</v>
      </c>
      <c r="C168" s="21" t="s">
        <v>17</v>
      </c>
      <c r="D168" s="20"/>
      <c r="E168" s="3"/>
      <c r="F168" s="19"/>
      <c r="G168" s="3">
        <v>4514483</v>
      </c>
      <c r="H168" s="2">
        <v>5.0000000000000001E-3</v>
      </c>
      <c r="I168" s="19">
        <v>44180</v>
      </c>
      <c r="J168" s="19">
        <v>44196</v>
      </c>
      <c r="K168" s="3">
        <f t="shared" si="8"/>
        <v>17</v>
      </c>
      <c r="L168" s="3">
        <f t="shared" si="9"/>
        <v>1048</v>
      </c>
      <c r="M168" s="3"/>
    </row>
    <row r="169" spans="1:13" s="18" customFormat="1" hidden="1" outlineLevel="2">
      <c r="A169" s="19" t="s">
        <v>20</v>
      </c>
      <c r="B169" s="20" t="s">
        <v>165</v>
      </c>
      <c r="C169" s="21" t="s">
        <v>135</v>
      </c>
      <c r="D169" s="20" t="s">
        <v>134</v>
      </c>
      <c r="E169" s="3">
        <v>238000000</v>
      </c>
      <c r="F169" s="19">
        <v>44189</v>
      </c>
      <c r="G169" s="3">
        <v>238000000</v>
      </c>
      <c r="H169" s="2">
        <v>5.0000000000000001E-3</v>
      </c>
      <c r="I169" s="19">
        <v>44189</v>
      </c>
      <c r="J169" s="19">
        <v>44196</v>
      </c>
      <c r="K169" s="3">
        <f t="shared" si="8"/>
        <v>8</v>
      </c>
      <c r="L169" s="3">
        <f t="shared" si="9"/>
        <v>26011</v>
      </c>
      <c r="M169" s="3">
        <v>238000000</v>
      </c>
    </row>
    <row r="170" spans="1:13" s="18" customFormat="1" hidden="1" outlineLevel="2">
      <c r="A170" s="19" t="s">
        <v>20</v>
      </c>
      <c r="B170" s="20" t="s">
        <v>180</v>
      </c>
      <c r="C170" s="21" t="s">
        <v>141</v>
      </c>
      <c r="D170" s="20" t="s">
        <v>140</v>
      </c>
      <c r="E170" s="3">
        <v>17000000</v>
      </c>
      <c r="F170" s="19">
        <v>44180</v>
      </c>
      <c r="G170" s="3">
        <v>17000000</v>
      </c>
      <c r="H170" s="2">
        <v>5.0000000000000001E-3</v>
      </c>
      <c r="I170" s="19">
        <v>44180</v>
      </c>
      <c r="J170" s="19">
        <v>44196</v>
      </c>
      <c r="K170" s="3">
        <f t="shared" si="8"/>
        <v>17</v>
      </c>
      <c r="L170" s="3">
        <f t="shared" si="9"/>
        <v>3948</v>
      </c>
      <c r="M170" s="3">
        <v>17000000</v>
      </c>
    </row>
    <row r="171" spans="1:13" s="18" customFormat="1" hidden="1" outlineLevel="2">
      <c r="A171" s="19" t="s">
        <v>20</v>
      </c>
      <c r="B171" s="20" t="s">
        <v>179</v>
      </c>
      <c r="C171" s="21" t="s">
        <v>284</v>
      </c>
      <c r="D171" s="20" t="s">
        <v>283</v>
      </c>
      <c r="E171" s="3">
        <v>8000000</v>
      </c>
      <c r="F171" s="19">
        <v>44169</v>
      </c>
      <c r="G171" s="3">
        <v>8000000</v>
      </c>
      <c r="H171" s="2">
        <v>5.0000000000000001E-3</v>
      </c>
      <c r="I171" s="19">
        <v>44169</v>
      </c>
      <c r="J171" s="19">
        <v>44196</v>
      </c>
      <c r="K171" s="3">
        <f t="shared" si="8"/>
        <v>28</v>
      </c>
      <c r="L171" s="3">
        <f t="shared" si="9"/>
        <v>3060</v>
      </c>
      <c r="M171" s="3">
        <v>8000000</v>
      </c>
    </row>
    <row r="172" spans="1:13" s="18" customFormat="1" hidden="1" outlineLevel="2">
      <c r="A172" s="19" t="s">
        <v>20</v>
      </c>
      <c r="B172" s="20" t="s">
        <v>178</v>
      </c>
      <c r="C172" s="21" t="s">
        <v>284</v>
      </c>
      <c r="D172" s="20" t="s">
        <v>283</v>
      </c>
      <c r="E172" s="3">
        <v>15000000</v>
      </c>
      <c r="F172" s="19">
        <v>44169</v>
      </c>
      <c r="G172" s="3">
        <v>15000000</v>
      </c>
      <c r="H172" s="2">
        <v>5.0000000000000001E-3</v>
      </c>
      <c r="I172" s="19">
        <v>44169</v>
      </c>
      <c r="J172" s="19">
        <v>44196</v>
      </c>
      <c r="K172" s="3">
        <f t="shared" si="8"/>
        <v>28</v>
      </c>
      <c r="L172" s="3">
        <f t="shared" si="9"/>
        <v>5738</v>
      </c>
      <c r="M172" s="3">
        <v>15000000</v>
      </c>
    </row>
    <row r="173" spans="1:13" s="18" customFormat="1" hidden="1" outlineLevel="2">
      <c r="A173" s="19" t="s">
        <v>20</v>
      </c>
      <c r="B173" s="20" t="s">
        <v>30</v>
      </c>
      <c r="C173" s="21" t="s">
        <v>69</v>
      </c>
      <c r="D173" s="20" t="s">
        <v>68</v>
      </c>
      <c r="E173" s="3">
        <v>144000000</v>
      </c>
      <c r="F173" s="19">
        <v>43922</v>
      </c>
      <c r="G173" s="3">
        <v>144000000</v>
      </c>
      <c r="H173" s="2">
        <v>5.0000000000000001E-3</v>
      </c>
      <c r="I173" s="19">
        <v>44166</v>
      </c>
      <c r="J173" s="19">
        <v>44196</v>
      </c>
      <c r="K173" s="3">
        <f t="shared" si="8"/>
        <v>31</v>
      </c>
      <c r="L173" s="3">
        <f t="shared" si="9"/>
        <v>60984</v>
      </c>
      <c r="M173" s="3">
        <v>144000000</v>
      </c>
    </row>
    <row r="174" spans="1:13" s="18" customFormat="1" hidden="1" outlineLevel="2">
      <c r="A174" s="19" t="s">
        <v>20</v>
      </c>
      <c r="B174" s="20" t="s">
        <v>31</v>
      </c>
      <c r="C174" s="21" t="s">
        <v>115</v>
      </c>
      <c r="D174" s="20" t="s">
        <v>114</v>
      </c>
      <c r="E174" s="3">
        <v>34480000</v>
      </c>
      <c r="F174" s="19">
        <v>43980</v>
      </c>
      <c r="G174" s="3">
        <v>34480000</v>
      </c>
      <c r="H174" s="2">
        <v>5.0000000000000001E-3</v>
      </c>
      <c r="I174" s="19">
        <v>44166</v>
      </c>
      <c r="J174" s="19">
        <v>44196</v>
      </c>
      <c r="K174" s="3">
        <f t="shared" si="8"/>
        <v>31</v>
      </c>
      <c r="L174" s="3">
        <f t="shared" si="9"/>
        <v>14602</v>
      </c>
      <c r="M174" s="3">
        <v>34480000</v>
      </c>
    </row>
    <row r="175" spans="1:13" s="18" customFormat="1" hidden="1" outlineLevel="2">
      <c r="A175" s="19" t="s">
        <v>20</v>
      </c>
      <c r="B175" s="20" t="s">
        <v>32</v>
      </c>
      <c r="C175" s="21" t="s">
        <v>113</v>
      </c>
      <c r="D175" s="20" t="s">
        <v>112</v>
      </c>
      <c r="E175" s="3">
        <v>56000000</v>
      </c>
      <c r="F175" s="19">
        <v>43966</v>
      </c>
      <c r="G175" s="3">
        <v>56000000</v>
      </c>
      <c r="H175" s="2">
        <v>5.0000000000000001E-3</v>
      </c>
      <c r="I175" s="19">
        <v>44166</v>
      </c>
      <c r="J175" s="19">
        <v>44196</v>
      </c>
      <c r="K175" s="3">
        <f t="shared" si="8"/>
        <v>31</v>
      </c>
      <c r="L175" s="3">
        <f t="shared" si="9"/>
        <v>23716</v>
      </c>
      <c r="M175" s="3">
        <v>56000000</v>
      </c>
    </row>
    <row r="176" spans="1:13" s="18" customFormat="1" hidden="1" outlineLevel="2">
      <c r="A176" s="19" t="s">
        <v>20</v>
      </c>
      <c r="B176" s="20" t="s">
        <v>48</v>
      </c>
      <c r="C176" s="21" t="s">
        <v>69</v>
      </c>
      <c r="D176" s="20" t="s">
        <v>68</v>
      </c>
      <c r="E176" s="3">
        <v>150000000</v>
      </c>
      <c r="F176" s="19">
        <v>43958</v>
      </c>
      <c r="G176" s="3">
        <v>150000000</v>
      </c>
      <c r="H176" s="2">
        <v>5.0000000000000001E-3</v>
      </c>
      <c r="I176" s="19">
        <v>44166</v>
      </c>
      <c r="J176" s="19">
        <v>44196</v>
      </c>
      <c r="K176" s="3">
        <f t="shared" si="8"/>
        <v>31</v>
      </c>
      <c r="L176" s="3">
        <f t="shared" si="9"/>
        <v>63525</v>
      </c>
      <c r="M176" s="3">
        <v>150000000</v>
      </c>
    </row>
    <row r="177" spans="1:13" s="18" customFormat="1" hidden="1" outlineLevel="2">
      <c r="A177" s="19" t="s">
        <v>20</v>
      </c>
      <c r="B177" s="20" t="s">
        <v>59</v>
      </c>
      <c r="C177" s="21" t="s">
        <v>115</v>
      </c>
      <c r="D177" s="20" t="s">
        <v>114</v>
      </c>
      <c r="E177" s="3">
        <v>5000000</v>
      </c>
      <c r="F177" s="19">
        <v>43998</v>
      </c>
      <c r="G177" s="3">
        <v>5000000</v>
      </c>
      <c r="H177" s="2">
        <v>5.0000000000000001E-3</v>
      </c>
      <c r="I177" s="19">
        <v>44166</v>
      </c>
      <c r="J177" s="19">
        <v>44196</v>
      </c>
      <c r="K177" s="3">
        <f t="shared" si="8"/>
        <v>31</v>
      </c>
      <c r="L177" s="3">
        <f t="shared" si="9"/>
        <v>2117</v>
      </c>
      <c r="M177" s="3">
        <v>5000000</v>
      </c>
    </row>
    <row r="178" spans="1:13" s="18" customFormat="1" hidden="1" outlineLevel="2">
      <c r="A178" s="19" t="s">
        <v>20</v>
      </c>
      <c r="B178" s="20" t="s">
        <v>58</v>
      </c>
      <c r="C178" s="21" t="s">
        <v>115</v>
      </c>
      <c r="D178" s="20" t="s">
        <v>114</v>
      </c>
      <c r="E178" s="3">
        <v>17292000</v>
      </c>
      <c r="F178" s="19">
        <v>44002</v>
      </c>
      <c r="G178" s="3">
        <v>17292000</v>
      </c>
      <c r="H178" s="2">
        <v>5.0000000000000001E-3</v>
      </c>
      <c r="I178" s="19">
        <v>44166</v>
      </c>
      <c r="J178" s="19">
        <v>44196</v>
      </c>
      <c r="K178" s="3">
        <f t="shared" si="8"/>
        <v>31</v>
      </c>
      <c r="L178" s="3">
        <f t="shared" si="9"/>
        <v>7323</v>
      </c>
      <c r="M178" s="3">
        <v>17292000</v>
      </c>
    </row>
    <row r="179" spans="1:13" s="18" customFormat="1" ht="13.5" hidden="1" outlineLevel="1">
      <c r="A179" s="22" t="s">
        <v>25</v>
      </c>
      <c r="B179" s="23"/>
      <c r="C179" s="24"/>
      <c r="D179" s="23"/>
      <c r="E179" s="25">
        <f>SUBTOTAL(9,E136:E178)</f>
        <v>4591000</v>
      </c>
      <c r="F179" s="26"/>
      <c r="G179" s="25"/>
      <c r="H179" s="27"/>
      <c r="I179" s="26"/>
      <c r="J179" s="26"/>
      <c r="K179" s="25"/>
      <c r="L179" s="25">
        <f>SUBTOTAL(9,L136:L178)</f>
        <v>1926</v>
      </c>
      <c r="M179" s="25">
        <f>SUBTOTAL(9,M136:M178)</f>
        <v>4514483</v>
      </c>
    </row>
    <row r="180" spans="1:13" s="18" customFormat="1" hidden="1" outlineLevel="2">
      <c r="A180" s="19" t="s">
        <v>26</v>
      </c>
      <c r="B180" s="20" t="s">
        <v>16</v>
      </c>
      <c r="C180" s="21" t="s">
        <v>27</v>
      </c>
      <c r="D180" s="20" t="s">
        <v>28</v>
      </c>
      <c r="E180" s="3">
        <v>38000000</v>
      </c>
      <c r="F180" s="19">
        <v>43762</v>
      </c>
      <c r="G180" s="3">
        <v>38000000</v>
      </c>
      <c r="H180" s="2">
        <v>5.0000000000000001E-3</v>
      </c>
      <c r="I180" s="19">
        <v>44166</v>
      </c>
      <c r="J180" s="19">
        <v>44196</v>
      </c>
      <c r="K180" s="3">
        <f t="shared" ref="K180:K211" si="10">J180-I180+1</f>
        <v>31</v>
      </c>
      <c r="L180" s="3">
        <f t="shared" ref="L180:L211" si="11">ROUND(G180*H180*K180/366,0)</f>
        <v>16093</v>
      </c>
      <c r="M180" s="3">
        <v>38000000</v>
      </c>
    </row>
    <row r="181" spans="1:13" s="18" customFormat="1" hidden="1" outlineLevel="2">
      <c r="A181" s="19" t="s">
        <v>26</v>
      </c>
      <c r="B181" s="20" t="s">
        <v>61</v>
      </c>
      <c r="C181" s="21" t="s">
        <v>74</v>
      </c>
      <c r="D181" s="20" t="s">
        <v>73</v>
      </c>
      <c r="E181" s="3">
        <v>110000000</v>
      </c>
      <c r="F181" s="19">
        <v>43913</v>
      </c>
      <c r="G181" s="3">
        <v>110000000</v>
      </c>
      <c r="H181" s="2">
        <v>5.0000000000000001E-3</v>
      </c>
      <c r="I181" s="19">
        <v>44166</v>
      </c>
      <c r="J181" s="19">
        <v>44196</v>
      </c>
      <c r="K181" s="3">
        <f t="shared" si="10"/>
        <v>31</v>
      </c>
      <c r="L181" s="3">
        <f t="shared" si="11"/>
        <v>46585</v>
      </c>
      <c r="M181" s="3">
        <v>110000000</v>
      </c>
    </row>
    <row r="182" spans="1:13" s="18" customFormat="1" hidden="1" outlineLevel="2">
      <c r="A182" s="19" t="s">
        <v>26</v>
      </c>
      <c r="B182" s="20" t="s">
        <v>60</v>
      </c>
      <c r="C182" s="21" t="s">
        <v>33</v>
      </c>
      <c r="D182" s="20" t="s">
        <v>34</v>
      </c>
      <c r="E182" s="3">
        <v>95655336</v>
      </c>
      <c r="F182" s="19">
        <v>43951</v>
      </c>
      <c r="G182" s="3">
        <v>95655336</v>
      </c>
      <c r="H182" s="2">
        <v>5.0000000000000001E-3</v>
      </c>
      <c r="I182" s="19">
        <v>44166</v>
      </c>
      <c r="J182" s="19">
        <v>44196</v>
      </c>
      <c r="K182" s="3">
        <f t="shared" si="10"/>
        <v>31</v>
      </c>
      <c r="L182" s="3">
        <f t="shared" si="11"/>
        <v>40510</v>
      </c>
      <c r="M182" s="3">
        <v>95655336</v>
      </c>
    </row>
    <row r="183" spans="1:13" s="18" customFormat="1" hidden="1" outlineLevel="2">
      <c r="A183" s="19" t="s">
        <v>26</v>
      </c>
      <c r="B183" s="20" t="s">
        <v>66</v>
      </c>
      <c r="C183" s="21" t="s">
        <v>27</v>
      </c>
      <c r="D183" s="20" t="s">
        <v>28</v>
      </c>
      <c r="E183" s="3">
        <v>38000000</v>
      </c>
      <c r="F183" s="19">
        <v>43962</v>
      </c>
      <c r="G183" s="3">
        <v>38000000</v>
      </c>
      <c r="H183" s="2">
        <v>5.0000000000000001E-3</v>
      </c>
      <c r="I183" s="19">
        <v>44166</v>
      </c>
      <c r="J183" s="19">
        <v>44196</v>
      </c>
      <c r="K183" s="3">
        <f t="shared" si="10"/>
        <v>31</v>
      </c>
      <c r="L183" s="3">
        <f t="shared" si="11"/>
        <v>16093</v>
      </c>
      <c r="M183" s="3">
        <v>38000000</v>
      </c>
    </row>
    <row r="184" spans="1:13" s="18" customFormat="1" hidden="1" outlineLevel="2">
      <c r="A184" s="19" t="s">
        <v>26</v>
      </c>
      <c r="B184" s="20" t="s">
        <v>65</v>
      </c>
      <c r="C184" s="21" t="s">
        <v>27</v>
      </c>
      <c r="D184" s="20" t="s">
        <v>28</v>
      </c>
      <c r="E184" s="3">
        <v>10500000</v>
      </c>
      <c r="F184" s="19">
        <v>43962</v>
      </c>
      <c r="G184" s="3">
        <v>10500000</v>
      </c>
      <c r="H184" s="2">
        <v>5.0000000000000001E-3</v>
      </c>
      <c r="I184" s="19">
        <v>44166</v>
      </c>
      <c r="J184" s="19">
        <v>44196</v>
      </c>
      <c r="K184" s="3">
        <f t="shared" si="10"/>
        <v>31</v>
      </c>
      <c r="L184" s="3">
        <f t="shared" si="11"/>
        <v>4447</v>
      </c>
      <c r="M184" s="3">
        <v>10500000</v>
      </c>
    </row>
    <row r="185" spans="1:13" s="18" customFormat="1" hidden="1" outlineLevel="2">
      <c r="A185" s="19" t="s">
        <v>26</v>
      </c>
      <c r="B185" s="20" t="s">
        <v>64</v>
      </c>
      <c r="C185" s="21" t="s">
        <v>192</v>
      </c>
      <c r="D185" s="20" t="s">
        <v>110</v>
      </c>
      <c r="E185" s="3">
        <v>160000000</v>
      </c>
      <c r="F185" s="19">
        <v>43970</v>
      </c>
      <c r="G185" s="3">
        <v>160000000</v>
      </c>
      <c r="H185" s="2">
        <v>5.0000000000000001E-3</v>
      </c>
      <c r="I185" s="19">
        <v>44166</v>
      </c>
      <c r="J185" s="19">
        <v>44196</v>
      </c>
      <c r="K185" s="3">
        <f t="shared" si="10"/>
        <v>31</v>
      </c>
      <c r="L185" s="3">
        <f t="shared" si="11"/>
        <v>67760</v>
      </c>
      <c r="M185" s="3">
        <v>160000000</v>
      </c>
    </row>
    <row r="186" spans="1:13" s="18" customFormat="1" hidden="1" outlineLevel="2">
      <c r="A186" s="19" t="s">
        <v>26</v>
      </c>
      <c r="B186" s="20" t="s">
        <v>85</v>
      </c>
      <c r="C186" s="21" t="s">
        <v>109</v>
      </c>
      <c r="D186" s="20" t="s">
        <v>34</v>
      </c>
      <c r="E186" s="3">
        <v>13104000</v>
      </c>
      <c r="F186" s="19">
        <v>43979</v>
      </c>
      <c r="G186" s="3">
        <v>13104000</v>
      </c>
      <c r="H186" s="2">
        <v>5.0000000000000001E-3</v>
      </c>
      <c r="I186" s="19">
        <v>44166</v>
      </c>
      <c r="J186" s="19">
        <v>44196</v>
      </c>
      <c r="K186" s="3">
        <f t="shared" si="10"/>
        <v>31</v>
      </c>
      <c r="L186" s="3">
        <f t="shared" si="11"/>
        <v>5550</v>
      </c>
      <c r="M186" s="3">
        <v>13104000</v>
      </c>
    </row>
    <row r="187" spans="1:13" s="18" customFormat="1" hidden="1" outlineLevel="2">
      <c r="A187" s="19" t="s">
        <v>26</v>
      </c>
      <c r="B187" s="20" t="s">
        <v>84</v>
      </c>
      <c r="C187" s="21" t="s">
        <v>130</v>
      </c>
      <c r="D187" s="20" t="s">
        <v>129</v>
      </c>
      <c r="E187" s="3">
        <v>6550000</v>
      </c>
      <c r="F187" s="19">
        <v>43993</v>
      </c>
      <c r="G187" s="3">
        <v>6550000</v>
      </c>
      <c r="H187" s="2">
        <v>5.0000000000000001E-3</v>
      </c>
      <c r="I187" s="19">
        <v>44166</v>
      </c>
      <c r="J187" s="19">
        <v>44196</v>
      </c>
      <c r="K187" s="3">
        <f t="shared" si="10"/>
        <v>31</v>
      </c>
      <c r="L187" s="3">
        <f t="shared" si="11"/>
        <v>2774</v>
      </c>
      <c r="M187" s="3">
        <v>6550000</v>
      </c>
    </row>
    <row r="188" spans="1:13" s="18" customFormat="1" hidden="1" outlineLevel="2">
      <c r="A188" s="19" t="s">
        <v>26</v>
      </c>
      <c r="B188" s="20" t="s">
        <v>83</v>
      </c>
      <c r="C188" s="21" t="s">
        <v>130</v>
      </c>
      <c r="D188" s="20" t="s">
        <v>129</v>
      </c>
      <c r="E188" s="3">
        <v>19710000</v>
      </c>
      <c r="F188" s="19">
        <v>43993</v>
      </c>
      <c r="G188" s="3">
        <v>19710000</v>
      </c>
      <c r="H188" s="2">
        <v>5.0000000000000001E-3</v>
      </c>
      <c r="I188" s="19">
        <v>44166</v>
      </c>
      <c r="J188" s="19">
        <v>44196</v>
      </c>
      <c r="K188" s="3">
        <f t="shared" si="10"/>
        <v>31</v>
      </c>
      <c r="L188" s="3">
        <f t="shared" si="11"/>
        <v>8347</v>
      </c>
      <c r="M188" s="3">
        <v>19710000</v>
      </c>
    </row>
    <row r="189" spans="1:13" s="18" customFormat="1" hidden="1" outlineLevel="2">
      <c r="A189" s="19" t="s">
        <v>26</v>
      </c>
      <c r="B189" s="20" t="s">
        <v>102</v>
      </c>
      <c r="C189" s="21" t="s">
        <v>130</v>
      </c>
      <c r="D189" s="20" t="s">
        <v>129</v>
      </c>
      <c r="E189" s="3">
        <v>16860000</v>
      </c>
      <c r="F189" s="19">
        <v>43993</v>
      </c>
      <c r="G189" s="3">
        <v>16860000</v>
      </c>
      <c r="H189" s="2">
        <v>5.0000000000000001E-3</v>
      </c>
      <c r="I189" s="19">
        <v>44166</v>
      </c>
      <c r="J189" s="19">
        <v>44196</v>
      </c>
      <c r="K189" s="3">
        <f t="shared" si="10"/>
        <v>31</v>
      </c>
      <c r="L189" s="3">
        <f t="shared" si="11"/>
        <v>7140</v>
      </c>
      <c r="M189" s="3">
        <v>16860000</v>
      </c>
    </row>
    <row r="190" spans="1:13" s="18" customFormat="1" hidden="1" outlineLevel="2">
      <c r="A190" s="19" t="s">
        <v>26</v>
      </c>
      <c r="B190" s="20" t="s">
        <v>101</v>
      </c>
      <c r="C190" s="21" t="s">
        <v>128</v>
      </c>
      <c r="D190" s="20" t="s">
        <v>127</v>
      </c>
      <c r="E190" s="3">
        <v>240000000</v>
      </c>
      <c r="F190" s="19">
        <v>44000</v>
      </c>
      <c r="G190" s="3">
        <v>240000000</v>
      </c>
      <c r="H190" s="2">
        <v>5.0000000000000001E-3</v>
      </c>
      <c r="I190" s="19">
        <v>44166</v>
      </c>
      <c r="J190" s="19">
        <v>44196</v>
      </c>
      <c r="K190" s="3">
        <f t="shared" si="10"/>
        <v>31</v>
      </c>
      <c r="L190" s="3">
        <f t="shared" si="11"/>
        <v>101639</v>
      </c>
      <c r="M190" s="3">
        <v>240000000</v>
      </c>
    </row>
    <row r="191" spans="1:13" s="18" customFormat="1" hidden="1" outlineLevel="2">
      <c r="A191" s="19" t="s">
        <v>26</v>
      </c>
      <c r="B191" s="20" t="s">
        <v>23</v>
      </c>
      <c r="C191" s="21" t="s">
        <v>27</v>
      </c>
      <c r="D191" s="20" t="s">
        <v>28</v>
      </c>
      <c r="E191" s="3">
        <v>57000000</v>
      </c>
      <c r="F191" s="19">
        <v>43822</v>
      </c>
      <c r="G191" s="3">
        <v>57000000</v>
      </c>
      <c r="H191" s="2">
        <v>5.0000000000000001E-3</v>
      </c>
      <c r="I191" s="19">
        <v>44166</v>
      </c>
      <c r="J191" s="19">
        <v>44196</v>
      </c>
      <c r="K191" s="3">
        <f t="shared" si="10"/>
        <v>31</v>
      </c>
      <c r="L191" s="3">
        <f t="shared" si="11"/>
        <v>24139</v>
      </c>
      <c r="M191" s="3">
        <v>57000000</v>
      </c>
    </row>
    <row r="192" spans="1:13" s="18" customFormat="1" hidden="1" outlineLevel="2">
      <c r="A192" s="19" t="s">
        <v>26</v>
      </c>
      <c r="B192" s="20" t="s">
        <v>100</v>
      </c>
      <c r="C192" s="21" t="s">
        <v>192</v>
      </c>
      <c r="D192" s="20" t="s">
        <v>110</v>
      </c>
      <c r="E192" s="3">
        <v>55000000</v>
      </c>
      <c r="F192" s="19">
        <v>44001</v>
      </c>
      <c r="G192" s="3">
        <v>55000000</v>
      </c>
      <c r="H192" s="2">
        <v>5.0000000000000001E-3</v>
      </c>
      <c r="I192" s="19">
        <v>44166</v>
      </c>
      <c r="J192" s="19">
        <v>44196</v>
      </c>
      <c r="K192" s="3">
        <f t="shared" si="10"/>
        <v>31</v>
      </c>
      <c r="L192" s="3">
        <f t="shared" si="11"/>
        <v>23292</v>
      </c>
      <c r="M192" s="3">
        <v>55000000</v>
      </c>
    </row>
    <row r="193" spans="1:13" s="18" customFormat="1" hidden="1" outlineLevel="2">
      <c r="A193" s="19" t="s">
        <v>26</v>
      </c>
      <c r="B193" s="20" t="s">
        <v>99</v>
      </c>
      <c r="C193" s="21" t="s">
        <v>126</v>
      </c>
      <c r="D193" s="20" t="s">
        <v>125</v>
      </c>
      <c r="E193" s="3">
        <v>8907064</v>
      </c>
      <c r="F193" s="19">
        <v>44006</v>
      </c>
      <c r="G193" s="3">
        <v>8907064</v>
      </c>
      <c r="H193" s="2">
        <v>5.0000000000000001E-3</v>
      </c>
      <c r="I193" s="19">
        <v>44166</v>
      </c>
      <c r="J193" s="19">
        <v>44196</v>
      </c>
      <c r="K193" s="3">
        <f t="shared" si="10"/>
        <v>31</v>
      </c>
      <c r="L193" s="3">
        <f t="shared" si="11"/>
        <v>3772</v>
      </c>
      <c r="M193" s="3">
        <v>8907064</v>
      </c>
    </row>
    <row r="194" spans="1:13" s="18" customFormat="1" hidden="1" outlineLevel="2">
      <c r="A194" s="19" t="s">
        <v>26</v>
      </c>
      <c r="B194" s="20" t="s">
        <v>98</v>
      </c>
      <c r="C194" s="21" t="s">
        <v>33</v>
      </c>
      <c r="D194" s="20" t="s">
        <v>34</v>
      </c>
      <c r="E194" s="3">
        <v>7560000</v>
      </c>
      <c r="F194" s="19">
        <v>44018</v>
      </c>
      <c r="G194" s="3">
        <v>7560000</v>
      </c>
      <c r="H194" s="2">
        <v>5.0000000000000001E-3</v>
      </c>
      <c r="I194" s="19">
        <v>44166</v>
      </c>
      <c r="J194" s="19">
        <v>44196</v>
      </c>
      <c r="K194" s="3">
        <f t="shared" si="10"/>
        <v>31</v>
      </c>
      <c r="L194" s="3">
        <f t="shared" si="11"/>
        <v>3202</v>
      </c>
      <c r="M194" s="3">
        <v>7560000</v>
      </c>
    </row>
    <row r="195" spans="1:13" s="18" customFormat="1" hidden="1" outlineLevel="2">
      <c r="A195" s="19" t="s">
        <v>26</v>
      </c>
      <c r="B195" s="20" t="s">
        <v>122</v>
      </c>
      <c r="C195" s="21" t="s">
        <v>27</v>
      </c>
      <c r="D195" s="20" t="s">
        <v>28</v>
      </c>
      <c r="E195" s="3">
        <v>38000000</v>
      </c>
      <c r="F195" s="19">
        <v>44022</v>
      </c>
      <c r="G195" s="3">
        <v>38000000</v>
      </c>
      <c r="H195" s="2">
        <v>5.0000000000000001E-3</v>
      </c>
      <c r="I195" s="19">
        <v>44166</v>
      </c>
      <c r="J195" s="19">
        <v>44196</v>
      </c>
      <c r="K195" s="3">
        <f t="shared" si="10"/>
        <v>31</v>
      </c>
      <c r="L195" s="3">
        <f t="shared" si="11"/>
        <v>16093</v>
      </c>
      <c r="M195" s="3">
        <v>38000000</v>
      </c>
    </row>
    <row r="196" spans="1:13" s="18" customFormat="1" hidden="1" outlineLevel="2">
      <c r="A196" s="19" t="s">
        <v>26</v>
      </c>
      <c r="B196" s="20" t="s">
        <v>121</v>
      </c>
      <c r="C196" s="21" t="s">
        <v>27</v>
      </c>
      <c r="D196" s="20" t="s">
        <v>28</v>
      </c>
      <c r="E196" s="3">
        <v>10500000</v>
      </c>
      <c r="F196" s="19">
        <v>44022</v>
      </c>
      <c r="G196" s="3">
        <v>10500000</v>
      </c>
      <c r="H196" s="2">
        <v>5.0000000000000001E-3</v>
      </c>
      <c r="I196" s="19">
        <v>44166</v>
      </c>
      <c r="J196" s="19">
        <v>44196</v>
      </c>
      <c r="K196" s="3">
        <f t="shared" si="10"/>
        <v>31</v>
      </c>
      <c r="L196" s="3">
        <f t="shared" si="11"/>
        <v>4447</v>
      </c>
      <c r="M196" s="3">
        <v>10500000</v>
      </c>
    </row>
    <row r="197" spans="1:13" s="18" customFormat="1" hidden="1" outlineLevel="2">
      <c r="A197" s="19" t="s">
        <v>26</v>
      </c>
      <c r="B197" s="20" t="s">
        <v>120</v>
      </c>
      <c r="C197" s="21" t="s">
        <v>156</v>
      </c>
      <c r="D197" s="20" t="s">
        <v>155</v>
      </c>
      <c r="E197" s="3">
        <v>72000000</v>
      </c>
      <c r="F197" s="19">
        <v>44025</v>
      </c>
      <c r="G197" s="3">
        <v>69579832</v>
      </c>
      <c r="H197" s="2">
        <v>5.0000000000000001E-3</v>
      </c>
      <c r="I197" s="19">
        <v>44166</v>
      </c>
      <c r="J197" s="19">
        <v>44179</v>
      </c>
      <c r="K197" s="3">
        <f t="shared" si="10"/>
        <v>14</v>
      </c>
      <c r="L197" s="3">
        <f t="shared" si="11"/>
        <v>13308</v>
      </c>
      <c r="M197" s="3">
        <v>68974790</v>
      </c>
    </row>
    <row r="198" spans="1:13" s="18" customFormat="1" hidden="1" outlineLevel="2">
      <c r="A198" s="19" t="s">
        <v>26</v>
      </c>
      <c r="B198" s="20" t="s">
        <v>120</v>
      </c>
      <c r="C198" s="21" t="s">
        <v>156</v>
      </c>
      <c r="D198" s="20"/>
      <c r="E198" s="3"/>
      <c r="F198" s="19"/>
      <c r="G198" s="3">
        <v>68974790</v>
      </c>
      <c r="H198" s="2">
        <v>5.0000000000000001E-3</v>
      </c>
      <c r="I198" s="19">
        <v>44180</v>
      </c>
      <c r="J198" s="19">
        <v>44196</v>
      </c>
      <c r="K198" s="3">
        <f t="shared" si="10"/>
        <v>17</v>
      </c>
      <c r="L198" s="3">
        <f t="shared" si="11"/>
        <v>16019</v>
      </c>
      <c r="M198" s="3"/>
    </row>
    <row r="199" spans="1:13" s="18" customFormat="1" hidden="1" outlineLevel="2">
      <c r="A199" s="19" t="s">
        <v>26</v>
      </c>
      <c r="B199" s="20" t="s">
        <v>147</v>
      </c>
      <c r="C199" s="21" t="s">
        <v>141</v>
      </c>
      <c r="D199" s="20" t="s">
        <v>140</v>
      </c>
      <c r="E199" s="3">
        <v>87500000</v>
      </c>
      <c r="F199" s="19">
        <v>44027</v>
      </c>
      <c r="G199" s="3">
        <v>87500000</v>
      </c>
      <c r="H199" s="2">
        <v>5.0000000000000001E-3</v>
      </c>
      <c r="I199" s="19">
        <v>44166</v>
      </c>
      <c r="J199" s="19">
        <v>44196</v>
      </c>
      <c r="K199" s="3">
        <f t="shared" si="10"/>
        <v>31</v>
      </c>
      <c r="L199" s="3">
        <f t="shared" si="11"/>
        <v>37056</v>
      </c>
      <c r="M199" s="3">
        <v>87500000</v>
      </c>
    </row>
    <row r="200" spans="1:13" s="18" customFormat="1" hidden="1" outlineLevel="2">
      <c r="A200" s="19" t="s">
        <v>26</v>
      </c>
      <c r="B200" s="20" t="s">
        <v>146</v>
      </c>
      <c r="C200" s="21" t="s">
        <v>154</v>
      </c>
      <c r="D200" s="20" t="s">
        <v>153</v>
      </c>
      <c r="E200" s="3">
        <v>84000000</v>
      </c>
      <c r="F200" s="19">
        <v>44027</v>
      </c>
      <c r="G200" s="3">
        <v>84000000</v>
      </c>
      <c r="H200" s="2">
        <v>5.0000000000000001E-3</v>
      </c>
      <c r="I200" s="19">
        <v>44166</v>
      </c>
      <c r="J200" s="19">
        <v>44196</v>
      </c>
      <c r="K200" s="3">
        <f t="shared" si="10"/>
        <v>31</v>
      </c>
      <c r="L200" s="3">
        <f t="shared" si="11"/>
        <v>35574</v>
      </c>
      <c r="M200" s="3">
        <v>84000000</v>
      </c>
    </row>
    <row r="201" spans="1:13" s="18" customFormat="1" hidden="1" outlineLevel="2">
      <c r="A201" s="19" t="s">
        <v>26</v>
      </c>
      <c r="B201" s="20" t="s">
        <v>145</v>
      </c>
      <c r="C201" s="21" t="s">
        <v>97</v>
      </c>
      <c r="D201" s="20" t="s">
        <v>96</v>
      </c>
      <c r="E201" s="3">
        <v>12230000</v>
      </c>
      <c r="F201" s="19">
        <v>44034</v>
      </c>
      <c r="G201" s="3">
        <v>12230000</v>
      </c>
      <c r="H201" s="2">
        <v>5.0000000000000001E-3</v>
      </c>
      <c r="I201" s="19">
        <v>44166</v>
      </c>
      <c r="J201" s="19">
        <v>44196</v>
      </c>
      <c r="K201" s="3">
        <f t="shared" si="10"/>
        <v>31</v>
      </c>
      <c r="L201" s="3">
        <f t="shared" si="11"/>
        <v>5179</v>
      </c>
      <c r="M201" s="3">
        <v>12230000</v>
      </c>
    </row>
    <row r="202" spans="1:13" s="18" customFormat="1" hidden="1" outlineLevel="2">
      <c r="A202" s="19" t="s">
        <v>26</v>
      </c>
      <c r="B202" s="20" t="s">
        <v>144</v>
      </c>
      <c r="C202" s="21" t="s">
        <v>192</v>
      </c>
      <c r="D202" s="20" t="s">
        <v>110</v>
      </c>
      <c r="E202" s="3">
        <v>40000000</v>
      </c>
      <c r="F202" s="19">
        <v>44040</v>
      </c>
      <c r="G202" s="3">
        <v>40000000</v>
      </c>
      <c r="H202" s="2">
        <v>5.0000000000000001E-3</v>
      </c>
      <c r="I202" s="19">
        <v>44166</v>
      </c>
      <c r="J202" s="19">
        <v>44196</v>
      </c>
      <c r="K202" s="3">
        <f t="shared" si="10"/>
        <v>31</v>
      </c>
      <c r="L202" s="3">
        <f t="shared" si="11"/>
        <v>16940</v>
      </c>
      <c r="M202" s="3">
        <v>40000000</v>
      </c>
    </row>
    <row r="203" spans="1:13" s="18" customFormat="1" hidden="1" outlineLevel="2">
      <c r="A203" s="19" t="s">
        <v>26</v>
      </c>
      <c r="B203" s="20" t="s">
        <v>29</v>
      </c>
      <c r="C203" s="21" t="s">
        <v>21</v>
      </c>
      <c r="D203" s="20" t="s">
        <v>22</v>
      </c>
      <c r="E203" s="3">
        <v>171000000</v>
      </c>
      <c r="F203" s="19">
        <v>43822</v>
      </c>
      <c r="G203" s="3">
        <v>171000000</v>
      </c>
      <c r="H203" s="2">
        <v>5.0000000000000001E-3</v>
      </c>
      <c r="I203" s="19">
        <v>44166</v>
      </c>
      <c r="J203" s="19">
        <v>44196</v>
      </c>
      <c r="K203" s="3">
        <f t="shared" si="10"/>
        <v>31</v>
      </c>
      <c r="L203" s="3">
        <f t="shared" si="11"/>
        <v>72418</v>
      </c>
      <c r="M203" s="3">
        <v>171000000</v>
      </c>
    </row>
    <row r="204" spans="1:13" s="18" customFormat="1" hidden="1" outlineLevel="2">
      <c r="A204" s="19" t="s">
        <v>26</v>
      </c>
      <c r="B204" s="20" t="s">
        <v>143</v>
      </c>
      <c r="C204" s="21" t="s">
        <v>151</v>
      </c>
      <c r="D204" s="20" t="s">
        <v>150</v>
      </c>
      <c r="E204" s="3">
        <v>18000000</v>
      </c>
      <c r="F204" s="19">
        <v>44043</v>
      </c>
      <c r="G204" s="3">
        <v>18000000</v>
      </c>
      <c r="H204" s="2">
        <v>5.0000000000000001E-3</v>
      </c>
      <c r="I204" s="19">
        <v>44166</v>
      </c>
      <c r="J204" s="19">
        <v>44196</v>
      </c>
      <c r="K204" s="3">
        <f t="shared" si="10"/>
        <v>31</v>
      </c>
      <c r="L204" s="3">
        <f t="shared" si="11"/>
        <v>7623</v>
      </c>
      <c r="M204" s="3">
        <v>18000000</v>
      </c>
    </row>
    <row r="205" spans="1:13" s="18" customFormat="1" hidden="1" outlineLevel="2">
      <c r="A205" s="19" t="s">
        <v>26</v>
      </c>
      <c r="B205" s="20" t="s">
        <v>142</v>
      </c>
      <c r="C205" s="21" t="s">
        <v>151</v>
      </c>
      <c r="D205" s="20" t="s">
        <v>150</v>
      </c>
      <c r="E205" s="3">
        <v>21000000</v>
      </c>
      <c r="F205" s="19">
        <v>44043</v>
      </c>
      <c r="G205" s="3">
        <v>21000000</v>
      </c>
      <c r="H205" s="2">
        <v>5.0000000000000001E-3</v>
      </c>
      <c r="I205" s="19">
        <v>44166</v>
      </c>
      <c r="J205" s="19">
        <v>44196</v>
      </c>
      <c r="K205" s="3">
        <f t="shared" si="10"/>
        <v>31</v>
      </c>
      <c r="L205" s="3">
        <f t="shared" si="11"/>
        <v>8893</v>
      </c>
      <c r="M205" s="3">
        <v>21000000</v>
      </c>
    </row>
    <row r="206" spans="1:13" s="18" customFormat="1" hidden="1" outlineLevel="2">
      <c r="A206" s="19" t="s">
        <v>26</v>
      </c>
      <c r="B206" s="20" t="s">
        <v>152</v>
      </c>
      <c r="C206" s="21" t="s">
        <v>151</v>
      </c>
      <c r="D206" s="20" t="s">
        <v>150</v>
      </c>
      <c r="E206" s="3">
        <v>13600000</v>
      </c>
      <c r="F206" s="19">
        <v>44043</v>
      </c>
      <c r="G206" s="3">
        <v>13600000</v>
      </c>
      <c r="H206" s="2">
        <v>5.0000000000000001E-3</v>
      </c>
      <c r="I206" s="19">
        <v>44166</v>
      </c>
      <c r="J206" s="19">
        <v>44196</v>
      </c>
      <c r="K206" s="3">
        <f t="shared" si="10"/>
        <v>31</v>
      </c>
      <c r="L206" s="3">
        <f t="shared" si="11"/>
        <v>5760</v>
      </c>
      <c r="M206" s="3">
        <v>13600000</v>
      </c>
    </row>
    <row r="207" spans="1:13" s="18" customFormat="1" hidden="1" outlineLevel="2">
      <c r="A207" s="19" t="s">
        <v>26</v>
      </c>
      <c r="B207" s="20" t="s">
        <v>168</v>
      </c>
      <c r="C207" s="21" t="s">
        <v>27</v>
      </c>
      <c r="D207" s="20" t="s">
        <v>28</v>
      </c>
      <c r="E207" s="3">
        <v>28000000</v>
      </c>
      <c r="F207" s="19">
        <v>44046</v>
      </c>
      <c r="G207" s="3">
        <v>28000000</v>
      </c>
      <c r="H207" s="2">
        <v>5.0000000000000001E-3</v>
      </c>
      <c r="I207" s="19">
        <v>44166</v>
      </c>
      <c r="J207" s="19">
        <v>44196</v>
      </c>
      <c r="K207" s="3">
        <f t="shared" si="10"/>
        <v>31</v>
      </c>
      <c r="L207" s="3">
        <f t="shared" si="11"/>
        <v>11858</v>
      </c>
      <c r="M207" s="3">
        <v>28000000</v>
      </c>
    </row>
    <row r="208" spans="1:13" s="18" customFormat="1" hidden="1" outlineLevel="2">
      <c r="A208" s="19" t="s">
        <v>26</v>
      </c>
      <c r="B208" s="20" t="s">
        <v>167</v>
      </c>
      <c r="C208" s="21" t="s">
        <v>27</v>
      </c>
      <c r="D208" s="20" t="s">
        <v>28</v>
      </c>
      <c r="E208" s="3">
        <v>2700000</v>
      </c>
      <c r="F208" s="19">
        <v>44056</v>
      </c>
      <c r="G208" s="3">
        <v>2700000</v>
      </c>
      <c r="H208" s="2">
        <v>5.0000000000000001E-3</v>
      </c>
      <c r="I208" s="19">
        <v>44166</v>
      </c>
      <c r="J208" s="19">
        <v>44196</v>
      </c>
      <c r="K208" s="3">
        <f t="shared" si="10"/>
        <v>31</v>
      </c>
      <c r="L208" s="3">
        <f t="shared" si="11"/>
        <v>1143</v>
      </c>
      <c r="M208" s="3">
        <v>2700000</v>
      </c>
    </row>
    <row r="209" spans="1:13" s="18" customFormat="1" hidden="1" outlineLevel="2">
      <c r="A209" s="19" t="s">
        <v>26</v>
      </c>
      <c r="B209" s="20" t="s">
        <v>166</v>
      </c>
      <c r="C209" s="21" t="s">
        <v>27</v>
      </c>
      <c r="D209" s="20" t="s">
        <v>28</v>
      </c>
      <c r="E209" s="3">
        <v>29500000</v>
      </c>
      <c r="F209" s="19">
        <v>44074</v>
      </c>
      <c r="G209" s="3">
        <v>29500000</v>
      </c>
      <c r="H209" s="2">
        <v>5.0000000000000001E-3</v>
      </c>
      <c r="I209" s="19">
        <v>44166</v>
      </c>
      <c r="J209" s="19">
        <v>44196</v>
      </c>
      <c r="K209" s="3">
        <f t="shared" si="10"/>
        <v>31</v>
      </c>
      <c r="L209" s="3">
        <f t="shared" si="11"/>
        <v>12493</v>
      </c>
      <c r="M209" s="3">
        <v>29500000</v>
      </c>
    </row>
    <row r="210" spans="1:13" s="18" customFormat="1" hidden="1" outlineLevel="2">
      <c r="A210" s="19" t="s">
        <v>26</v>
      </c>
      <c r="B210" s="20" t="s">
        <v>165</v>
      </c>
      <c r="C210" s="21" t="s">
        <v>162</v>
      </c>
      <c r="D210" s="20" t="s">
        <v>161</v>
      </c>
      <c r="E210" s="3">
        <v>120000000</v>
      </c>
      <c r="F210" s="19">
        <v>44046</v>
      </c>
      <c r="G210" s="3">
        <v>120000000</v>
      </c>
      <c r="H210" s="2">
        <v>5.0000000000000001E-3</v>
      </c>
      <c r="I210" s="19">
        <v>44166</v>
      </c>
      <c r="J210" s="19">
        <v>44196</v>
      </c>
      <c r="K210" s="3">
        <f t="shared" si="10"/>
        <v>31</v>
      </c>
      <c r="L210" s="3">
        <f t="shared" si="11"/>
        <v>50820</v>
      </c>
      <c r="M210" s="3">
        <v>120000000</v>
      </c>
    </row>
    <row r="211" spans="1:13" s="18" customFormat="1" hidden="1" outlineLevel="2">
      <c r="A211" s="19" t="s">
        <v>26</v>
      </c>
      <c r="B211" s="20" t="s">
        <v>180</v>
      </c>
      <c r="C211" s="21" t="s">
        <v>33</v>
      </c>
      <c r="D211" s="20" t="s">
        <v>34</v>
      </c>
      <c r="E211" s="3">
        <v>8736000</v>
      </c>
      <c r="F211" s="19">
        <v>44047</v>
      </c>
      <c r="G211" s="3">
        <v>8736000</v>
      </c>
      <c r="H211" s="2">
        <v>5.0000000000000001E-3</v>
      </c>
      <c r="I211" s="19">
        <v>44166</v>
      </c>
      <c r="J211" s="19">
        <v>44196</v>
      </c>
      <c r="K211" s="3">
        <f t="shared" si="10"/>
        <v>31</v>
      </c>
      <c r="L211" s="3">
        <f t="shared" si="11"/>
        <v>3700</v>
      </c>
      <c r="M211" s="3">
        <v>8736000</v>
      </c>
    </row>
    <row r="212" spans="1:13" s="18" customFormat="1" hidden="1" outlineLevel="2">
      <c r="A212" s="19" t="s">
        <v>26</v>
      </c>
      <c r="B212" s="20" t="s">
        <v>179</v>
      </c>
      <c r="C212" s="21" t="s">
        <v>33</v>
      </c>
      <c r="D212" s="20" t="s">
        <v>34</v>
      </c>
      <c r="E212" s="3">
        <v>8988000</v>
      </c>
      <c r="F212" s="19">
        <v>44067</v>
      </c>
      <c r="G212" s="3">
        <v>8988000</v>
      </c>
      <c r="H212" s="2">
        <v>5.0000000000000001E-3</v>
      </c>
      <c r="I212" s="19">
        <v>44166</v>
      </c>
      <c r="J212" s="19">
        <v>44196</v>
      </c>
      <c r="K212" s="3">
        <f t="shared" ref="K212:K243" si="12">J212-I212+1</f>
        <v>31</v>
      </c>
      <c r="L212" s="3">
        <f t="shared" ref="L212:L243" si="13">ROUND(G212*H212*K212/366,0)</f>
        <v>3806</v>
      </c>
      <c r="M212" s="3">
        <v>8988000</v>
      </c>
    </row>
    <row r="213" spans="1:13" s="18" customFormat="1" hidden="1" outlineLevel="2">
      <c r="A213" s="19" t="s">
        <v>26</v>
      </c>
      <c r="B213" s="20" t="s">
        <v>178</v>
      </c>
      <c r="C213" s="21" t="s">
        <v>33</v>
      </c>
      <c r="D213" s="20" t="s">
        <v>34</v>
      </c>
      <c r="E213" s="3">
        <v>34608000</v>
      </c>
      <c r="F213" s="19">
        <v>44070</v>
      </c>
      <c r="G213" s="3">
        <v>34608000</v>
      </c>
      <c r="H213" s="2">
        <v>5.0000000000000001E-3</v>
      </c>
      <c r="I213" s="19">
        <v>44166</v>
      </c>
      <c r="J213" s="19">
        <v>44196</v>
      </c>
      <c r="K213" s="3">
        <f t="shared" si="12"/>
        <v>31</v>
      </c>
      <c r="L213" s="3">
        <f t="shared" si="13"/>
        <v>14656</v>
      </c>
      <c r="M213" s="3">
        <v>34608000</v>
      </c>
    </row>
    <row r="214" spans="1:13" s="18" customFormat="1" hidden="1" outlineLevel="2">
      <c r="A214" s="19" t="s">
        <v>26</v>
      </c>
      <c r="B214" s="20" t="s">
        <v>30</v>
      </c>
      <c r="C214" s="21" t="s">
        <v>27</v>
      </c>
      <c r="D214" s="20" t="s">
        <v>28</v>
      </c>
      <c r="E214" s="3">
        <v>38000000</v>
      </c>
      <c r="F214" s="19">
        <v>43850</v>
      </c>
      <c r="G214" s="3">
        <v>38000000</v>
      </c>
      <c r="H214" s="2">
        <v>5.0000000000000001E-3</v>
      </c>
      <c r="I214" s="19">
        <v>44166</v>
      </c>
      <c r="J214" s="19">
        <v>44196</v>
      </c>
      <c r="K214" s="3">
        <f t="shared" si="12"/>
        <v>31</v>
      </c>
      <c r="L214" s="3">
        <f t="shared" si="13"/>
        <v>16093</v>
      </c>
      <c r="M214" s="3">
        <v>38000000</v>
      </c>
    </row>
    <row r="215" spans="1:13" s="18" customFormat="1" hidden="1" outlineLevel="2">
      <c r="A215" s="19" t="s">
        <v>26</v>
      </c>
      <c r="B215" s="20" t="s">
        <v>177</v>
      </c>
      <c r="C215" s="21" t="s">
        <v>175</v>
      </c>
      <c r="D215" s="20" t="s">
        <v>174</v>
      </c>
      <c r="E215" s="3">
        <v>13000000</v>
      </c>
      <c r="F215" s="19">
        <v>44047</v>
      </c>
      <c r="G215" s="3">
        <v>13000000</v>
      </c>
      <c r="H215" s="2">
        <v>5.0000000000000001E-3</v>
      </c>
      <c r="I215" s="19">
        <v>44166</v>
      </c>
      <c r="J215" s="19">
        <v>44196</v>
      </c>
      <c r="K215" s="3">
        <f t="shared" si="12"/>
        <v>31</v>
      </c>
      <c r="L215" s="3">
        <f t="shared" si="13"/>
        <v>5505</v>
      </c>
      <c r="M215" s="3">
        <v>13000000</v>
      </c>
    </row>
    <row r="216" spans="1:13" s="18" customFormat="1" hidden="1" outlineLevel="2">
      <c r="A216" s="19" t="s">
        <v>26</v>
      </c>
      <c r="B216" s="20" t="s">
        <v>176</v>
      </c>
      <c r="C216" s="21" t="s">
        <v>175</v>
      </c>
      <c r="D216" s="20" t="s">
        <v>174</v>
      </c>
      <c r="E216" s="3">
        <v>5000000</v>
      </c>
      <c r="F216" s="19">
        <v>44053</v>
      </c>
      <c r="G216" s="3">
        <v>5000000</v>
      </c>
      <c r="H216" s="2">
        <v>5.0000000000000001E-3</v>
      </c>
      <c r="I216" s="19">
        <v>44166</v>
      </c>
      <c r="J216" s="19">
        <v>44196</v>
      </c>
      <c r="K216" s="3">
        <f t="shared" si="12"/>
        <v>31</v>
      </c>
      <c r="L216" s="3">
        <f t="shared" si="13"/>
        <v>2117</v>
      </c>
      <c r="M216" s="3">
        <v>5000000</v>
      </c>
    </row>
    <row r="217" spans="1:13" s="18" customFormat="1" hidden="1" outlineLevel="2">
      <c r="A217" s="19" t="s">
        <v>26</v>
      </c>
      <c r="B217" s="20" t="s">
        <v>173</v>
      </c>
      <c r="C217" s="21" t="s">
        <v>156</v>
      </c>
      <c r="D217" s="20" t="s">
        <v>155</v>
      </c>
      <c r="E217" s="3">
        <v>5300000</v>
      </c>
      <c r="F217" s="19">
        <v>44050</v>
      </c>
      <c r="G217" s="3">
        <v>5165255</v>
      </c>
      <c r="H217" s="2">
        <v>5.0000000000000001E-3</v>
      </c>
      <c r="I217" s="19">
        <v>44166</v>
      </c>
      <c r="J217" s="19">
        <v>44179</v>
      </c>
      <c r="K217" s="3">
        <f t="shared" si="12"/>
        <v>14</v>
      </c>
      <c r="L217" s="3">
        <f t="shared" si="13"/>
        <v>988</v>
      </c>
      <c r="M217" s="3">
        <v>5120340</v>
      </c>
    </row>
    <row r="218" spans="1:13" s="18" customFormat="1" hidden="1" outlineLevel="2">
      <c r="A218" s="19" t="s">
        <v>26</v>
      </c>
      <c r="B218" s="20" t="s">
        <v>173</v>
      </c>
      <c r="C218" s="21" t="s">
        <v>156</v>
      </c>
      <c r="D218" s="20"/>
      <c r="E218" s="3"/>
      <c r="F218" s="19"/>
      <c r="G218" s="3">
        <v>5120340</v>
      </c>
      <c r="H218" s="2">
        <v>5.0000000000000001E-3</v>
      </c>
      <c r="I218" s="19">
        <v>44180</v>
      </c>
      <c r="J218" s="19">
        <v>44196</v>
      </c>
      <c r="K218" s="3">
        <f t="shared" si="12"/>
        <v>17</v>
      </c>
      <c r="L218" s="3">
        <f t="shared" si="13"/>
        <v>1189</v>
      </c>
      <c r="M218" s="3"/>
    </row>
    <row r="219" spans="1:13" s="18" customFormat="1" hidden="1" outlineLevel="2">
      <c r="A219" s="19" t="s">
        <v>26</v>
      </c>
      <c r="B219" s="20" t="s">
        <v>172</v>
      </c>
      <c r="C219" s="21" t="s">
        <v>72</v>
      </c>
      <c r="D219" s="20" t="s">
        <v>71</v>
      </c>
      <c r="E219" s="3">
        <v>40000000</v>
      </c>
      <c r="F219" s="19">
        <v>44060</v>
      </c>
      <c r="G219" s="3">
        <v>40000000</v>
      </c>
      <c r="H219" s="2">
        <v>5.0000000000000001E-3</v>
      </c>
      <c r="I219" s="19">
        <v>44166</v>
      </c>
      <c r="J219" s="19">
        <v>44196</v>
      </c>
      <c r="K219" s="3">
        <f t="shared" si="12"/>
        <v>31</v>
      </c>
      <c r="L219" s="3">
        <f t="shared" si="13"/>
        <v>16940</v>
      </c>
      <c r="M219" s="3">
        <v>40000000</v>
      </c>
    </row>
    <row r="220" spans="1:13" s="18" customFormat="1" hidden="1" outlineLevel="2">
      <c r="A220" s="19" t="s">
        <v>26</v>
      </c>
      <c r="B220" s="20" t="s">
        <v>171</v>
      </c>
      <c r="C220" s="21" t="s">
        <v>107</v>
      </c>
      <c r="D220" s="20" t="s">
        <v>106</v>
      </c>
      <c r="E220" s="3">
        <v>10000000</v>
      </c>
      <c r="F220" s="19">
        <v>44067</v>
      </c>
      <c r="G220" s="3">
        <v>10000000</v>
      </c>
      <c r="H220" s="2">
        <v>5.0000000000000001E-3</v>
      </c>
      <c r="I220" s="19">
        <v>44166</v>
      </c>
      <c r="J220" s="19">
        <v>44196</v>
      </c>
      <c r="K220" s="3">
        <f t="shared" si="12"/>
        <v>31</v>
      </c>
      <c r="L220" s="3">
        <f t="shared" si="13"/>
        <v>4235</v>
      </c>
      <c r="M220" s="3">
        <v>10000000</v>
      </c>
    </row>
    <row r="221" spans="1:13" s="18" customFormat="1" hidden="1" outlineLevel="2">
      <c r="A221" s="19" t="s">
        <v>26</v>
      </c>
      <c r="B221" s="20" t="s">
        <v>201</v>
      </c>
      <c r="C221" s="21" t="s">
        <v>162</v>
      </c>
      <c r="D221" s="20" t="s">
        <v>161</v>
      </c>
      <c r="E221" s="3">
        <v>125000000</v>
      </c>
      <c r="F221" s="19">
        <v>44075</v>
      </c>
      <c r="G221" s="3">
        <v>125000000</v>
      </c>
      <c r="H221" s="2">
        <v>5.0000000000000001E-3</v>
      </c>
      <c r="I221" s="19">
        <v>44166</v>
      </c>
      <c r="J221" s="19">
        <v>44196</v>
      </c>
      <c r="K221" s="3">
        <f t="shared" si="12"/>
        <v>31</v>
      </c>
      <c r="L221" s="3">
        <f t="shared" si="13"/>
        <v>52937</v>
      </c>
      <c r="M221" s="3">
        <v>125000000</v>
      </c>
    </row>
    <row r="222" spans="1:13" s="18" customFormat="1" hidden="1" outlineLevel="2">
      <c r="A222" s="19" t="s">
        <v>26</v>
      </c>
      <c r="B222" s="20" t="s">
        <v>200</v>
      </c>
      <c r="C222" s="21" t="s">
        <v>162</v>
      </c>
      <c r="D222" s="20" t="s">
        <v>161</v>
      </c>
      <c r="E222" s="3">
        <v>105000000</v>
      </c>
      <c r="F222" s="19">
        <v>44104</v>
      </c>
      <c r="G222" s="3">
        <v>105000000</v>
      </c>
      <c r="H222" s="2">
        <v>5.0000000000000001E-3</v>
      </c>
      <c r="I222" s="19">
        <v>44166</v>
      </c>
      <c r="J222" s="19">
        <v>44196</v>
      </c>
      <c r="K222" s="3">
        <f t="shared" si="12"/>
        <v>31</v>
      </c>
      <c r="L222" s="3">
        <f t="shared" si="13"/>
        <v>44467</v>
      </c>
      <c r="M222" s="3">
        <v>105000000</v>
      </c>
    </row>
    <row r="223" spans="1:13" s="18" customFormat="1" hidden="1" outlineLevel="2">
      <c r="A223" s="19" t="s">
        <v>26</v>
      </c>
      <c r="B223" s="20" t="s">
        <v>199</v>
      </c>
      <c r="C223" s="21" t="s">
        <v>175</v>
      </c>
      <c r="D223" s="20" t="s">
        <v>174</v>
      </c>
      <c r="E223" s="3">
        <v>13000000</v>
      </c>
      <c r="F223" s="19">
        <v>44077</v>
      </c>
      <c r="G223" s="3">
        <v>13000000</v>
      </c>
      <c r="H223" s="2">
        <v>5.0000000000000001E-3</v>
      </c>
      <c r="I223" s="19">
        <v>44166</v>
      </c>
      <c r="J223" s="19">
        <v>44196</v>
      </c>
      <c r="K223" s="3">
        <f t="shared" si="12"/>
        <v>31</v>
      </c>
      <c r="L223" s="3">
        <f t="shared" si="13"/>
        <v>5505</v>
      </c>
      <c r="M223" s="3">
        <v>13000000</v>
      </c>
    </row>
    <row r="224" spans="1:13" s="18" customFormat="1" hidden="1" outlineLevel="2">
      <c r="A224" s="19" t="s">
        <v>26</v>
      </c>
      <c r="B224" s="20" t="s">
        <v>198</v>
      </c>
      <c r="C224" s="21" t="s">
        <v>175</v>
      </c>
      <c r="D224" s="20" t="s">
        <v>174</v>
      </c>
      <c r="E224" s="3">
        <v>5800000</v>
      </c>
      <c r="F224" s="19">
        <v>44083</v>
      </c>
      <c r="G224" s="3">
        <v>5800000</v>
      </c>
      <c r="H224" s="2">
        <v>5.0000000000000001E-3</v>
      </c>
      <c r="I224" s="19">
        <v>44166</v>
      </c>
      <c r="J224" s="19">
        <v>44196</v>
      </c>
      <c r="K224" s="3">
        <f t="shared" si="12"/>
        <v>31</v>
      </c>
      <c r="L224" s="3">
        <f t="shared" si="13"/>
        <v>2456</v>
      </c>
      <c r="M224" s="3">
        <v>5800000</v>
      </c>
    </row>
    <row r="225" spans="1:13" s="18" customFormat="1" hidden="1" outlineLevel="2">
      <c r="A225" s="19" t="s">
        <v>26</v>
      </c>
      <c r="B225" s="20" t="s">
        <v>197</v>
      </c>
      <c r="C225" s="21" t="s">
        <v>33</v>
      </c>
      <c r="D225" s="20" t="s">
        <v>34</v>
      </c>
      <c r="E225" s="3">
        <v>4989600</v>
      </c>
      <c r="F225" s="19">
        <v>44088</v>
      </c>
      <c r="G225" s="3">
        <v>4989600</v>
      </c>
      <c r="H225" s="2">
        <v>5.0000000000000001E-3</v>
      </c>
      <c r="I225" s="19">
        <v>44166</v>
      </c>
      <c r="J225" s="19">
        <v>44196</v>
      </c>
      <c r="K225" s="3">
        <f t="shared" si="12"/>
        <v>31</v>
      </c>
      <c r="L225" s="3">
        <f t="shared" si="13"/>
        <v>2113</v>
      </c>
      <c r="M225" s="3">
        <v>4989600</v>
      </c>
    </row>
    <row r="226" spans="1:13" s="18" customFormat="1" hidden="1" outlineLevel="2">
      <c r="A226" s="19" t="s">
        <v>26</v>
      </c>
      <c r="B226" s="20" t="s">
        <v>31</v>
      </c>
      <c r="C226" s="21" t="s">
        <v>27</v>
      </c>
      <c r="D226" s="20" t="s">
        <v>28</v>
      </c>
      <c r="E226" s="3">
        <v>10000000</v>
      </c>
      <c r="F226" s="19">
        <v>43850</v>
      </c>
      <c r="G226" s="3">
        <v>10000000</v>
      </c>
      <c r="H226" s="2">
        <v>5.0000000000000001E-3</v>
      </c>
      <c r="I226" s="19">
        <v>44166</v>
      </c>
      <c r="J226" s="19">
        <v>44196</v>
      </c>
      <c r="K226" s="3">
        <f t="shared" si="12"/>
        <v>31</v>
      </c>
      <c r="L226" s="3">
        <f t="shared" si="13"/>
        <v>4235</v>
      </c>
      <c r="M226" s="3">
        <v>10000000</v>
      </c>
    </row>
    <row r="227" spans="1:13" s="18" customFormat="1" hidden="1" outlineLevel="2">
      <c r="A227" s="19" t="s">
        <v>26</v>
      </c>
      <c r="B227" s="20" t="s">
        <v>196</v>
      </c>
      <c r="C227" s="21" t="s">
        <v>113</v>
      </c>
      <c r="D227" s="20" t="s">
        <v>112</v>
      </c>
      <c r="E227" s="3">
        <v>96000000</v>
      </c>
      <c r="F227" s="19">
        <v>44089</v>
      </c>
      <c r="G227" s="3">
        <v>96000000</v>
      </c>
      <c r="H227" s="2">
        <v>5.0000000000000001E-3</v>
      </c>
      <c r="I227" s="19">
        <v>44166</v>
      </c>
      <c r="J227" s="19">
        <v>44196</v>
      </c>
      <c r="K227" s="3">
        <f t="shared" si="12"/>
        <v>31</v>
      </c>
      <c r="L227" s="3">
        <f t="shared" si="13"/>
        <v>40656</v>
      </c>
      <c r="M227" s="3">
        <v>96000000</v>
      </c>
    </row>
    <row r="228" spans="1:13" s="18" customFormat="1" hidden="1" outlineLevel="2">
      <c r="A228" s="19" t="s">
        <v>26</v>
      </c>
      <c r="B228" s="20" t="s">
        <v>195</v>
      </c>
      <c r="C228" s="21" t="s">
        <v>113</v>
      </c>
      <c r="D228" s="20" t="s">
        <v>112</v>
      </c>
      <c r="E228" s="3">
        <v>16000000</v>
      </c>
      <c r="F228" s="19">
        <v>44089</v>
      </c>
      <c r="G228" s="3">
        <v>16000000</v>
      </c>
      <c r="H228" s="2">
        <v>5.0000000000000001E-3</v>
      </c>
      <c r="I228" s="19">
        <v>44166</v>
      </c>
      <c r="J228" s="19">
        <v>44196</v>
      </c>
      <c r="K228" s="3">
        <f t="shared" si="12"/>
        <v>31</v>
      </c>
      <c r="L228" s="3">
        <f t="shared" si="13"/>
        <v>6776</v>
      </c>
      <c r="M228" s="3">
        <v>16000000</v>
      </c>
    </row>
    <row r="229" spans="1:13" s="18" customFormat="1" hidden="1" outlineLevel="2">
      <c r="A229" s="19" t="s">
        <v>26</v>
      </c>
      <c r="B229" s="20" t="s">
        <v>194</v>
      </c>
      <c r="C229" s="21" t="s">
        <v>27</v>
      </c>
      <c r="D229" s="20" t="s">
        <v>28</v>
      </c>
      <c r="E229" s="3">
        <v>21600000</v>
      </c>
      <c r="F229" s="19">
        <v>44095</v>
      </c>
      <c r="G229" s="3">
        <v>21600000</v>
      </c>
      <c r="H229" s="2">
        <v>5.0000000000000001E-3</v>
      </c>
      <c r="I229" s="19">
        <v>44166</v>
      </c>
      <c r="J229" s="19">
        <v>44196</v>
      </c>
      <c r="K229" s="3">
        <f t="shared" si="12"/>
        <v>31</v>
      </c>
      <c r="L229" s="3">
        <f t="shared" si="13"/>
        <v>9148</v>
      </c>
      <c r="M229" s="3">
        <v>21600000</v>
      </c>
    </row>
    <row r="230" spans="1:13" s="18" customFormat="1" hidden="1" outlineLevel="2">
      <c r="A230" s="19" t="s">
        <v>26</v>
      </c>
      <c r="B230" s="20" t="s">
        <v>193</v>
      </c>
      <c r="C230" s="21" t="s">
        <v>192</v>
      </c>
      <c r="D230" s="20" t="s">
        <v>110</v>
      </c>
      <c r="E230" s="3">
        <v>40000000</v>
      </c>
      <c r="F230" s="19">
        <v>44100</v>
      </c>
      <c r="G230" s="3">
        <v>40000000</v>
      </c>
      <c r="H230" s="2">
        <v>5.0000000000000001E-3</v>
      </c>
      <c r="I230" s="19">
        <v>44166</v>
      </c>
      <c r="J230" s="19">
        <v>44196</v>
      </c>
      <c r="K230" s="3">
        <f t="shared" si="12"/>
        <v>31</v>
      </c>
      <c r="L230" s="3">
        <f t="shared" si="13"/>
        <v>16940</v>
      </c>
      <c r="M230" s="3">
        <v>40000000</v>
      </c>
    </row>
    <row r="231" spans="1:13" s="18" customFormat="1" hidden="1" outlineLevel="2">
      <c r="A231" s="19" t="s">
        <v>26</v>
      </c>
      <c r="B231" s="20" t="s">
        <v>191</v>
      </c>
      <c r="C231" s="21" t="s">
        <v>115</v>
      </c>
      <c r="D231" s="20" t="s">
        <v>114</v>
      </c>
      <c r="E231" s="3">
        <v>2000000</v>
      </c>
      <c r="F231" s="19">
        <v>44103</v>
      </c>
      <c r="G231" s="3">
        <v>2000000</v>
      </c>
      <c r="H231" s="2">
        <v>5.0000000000000001E-3</v>
      </c>
      <c r="I231" s="19">
        <v>44166</v>
      </c>
      <c r="J231" s="19">
        <v>44196</v>
      </c>
      <c r="K231" s="3">
        <f t="shared" si="12"/>
        <v>31</v>
      </c>
      <c r="L231" s="3">
        <f t="shared" si="13"/>
        <v>847</v>
      </c>
      <c r="M231" s="3">
        <v>2000000</v>
      </c>
    </row>
    <row r="232" spans="1:13" s="18" customFormat="1" hidden="1" outlineLevel="2">
      <c r="A232" s="19" t="s">
        <v>26</v>
      </c>
      <c r="B232" s="20" t="s">
        <v>223</v>
      </c>
      <c r="C232" s="21" t="s">
        <v>175</v>
      </c>
      <c r="D232" s="20" t="s">
        <v>174</v>
      </c>
      <c r="E232" s="3">
        <v>13200000</v>
      </c>
      <c r="F232" s="19">
        <v>44109</v>
      </c>
      <c r="G232" s="3">
        <v>13200000</v>
      </c>
      <c r="H232" s="2">
        <v>5.0000000000000001E-3</v>
      </c>
      <c r="I232" s="19">
        <v>44166</v>
      </c>
      <c r="J232" s="19">
        <v>44196</v>
      </c>
      <c r="K232" s="3">
        <f t="shared" si="12"/>
        <v>31</v>
      </c>
      <c r="L232" s="3">
        <f t="shared" si="13"/>
        <v>5590</v>
      </c>
      <c r="M232" s="3">
        <v>13200000</v>
      </c>
    </row>
    <row r="233" spans="1:13" s="18" customFormat="1" hidden="1" outlineLevel="2">
      <c r="A233" s="19" t="s">
        <v>26</v>
      </c>
      <c r="B233" s="20" t="s">
        <v>222</v>
      </c>
      <c r="C233" s="21" t="s">
        <v>175</v>
      </c>
      <c r="D233" s="20" t="s">
        <v>174</v>
      </c>
      <c r="E233" s="3">
        <v>3000000</v>
      </c>
      <c r="F233" s="19">
        <v>44116</v>
      </c>
      <c r="G233" s="3">
        <v>3000000</v>
      </c>
      <c r="H233" s="2">
        <v>5.0000000000000001E-3</v>
      </c>
      <c r="I233" s="19">
        <v>44166</v>
      </c>
      <c r="J233" s="19">
        <v>44196</v>
      </c>
      <c r="K233" s="3">
        <f t="shared" si="12"/>
        <v>31</v>
      </c>
      <c r="L233" s="3">
        <f t="shared" si="13"/>
        <v>1270</v>
      </c>
      <c r="M233" s="3">
        <v>3000000</v>
      </c>
    </row>
    <row r="234" spans="1:13" s="18" customFormat="1" hidden="1" outlineLevel="2">
      <c r="A234" s="19" t="s">
        <v>26</v>
      </c>
      <c r="B234" s="20" t="s">
        <v>221</v>
      </c>
      <c r="C234" s="21" t="s">
        <v>33</v>
      </c>
      <c r="D234" s="20" t="s">
        <v>34</v>
      </c>
      <c r="E234" s="3">
        <v>8736000</v>
      </c>
      <c r="F234" s="19">
        <v>44109</v>
      </c>
      <c r="G234" s="3">
        <v>8736000</v>
      </c>
      <c r="H234" s="2">
        <v>5.0000000000000001E-3</v>
      </c>
      <c r="I234" s="19">
        <v>44166</v>
      </c>
      <c r="J234" s="19">
        <v>44196</v>
      </c>
      <c r="K234" s="3">
        <f t="shared" si="12"/>
        <v>31</v>
      </c>
      <c r="L234" s="3">
        <f t="shared" si="13"/>
        <v>3700</v>
      </c>
      <c r="M234" s="3">
        <v>8736000</v>
      </c>
    </row>
    <row r="235" spans="1:13" s="18" customFormat="1" hidden="1" outlineLevel="2">
      <c r="A235" s="19" t="s">
        <v>26</v>
      </c>
      <c r="B235" s="20" t="s">
        <v>220</v>
      </c>
      <c r="C235" s="21" t="s">
        <v>33</v>
      </c>
      <c r="D235" s="20" t="s">
        <v>34</v>
      </c>
      <c r="E235" s="3">
        <v>4273920</v>
      </c>
      <c r="F235" s="19">
        <v>44111</v>
      </c>
      <c r="G235" s="3">
        <v>4273920</v>
      </c>
      <c r="H235" s="2">
        <v>5.0000000000000001E-3</v>
      </c>
      <c r="I235" s="19">
        <v>44166</v>
      </c>
      <c r="J235" s="19">
        <v>44196</v>
      </c>
      <c r="K235" s="3">
        <f t="shared" si="12"/>
        <v>31</v>
      </c>
      <c r="L235" s="3">
        <f t="shared" si="13"/>
        <v>1810</v>
      </c>
      <c r="M235" s="3">
        <v>4273920</v>
      </c>
    </row>
    <row r="236" spans="1:13" s="18" customFormat="1" hidden="1" outlineLevel="2">
      <c r="A236" s="19" t="s">
        <v>26</v>
      </c>
      <c r="B236" s="20" t="s">
        <v>219</v>
      </c>
      <c r="C236" s="21" t="s">
        <v>33</v>
      </c>
      <c r="D236" s="20" t="s">
        <v>34</v>
      </c>
      <c r="E236" s="3">
        <v>4368000</v>
      </c>
      <c r="F236" s="19">
        <v>44132</v>
      </c>
      <c r="G236" s="3">
        <v>4368000</v>
      </c>
      <c r="H236" s="2">
        <v>5.0000000000000001E-3</v>
      </c>
      <c r="I236" s="19">
        <v>44166</v>
      </c>
      <c r="J236" s="19">
        <v>44196</v>
      </c>
      <c r="K236" s="3">
        <f t="shared" si="12"/>
        <v>31</v>
      </c>
      <c r="L236" s="3">
        <f t="shared" si="13"/>
        <v>1850</v>
      </c>
      <c r="M236" s="3">
        <v>4368000</v>
      </c>
    </row>
    <row r="237" spans="1:13" s="18" customFormat="1" hidden="1" outlineLevel="2">
      <c r="A237" s="19" t="s">
        <v>26</v>
      </c>
      <c r="B237" s="20" t="s">
        <v>32</v>
      </c>
      <c r="C237" s="21" t="s">
        <v>33</v>
      </c>
      <c r="D237" s="20" t="s">
        <v>34</v>
      </c>
      <c r="E237" s="3">
        <v>96176976</v>
      </c>
      <c r="F237" s="19">
        <v>43861</v>
      </c>
      <c r="G237" s="3">
        <v>96176976</v>
      </c>
      <c r="H237" s="2">
        <v>5.0000000000000001E-3</v>
      </c>
      <c r="I237" s="19">
        <v>44166</v>
      </c>
      <c r="J237" s="19">
        <v>44196</v>
      </c>
      <c r="K237" s="3">
        <f t="shared" si="12"/>
        <v>31</v>
      </c>
      <c r="L237" s="3">
        <f t="shared" si="13"/>
        <v>40731</v>
      </c>
      <c r="M237" s="3">
        <v>96176976</v>
      </c>
    </row>
    <row r="238" spans="1:13" s="18" customFormat="1" hidden="1" outlineLevel="2">
      <c r="A238" s="19" t="s">
        <v>26</v>
      </c>
      <c r="B238" s="20" t="s">
        <v>218</v>
      </c>
      <c r="C238" s="21" t="s">
        <v>33</v>
      </c>
      <c r="D238" s="20" t="s">
        <v>34</v>
      </c>
      <c r="E238" s="3">
        <v>8064000</v>
      </c>
      <c r="F238" s="19">
        <v>44133</v>
      </c>
      <c r="G238" s="3">
        <v>8064000</v>
      </c>
      <c r="H238" s="2">
        <v>5.0000000000000001E-3</v>
      </c>
      <c r="I238" s="19">
        <v>44166</v>
      </c>
      <c r="J238" s="19">
        <v>44196</v>
      </c>
      <c r="K238" s="3">
        <f t="shared" si="12"/>
        <v>31</v>
      </c>
      <c r="L238" s="3">
        <f t="shared" si="13"/>
        <v>3415</v>
      </c>
      <c r="M238" s="3">
        <v>8064000</v>
      </c>
    </row>
    <row r="239" spans="1:13" s="18" customFormat="1" hidden="1" outlineLevel="2">
      <c r="A239" s="19" t="s">
        <v>26</v>
      </c>
      <c r="B239" s="20" t="s">
        <v>217</v>
      </c>
      <c r="C239" s="21" t="s">
        <v>33</v>
      </c>
      <c r="D239" s="20" t="s">
        <v>34</v>
      </c>
      <c r="E239" s="3">
        <v>113400</v>
      </c>
      <c r="F239" s="19">
        <v>44133</v>
      </c>
      <c r="G239" s="3">
        <v>113400</v>
      </c>
      <c r="H239" s="2">
        <v>5.0000000000000001E-3</v>
      </c>
      <c r="I239" s="19">
        <v>44166</v>
      </c>
      <c r="J239" s="19">
        <v>44196</v>
      </c>
      <c r="K239" s="3">
        <f t="shared" si="12"/>
        <v>31</v>
      </c>
      <c r="L239" s="3">
        <f t="shared" si="13"/>
        <v>48</v>
      </c>
      <c r="M239" s="3">
        <v>113400</v>
      </c>
    </row>
    <row r="240" spans="1:13" s="18" customFormat="1" hidden="1" outlineLevel="2">
      <c r="A240" s="19" t="s">
        <v>26</v>
      </c>
      <c r="B240" s="20" t="s">
        <v>216</v>
      </c>
      <c r="C240" s="21" t="s">
        <v>214</v>
      </c>
      <c r="D240" s="20" t="s">
        <v>213</v>
      </c>
      <c r="E240" s="3">
        <v>93700000</v>
      </c>
      <c r="F240" s="19">
        <v>44109</v>
      </c>
      <c r="G240" s="3">
        <v>93700000</v>
      </c>
      <c r="H240" s="2">
        <v>5.0000000000000001E-3</v>
      </c>
      <c r="I240" s="19">
        <v>44166</v>
      </c>
      <c r="J240" s="19">
        <v>44196</v>
      </c>
      <c r="K240" s="3">
        <f t="shared" si="12"/>
        <v>31</v>
      </c>
      <c r="L240" s="3">
        <f t="shared" si="13"/>
        <v>39682</v>
      </c>
      <c r="M240" s="3">
        <v>93700000</v>
      </c>
    </row>
    <row r="241" spans="1:13" s="18" customFormat="1" hidden="1" outlineLevel="2">
      <c r="A241" s="19" t="s">
        <v>26</v>
      </c>
      <c r="B241" s="20" t="s">
        <v>215</v>
      </c>
      <c r="C241" s="21" t="s">
        <v>214</v>
      </c>
      <c r="D241" s="20" t="s">
        <v>213</v>
      </c>
      <c r="E241" s="3">
        <v>21400000</v>
      </c>
      <c r="F241" s="19">
        <v>44109</v>
      </c>
      <c r="G241" s="3">
        <v>21400000</v>
      </c>
      <c r="H241" s="2">
        <v>5.0000000000000001E-3</v>
      </c>
      <c r="I241" s="19">
        <v>44166</v>
      </c>
      <c r="J241" s="19">
        <v>44196</v>
      </c>
      <c r="K241" s="3">
        <f t="shared" si="12"/>
        <v>31</v>
      </c>
      <c r="L241" s="3">
        <f t="shared" si="13"/>
        <v>9063</v>
      </c>
      <c r="M241" s="3">
        <v>21400000</v>
      </c>
    </row>
    <row r="242" spans="1:13" s="18" customFormat="1" hidden="1" outlineLevel="2">
      <c r="A242" s="19" t="s">
        <v>26</v>
      </c>
      <c r="B242" s="20" t="s">
        <v>212</v>
      </c>
      <c r="C242" s="21" t="s">
        <v>27</v>
      </c>
      <c r="D242" s="20" t="s">
        <v>28</v>
      </c>
      <c r="E242" s="3">
        <v>7150000</v>
      </c>
      <c r="F242" s="19">
        <v>44119</v>
      </c>
      <c r="G242" s="3">
        <v>7150000</v>
      </c>
      <c r="H242" s="2">
        <v>5.0000000000000001E-3</v>
      </c>
      <c r="I242" s="19">
        <v>44166</v>
      </c>
      <c r="J242" s="19">
        <v>44196</v>
      </c>
      <c r="K242" s="3">
        <f t="shared" si="12"/>
        <v>31</v>
      </c>
      <c r="L242" s="3">
        <f t="shared" si="13"/>
        <v>3028</v>
      </c>
      <c r="M242" s="3">
        <v>7150000</v>
      </c>
    </row>
    <row r="243" spans="1:13" s="18" customFormat="1" hidden="1" outlineLevel="2">
      <c r="A243" s="19" t="s">
        <v>26</v>
      </c>
      <c r="B243" s="20" t="s">
        <v>211</v>
      </c>
      <c r="C243" s="21" t="s">
        <v>27</v>
      </c>
      <c r="D243" s="20" t="s">
        <v>28</v>
      </c>
      <c r="E243" s="3">
        <v>14400000</v>
      </c>
      <c r="F243" s="19">
        <v>44124</v>
      </c>
      <c r="G243" s="3">
        <v>14400000</v>
      </c>
      <c r="H243" s="2">
        <v>5.0000000000000001E-3</v>
      </c>
      <c r="I243" s="19">
        <v>44166</v>
      </c>
      <c r="J243" s="19">
        <v>44196</v>
      </c>
      <c r="K243" s="3">
        <f t="shared" si="12"/>
        <v>31</v>
      </c>
      <c r="L243" s="3">
        <f t="shared" si="13"/>
        <v>6098</v>
      </c>
      <c r="M243" s="3">
        <v>14400000</v>
      </c>
    </row>
    <row r="244" spans="1:13" s="18" customFormat="1" hidden="1" outlineLevel="2">
      <c r="A244" s="19" t="s">
        <v>26</v>
      </c>
      <c r="B244" s="20" t="s">
        <v>210</v>
      </c>
      <c r="C244" s="21" t="s">
        <v>115</v>
      </c>
      <c r="D244" s="20" t="s">
        <v>114</v>
      </c>
      <c r="E244" s="3">
        <v>24000000</v>
      </c>
      <c r="F244" s="19">
        <v>44120</v>
      </c>
      <c r="G244" s="3">
        <v>24000000</v>
      </c>
      <c r="H244" s="2">
        <v>5.0000000000000001E-3</v>
      </c>
      <c r="I244" s="19">
        <v>44166</v>
      </c>
      <c r="J244" s="19">
        <v>44196</v>
      </c>
      <c r="K244" s="3">
        <f t="shared" ref="K244:K275" si="14">J244-I244+1</f>
        <v>31</v>
      </c>
      <c r="L244" s="3">
        <f t="shared" ref="L244:L275" si="15">ROUND(G244*H244*K244/366,0)</f>
        <v>10164</v>
      </c>
      <c r="M244" s="3">
        <v>24000000</v>
      </c>
    </row>
    <row r="245" spans="1:13" s="18" customFormat="1" hidden="1" outlineLevel="2">
      <c r="A245" s="19" t="s">
        <v>26</v>
      </c>
      <c r="B245" s="20" t="s">
        <v>209</v>
      </c>
      <c r="C245" s="21" t="s">
        <v>115</v>
      </c>
      <c r="D245" s="20" t="s">
        <v>114</v>
      </c>
      <c r="E245" s="3">
        <v>24000000</v>
      </c>
      <c r="F245" s="19">
        <v>44127</v>
      </c>
      <c r="G245" s="3">
        <v>24000000</v>
      </c>
      <c r="H245" s="2">
        <v>5.0000000000000001E-3</v>
      </c>
      <c r="I245" s="19">
        <v>44166</v>
      </c>
      <c r="J245" s="19">
        <v>44196</v>
      </c>
      <c r="K245" s="3">
        <f t="shared" si="14"/>
        <v>31</v>
      </c>
      <c r="L245" s="3">
        <f t="shared" si="15"/>
        <v>10164</v>
      </c>
      <c r="M245" s="3">
        <v>24000000</v>
      </c>
    </row>
    <row r="246" spans="1:13" s="18" customFormat="1" hidden="1" outlineLevel="2">
      <c r="A246" s="19" t="s">
        <v>26</v>
      </c>
      <c r="B246" s="20" t="s">
        <v>208</v>
      </c>
      <c r="C246" s="21" t="s">
        <v>192</v>
      </c>
      <c r="D246" s="20" t="s">
        <v>110</v>
      </c>
      <c r="E246" s="3">
        <v>5000000</v>
      </c>
      <c r="F246" s="19">
        <v>44134</v>
      </c>
      <c r="G246" s="3">
        <v>5000000</v>
      </c>
      <c r="H246" s="2">
        <v>5.0000000000000001E-3</v>
      </c>
      <c r="I246" s="19">
        <v>44166</v>
      </c>
      <c r="J246" s="19">
        <v>44196</v>
      </c>
      <c r="K246" s="3">
        <f t="shared" si="14"/>
        <v>31</v>
      </c>
      <c r="L246" s="3">
        <f t="shared" si="15"/>
        <v>2117</v>
      </c>
      <c r="M246" s="3">
        <v>5000000</v>
      </c>
    </row>
    <row r="247" spans="1:13" s="18" customFormat="1" hidden="1" outlineLevel="2">
      <c r="A247" s="19" t="s">
        <v>26</v>
      </c>
      <c r="B247" s="20" t="s">
        <v>249</v>
      </c>
      <c r="C247" s="21" t="s">
        <v>175</v>
      </c>
      <c r="D247" s="20" t="s">
        <v>174</v>
      </c>
      <c r="E247" s="3">
        <v>16000000</v>
      </c>
      <c r="F247" s="19">
        <v>44139</v>
      </c>
      <c r="G247" s="3">
        <v>16000000</v>
      </c>
      <c r="H247" s="2">
        <v>5.0000000000000001E-3</v>
      </c>
      <c r="I247" s="19">
        <v>44166</v>
      </c>
      <c r="J247" s="19">
        <v>44196</v>
      </c>
      <c r="K247" s="3">
        <f t="shared" si="14"/>
        <v>31</v>
      </c>
      <c r="L247" s="3">
        <f t="shared" si="15"/>
        <v>6776</v>
      </c>
      <c r="M247" s="3">
        <v>16000000</v>
      </c>
    </row>
    <row r="248" spans="1:13" s="18" customFormat="1" hidden="1" outlineLevel="2">
      <c r="A248" s="19" t="s">
        <v>26</v>
      </c>
      <c r="B248" s="20" t="s">
        <v>48</v>
      </c>
      <c r="C248" s="21" t="s">
        <v>27</v>
      </c>
      <c r="D248" s="20" t="s">
        <v>28</v>
      </c>
      <c r="E248" s="3">
        <v>1800000</v>
      </c>
      <c r="F248" s="19">
        <v>43876</v>
      </c>
      <c r="G248" s="3">
        <v>1800000</v>
      </c>
      <c r="H248" s="2">
        <v>5.0000000000000001E-3</v>
      </c>
      <c r="I248" s="19">
        <v>44166</v>
      </c>
      <c r="J248" s="19">
        <v>44196</v>
      </c>
      <c r="K248" s="3">
        <f t="shared" si="14"/>
        <v>31</v>
      </c>
      <c r="L248" s="3">
        <f t="shared" si="15"/>
        <v>762</v>
      </c>
      <c r="M248" s="3">
        <v>1800000</v>
      </c>
    </row>
    <row r="249" spans="1:13" s="18" customFormat="1" hidden="1" outlineLevel="2">
      <c r="A249" s="19" t="s">
        <v>26</v>
      </c>
      <c r="B249" s="20" t="s">
        <v>248</v>
      </c>
      <c r="C249" s="21" t="s">
        <v>175</v>
      </c>
      <c r="D249" s="20" t="s">
        <v>174</v>
      </c>
      <c r="E249" s="3">
        <v>6000000</v>
      </c>
      <c r="F249" s="19">
        <v>44145</v>
      </c>
      <c r="G249" s="3">
        <v>6000000</v>
      </c>
      <c r="H249" s="2">
        <v>5.0000000000000001E-3</v>
      </c>
      <c r="I249" s="19">
        <v>44166</v>
      </c>
      <c r="J249" s="19">
        <v>44196</v>
      </c>
      <c r="K249" s="3">
        <f t="shared" si="14"/>
        <v>31</v>
      </c>
      <c r="L249" s="3">
        <f t="shared" si="15"/>
        <v>2541</v>
      </c>
      <c r="M249" s="3">
        <v>6000000</v>
      </c>
    </row>
    <row r="250" spans="1:13" s="18" customFormat="1" hidden="1" outlineLevel="2">
      <c r="A250" s="19" t="s">
        <v>26</v>
      </c>
      <c r="B250" s="20" t="s">
        <v>247</v>
      </c>
      <c r="C250" s="21" t="s">
        <v>27</v>
      </c>
      <c r="D250" s="20" t="s">
        <v>28</v>
      </c>
      <c r="E250" s="3">
        <v>19000000</v>
      </c>
      <c r="F250" s="19">
        <v>44140</v>
      </c>
      <c r="G250" s="3">
        <v>19000000</v>
      </c>
      <c r="H250" s="2">
        <v>5.0000000000000001E-3</v>
      </c>
      <c r="I250" s="19">
        <v>44166</v>
      </c>
      <c r="J250" s="19">
        <v>44196</v>
      </c>
      <c r="K250" s="3">
        <f t="shared" si="14"/>
        <v>31</v>
      </c>
      <c r="L250" s="3">
        <f t="shared" si="15"/>
        <v>8046</v>
      </c>
      <c r="M250" s="3">
        <v>19000000</v>
      </c>
    </row>
    <row r="251" spans="1:13" s="18" customFormat="1" hidden="1" outlineLevel="2">
      <c r="A251" s="19" t="s">
        <v>26</v>
      </c>
      <c r="B251" s="20" t="s">
        <v>246</v>
      </c>
      <c r="C251" s="21" t="s">
        <v>27</v>
      </c>
      <c r="D251" s="20" t="s">
        <v>28</v>
      </c>
      <c r="E251" s="3">
        <v>1800000</v>
      </c>
      <c r="F251" s="19">
        <v>44165</v>
      </c>
      <c r="G251" s="3">
        <v>1800000</v>
      </c>
      <c r="H251" s="2">
        <v>5.0000000000000001E-3</v>
      </c>
      <c r="I251" s="19">
        <v>44166</v>
      </c>
      <c r="J251" s="19">
        <v>44196</v>
      </c>
      <c r="K251" s="3">
        <f t="shared" si="14"/>
        <v>31</v>
      </c>
      <c r="L251" s="3">
        <f t="shared" si="15"/>
        <v>762</v>
      </c>
      <c r="M251" s="3">
        <v>1800000</v>
      </c>
    </row>
    <row r="252" spans="1:13" s="18" customFormat="1" hidden="1" outlineLevel="2">
      <c r="A252" s="19" t="s">
        <v>26</v>
      </c>
      <c r="B252" s="20" t="s">
        <v>245</v>
      </c>
      <c r="C252" s="21" t="s">
        <v>27</v>
      </c>
      <c r="D252" s="20" t="s">
        <v>28</v>
      </c>
      <c r="E252" s="3">
        <v>5500000</v>
      </c>
      <c r="F252" s="19">
        <v>44165</v>
      </c>
      <c r="G252" s="3">
        <v>5500000</v>
      </c>
      <c r="H252" s="2">
        <v>5.0000000000000001E-3</v>
      </c>
      <c r="I252" s="19">
        <v>44166</v>
      </c>
      <c r="J252" s="19">
        <v>44196</v>
      </c>
      <c r="K252" s="3">
        <f t="shared" si="14"/>
        <v>31</v>
      </c>
      <c r="L252" s="3">
        <f t="shared" si="15"/>
        <v>2329</v>
      </c>
      <c r="M252" s="3">
        <v>5500000</v>
      </c>
    </row>
    <row r="253" spans="1:13" s="18" customFormat="1" hidden="1" outlineLevel="2">
      <c r="A253" s="19" t="s">
        <v>26</v>
      </c>
      <c r="B253" s="20" t="s">
        <v>244</v>
      </c>
      <c r="C253" s="21" t="s">
        <v>27</v>
      </c>
      <c r="D253" s="20" t="s">
        <v>28</v>
      </c>
      <c r="E253" s="3">
        <v>8600000</v>
      </c>
      <c r="F253" s="19">
        <v>44165</v>
      </c>
      <c r="G253" s="3">
        <v>8600000</v>
      </c>
      <c r="H253" s="2">
        <v>5.0000000000000001E-3</v>
      </c>
      <c r="I253" s="19">
        <v>44166</v>
      </c>
      <c r="J253" s="19">
        <v>44196</v>
      </c>
      <c r="K253" s="3">
        <f t="shared" si="14"/>
        <v>31</v>
      </c>
      <c r="L253" s="3">
        <f t="shared" si="15"/>
        <v>3642</v>
      </c>
      <c r="M253" s="3">
        <v>8600000</v>
      </c>
    </row>
    <row r="254" spans="1:13" s="18" customFormat="1" hidden="1" outlineLevel="2">
      <c r="A254" s="19" t="s">
        <v>26</v>
      </c>
      <c r="B254" s="20" t="s">
        <v>243</v>
      </c>
      <c r="C254" s="21" t="s">
        <v>128</v>
      </c>
      <c r="D254" s="20" t="s">
        <v>127</v>
      </c>
      <c r="E254" s="3">
        <v>150000000</v>
      </c>
      <c r="F254" s="19">
        <v>44144</v>
      </c>
      <c r="G254" s="3">
        <v>150000000</v>
      </c>
      <c r="H254" s="2">
        <v>5.0000000000000001E-3</v>
      </c>
      <c r="I254" s="19">
        <v>44166</v>
      </c>
      <c r="J254" s="19">
        <v>44196</v>
      </c>
      <c r="K254" s="3">
        <f t="shared" si="14"/>
        <v>31</v>
      </c>
      <c r="L254" s="3">
        <f t="shared" si="15"/>
        <v>63525</v>
      </c>
      <c r="M254" s="3">
        <v>150000000</v>
      </c>
    </row>
    <row r="255" spans="1:13" s="18" customFormat="1" hidden="1" outlineLevel="2">
      <c r="A255" s="19" t="s">
        <v>26</v>
      </c>
      <c r="B255" s="20" t="s">
        <v>242</v>
      </c>
      <c r="C255" s="21" t="s">
        <v>115</v>
      </c>
      <c r="D255" s="20" t="s">
        <v>114</v>
      </c>
      <c r="E255" s="3">
        <v>2500000</v>
      </c>
      <c r="F255" s="19">
        <v>44147</v>
      </c>
      <c r="G255" s="3">
        <v>2500000</v>
      </c>
      <c r="H255" s="2">
        <v>5.0000000000000001E-3</v>
      </c>
      <c r="I255" s="19">
        <v>44166</v>
      </c>
      <c r="J255" s="19">
        <v>44196</v>
      </c>
      <c r="K255" s="3">
        <f t="shared" si="14"/>
        <v>31</v>
      </c>
      <c r="L255" s="3">
        <f t="shared" si="15"/>
        <v>1059</v>
      </c>
      <c r="M255" s="3">
        <v>2500000</v>
      </c>
    </row>
    <row r="256" spans="1:13" s="18" customFormat="1" hidden="1" outlineLevel="2">
      <c r="A256" s="19" t="s">
        <v>26</v>
      </c>
      <c r="B256" s="20" t="s">
        <v>241</v>
      </c>
      <c r="C256" s="21" t="s">
        <v>115</v>
      </c>
      <c r="D256" s="20" t="s">
        <v>114</v>
      </c>
      <c r="E256" s="3">
        <v>18000000</v>
      </c>
      <c r="F256" s="19">
        <v>44158</v>
      </c>
      <c r="G256" s="3">
        <v>18000000</v>
      </c>
      <c r="H256" s="2">
        <v>5.0000000000000001E-3</v>
      </c>
      <c r="I256" s="19">
        <v>44166</v>
      </c>
      <c r="J256" s="19">
        <v>44196</v>
      </c>
      <c r="K256" s="3">
        <f t="shared" si="14"/>
        <v>31</v>
      </c>
      <c r="L256" s="3">
        <f t="shared" si="15"/>
        <v>7623</v>
      </c>
      <c r="M256" s="3">
        <v>18000000</v>
      </c>
    </row>
    <row r="257" spans="1:13" s="18" customFormat="1" hidden="1" outlineLevel="2">
      <c r="A257" s="19" t="s">
        <v>26</v>
      </c>
      <c r="B257" s="20" t="s">
        <v>240</v>
      </c>
      <c r="C257" s="21" t="s">
        <v>33</v>
      </c>
      <c r="D257" s="20" t="s">
        <v>34</v>
      </c>
      <c r="E257" s="3">
        <v>1764000</v>
      </c>
      <c r="F257" s="19">
        <v>44147</v>
      </c>
      <c r="G257" s="3">
        <v>1764000</v>
      </c>
      <c r="H257" s="2">
        <v>5.0000000000000001E-3</v>
      </c>
      <c r="I257" s="19">
        <v>44166</v>
      </c>
      <c r="J257" s="19">
        <v>44196</v>
      </c>
      <c r="K257" s="3">
        <f t="shared" si="14"/>
        <v>31</v>
      </c>
      <c r="L257" s="3">
        <f t="shared" si="15"/>
        <v>747</v>
      </c>
      <c r="M257" s="3">
        <v>1764000</v>
      </c>
    </row>
    <row r="258" spans="1:13" s="18" customFormat="1" hidden="1" outlineLevel="2">
      <c r="A258" s="19" t="s">
        <v>26</v>
      </c>
      <c r="B258" s="20" t="s">
        <v>239</v>
      </c>
      <c r="C258" s="21" t="s">
        <v>156</v>
      </c>
      <c r="D258" s="20" t="s">
        <v>155</v>
      </c>
      <c r="E258" s="3">
        <v>15000000</v>
      </c>
      <c r="F258" s="19">
        <v>44153</v>
      </c>
      <c r="G258" s="3">
        <v>15000000</v>
      </c>
      <c r="H258" s="2">
        <v>5.0000000000000001E-3</v>
      </c>
      <c r="I258" s="19">
        <v>44166</v>
      </c>
      <c r="J258" s="19">
        <v>44179</v>
      </c>
      <c r="K258" s="3">
        <f t="shared" si="14"/>
        <v>14</v>
      </c>
      <c r="L258" s="3">
        <f t="shared" si="15"/>
        <v>2869</v>
      </c>
      <c r="M258" s="3">
        <v>14869565</v>
      </c>
    </row>
    <row r="259" spans="1:13" s="18" customFormat="1" hidden="1" outlineLevel="2">
      <c r="A259" s="19" t="s">
        <v>26</v>
      </c>
      <c r="B259" s="20" t="s">
        <v>239</v>
      </c>
      <c r="C259" s="21" t="s">
        <v>156</v>
      </c>
      <c r="D259" s="20"/>
      <c r="E259" s="3"/>
      <c r="F259" s="19"/>
      <c r="G259" s="3">
        <v>14869565</v>
      </c>
      <c r="H259" s="2">
        <v>5.0000000000000001E-3</v>
      </c>
      <c r="I259" s="19">
        <v>44180</v>
      </c>
      <c r="J259" s="19">
        <v>44196</v>
      </c>
      <c r="K259" s="3">
        <f t="shared" si="14"/>
        <v>17</v>
      </c>
      <c r="L259" s="3">
        <f t="shared" si="15"/>
        <v>3453</v>
      </c>
      <c r="M259" s="3"/>
    </row>
    <row r="260" spans="1:13" s="18" customFormat="1" hidden="1" outlineLevel="2">
      <c r="A260" s="19" t="s">
        <v>26</v>
      </c>
      <c r="B260" s="20" t="s">
        <v>59</v>
      </c>
      <c r="C260" s="21" t="s">
        <v>72</v>
      </c>
      <c r="D260" s="20" t="s">
        <v>71</v>
      </c>
      <c r="E260" s="3">
        <v>30000000</v>
      </c>
      <c r="F260" s="19">
        <v>43906</v>
      </c>
      <c r="G260" s="3">
        <v>30000000</v>
      </c>
      <c r="H260" s="2">
        <v>5.0000000000000001E-3</v>
      </c>
      <c r="I260" s="19">
        <v>44166</v>
      </c>
      <c r="J260" s="19">
        <v>44196</v>
      </c>
      <c r="K260" s="3">
        <f t="shared" si="14"/>
        <v>31</v>
      </c>
      <c r="L260" s="3">
        <f t="shared" si="15"/>
        <v>12705</v>
      </c>
      <c r="M260" s="3">
        <v>30000000</v>
      </c>
    </row>
    <row r="261" spans="1:13" s="18" customFormat="1" hidden="1" outlineLevel="2">
      <c r="A261" s="19" t="s">
        <v>26</v>
      </c>
      <c r="B261" s="20" t="s">
        <v>238</v>
      </c>
      <c r="C261" s="21" t="s">
        <v>126</v>
      </c>
      <c r="D261" s="20" t="s">
        <v>125</v>
      </c>
      <c r="E261" s="3">
        <v>13481921</v>
      </c>
      <c r="F261" s="19">
        <v>44158</v>
      </c>
      <c r="G261" s="3">
        <v>13481921</v>
      </c>
      <c r="H261" s="2">
        <v>5.0000000000000001E-3</v>
      </c>
      <c r="I261" s="19">
        <v>44166</v>
      </c>
      <c r="J261" s="19">
        <v>44196</v>
      </c>
      <c r="K261" s="3">
        <f t="shared" si="14"/>
        <v>31</v>
      </c>
      <c r="L261" s="3">
        <f t="shared" si="15"/>
        <v>5710</v>
      </c>
      <c r="M261" s="3">
        <v>13481921</v>
      </c>
    </row>
    <row r="262" spans="1:13" s="18" customFormat="1" hidden="1" outlineLevel="2">
      <c r="A262" s="19" t="s">
        <v>26</v>
      </c>
      <c r="B262" s="20" t="s">
        <v>237</v>
      </c>
      <c r="C262" s="21" t="s">
        <v>205</v>
      </c>
      <c r="D262" s="20" t="s">
        <v>204</v>
      </c>
      <c r="E262" s="3">
        <v>2682500</v>
      </c>
      <c r="F262" s="19">
        <v>44165</v>
      </c>
      <c r="G262" s="3">
        <v>2682500</v>
      </c>
      <c r="H262" s="2">
        <v>5.0000000000000001E-3</v>
      </c>
      <c r="I262" s="19">
        <v>44166</v>
      </c>
      <c r="J262" s="19">
        <v>44196</v>
      </c>
      <c r="K262" s="3">
        <f t="shared" si="14"/>
        <v>31</v>
      </c>
      <c r="L262" s="3">
        <f t="shared" si="15"/>
        <v>1136</v>
      </c>
      <c r="M262" s="3">
        <v>2682500</v>
      </c>
    </row>
    <row r="263" spans="1:13" s="18" customFormat="1" hidden="1" outlineLevel="2">
      <c r="A263" s="19" t="s">
        <v>26</v>
      </c>
      <c r="B263" s="20" t="s">
        <v>236</v>
      </c>
      <c r="C263" s="21" t="s">
        <v>205</v>
      </c>
      <c r="D263" s="20" t="s">
        <v>204</v>
      </c>
      <c r="E263" s="3">
        <v>8047500</v>
      </c>
      <c r="F263" s="19">
        <v>44165</v>
      </c>
      <c r="G263" s="3">
        <v>8047500</v>
      </c>
      <c r="H263" s="2">
        <v>5.0000000000000001E-3</v>
      </c>
      <c r="I263" s="19">
        <v>44166</v>
      </c>
      <c r="J263" s="19">
        <v>44196</v>
      </c>
      <c r="K263" s="3">
        <f t="shared" si="14"/>
        <v>31</v>
      </c>
      <c r="L263" s="3">
        <f t="shared" si="15"/>
        <v>3408</v>
      </c>
      <c r="M263" s="3">
        <v>8047500</v>
      </c>
    </row>
    <row r="264" spans="1:13" s="18" customFormat="1" hidden="1" outlineLevel="2">
      <c r="A264" s="19" t="s">
        <v>26</v>
      </c>
      <c r="B264" s="20" t="s">
        <v>282</v>
      </c>
      <c r="C264" s="21" t="s">
        <v>175</v>
      </c>
      <c r="D264" s="20" t="s">
        <v>174</v>
      </c>
      <c r="E264" s="3">
        <v>15600000</v>
      </c>
      <c r="F264" s="19">
        <v>44168</v>
      </c>
      <c r="G264" s="3">
        <v>15600000</v>
      </c>
      <c r="H264" s="2">
        <v>5.0000000000000001E-3</v>
      </c>
      <c r="I264" s="19">
        <v>44168</v>
      </c>
      <c r="J264" s="19">
        <v>44196</v>
      </c>
      <c r="K264" s="3">
        <f t="shared" si="14"/>
        <v>29</v>
      </c>
      <c r="L264" s="3">
        <f t="shared" si="15"/>
        <v>6180</v>
      </c>
      <c r="M264" s="3">
        <v>15600000</v>
      </c>
    </row>
    <row r="265" spans="1:13" s="18" customFormat="1" hidden="1" outlineLevel="2">
      <c r="A265" s="19" t="s">
        <v>26</v>
      </c>
      <c r="B265" s="20" t="s">
        <v>281</v>
      </c>
      <c r="C265" s="21" t="s">
        <v>175</v>
      </c>
      <c r="D265" s="20" t="s">
        <v>174</v>
      </c>
      <c r="E265" s="3">
        <v>4400000</v>
      </c>
      <c r="F265" s="19">
        <v>44173</v>
      </c>
      <c r="G265" s="3">
        <v>4400000</v>
      </c>
      <c r="H265" s="2">
        <v>5.0000000000000001E-3</v>
      </c>
      <c r="I265" s="19">
        <v>44173</v>
      </c>
      <c r="J265" s="19">
        <v>44196</v>
      </c>
      <c r="K265" s="3">
        <f t="shared" si="14"/>
        <v>24</v>
      </c>
      <c r="L265" s="3">
        <f t="shared" si="15"/>
        <v>1443</v>
      </c>
      <c r="M265" s="3">
        <v>4400000</v>
      </c>
    </row>
    <row r="266" spans="1:13" s="18" customFormat="1" hidden="1" outlineLevel="2">
      <c r="A266" s="19" t="s">
        <v>26</v>
      </c>
      <c r="B266" s="20" t="s">
        <v>280</v>
      </c>
      <c r="C266" s="21" t="s">
        <v>214</v>
      </c>
      <c r="D266" s="20" t="s">
        <v>213</v>
      </c>
      <c r="E266" s="3">
        <v>88900000</v>
      </c>
      <c r="F266" s="19">
        <v>44169</v>
      </c>
      <c r="G266" s="3">
        <v>88900000</v>
      </c>
      <c r="H266" s="2">
        <v>5.0000000000000001E-3</v>
      </c>
      <c r="I266" s="19">
        <v>44169</v>
      </c>
      <c r="J266" s="19">
        <v>44196</v>
      </c>
      <c r="K266" s="3">
        <f t="shared" si="14"/>
        <v>28</v>
      </c>
      <c r="L266" s="3">
        <f t="shared" si="15"/>
        <v>34005</v>
      </c>
      <c r="M266" s="3">
        <v>88900000</v>
      </c>
    </row>
    <row r="267" spans="1:13" s="18" customFormat="1" hidden="1" outlineLevel="2">
      <c r="A267" s="19" t="s">
        <v>26</v>
      </c>
      <c r="B267" s="20" t="s">
        <v>279</v>
      </c>
      <c r="C267" s="21" t="s">
        <v>156</v>
      </c>
      <c r="D267" s="20" t="s">
        <v>155</v>
      </c>
      <c r="E267" s="3">
        <v>7300000</v>
      </c>
      <c r="F267" s="19">
        <v>44173</v>
      </c>
      <c r="G267" s="3">
        <v>7300000</v>
      </c>
      <c r="H267" s="2">
        <v>5.0000000000000001E-3</v>
      </c>
      <c r="I267" s="19">
        <v>44173</v>
      </c>
      <c r="J267" s="19">
        <v>44196</v>
      </c>
      <c r="K267" s="3">
        <f t="shared" si="14"/>
        <v>24</v>
      </c>
      <c r="L267" s="3">
        <f t="shared" si="15"/>
        <v>2393</v>
      </c>
      <c r="M267" s="3">
        <v>7300000</v>
      </c>
    </row>
    <row r="268" spans="1:13" s="18" customFormat="1" hidden="1" outlineLevel="2">
      <c r="A268" s="19" t="s">
        <v>26</v>
      </c>
      <c r="B268" s="20" t="s">
        <v>278</v>
      </c>
      <c r="C268" s="21" t="s">
        <v>33</v>
      </c>
      <c r="D268" s="20" t="s">
        <v>34</v>
      </c>
      <c r="E268" s="3">
        <v>2184000</v>
      </c>
      <c r="F268" s="19">
        <v>44174</v>
      </c>
      <c r="G268" s="3">
        <v>2184000</v>
      </c>
      <c r="H268" s="2">
        <v>5.0000000000000001E-3</v>
      </c>
      <c r="I268" s="19">
        <v>44174</v>
      </c>
      <c r="J268" s="19">
        <v>44196</v>
      </c>
      <c r="K268" s="3">
        <f t="shared" si="14"/>
        <v>23</v>
      </c>
      <c r="L268" s="3">
        <f t="shared" si="15"/>
        <v>686</v>
      </c>
      <c r="M268" s="3">
        <v>2184000</v>
      </c>
    </row>
    <row r="269" spans="1:13" s="18" customFormat="1" hidden="1" outlineLevel="2">
      <c r="A269" s="19" t="s">
        <v>26</v>
      </c>
      <c r="B269" s="20" t="s">
        <v>277</v>
      </c>
      <c r="C269" s="21" t="s">
        <v>33</v>
      </c>
      <c r="D269" s="20" t="s">
        <v>34</v>
      </c>
      <c r="E269" s="3">
        <v>20764000</v>
      </c>
      <c r="F269" s="19">
        <v>44176</v>
      </c>
      <c r="G269" s="3">
        <v>20764000</v>
      </c>
      <c r="H269" s="2">
        <v>5.0000000000000001E-3</v>
      </c>
      <c r="I269" s="19">
        <v>44176</v>
      </c>
      <c r="J269" s="19">
        <v>44196</v>
      </c>
      <c r="K269" s="3">
        <f t="shared" si="14"/>
        <v>21</v>
      </c>
      <c r="L269" s="3">
        <f t="shared" si="15"/>
        <v>5957</v>
      </c>
      <c r="M269" s="3">
        <v>20764000</v>
      </c>
    </row>
    <row r="270" spans="1:13" s="18" customFormat="1" hidden="1" outlineLevel="2">
      <c r="A270" s="19" t="s">
        <v>26</v>
      </c>
      <c r="B270" s="20" t="s">
        <v>276</v>
      </c>
      <c r="C270" s="21" t="s">
        <v>33</v>
      </c>
      <c r="D270" s="20" t="s">
        <v>34</v>
      </c>
      <c r="E270" s="3">
        <v>2423030</v>
      </c>
      <c r="F270" s="19">
        <v>44190</v>
      </c>
      <c r="G270" s="3">
        <v>2423030</v>
      </c>
      <c r="H270" s="2">
        <v>5.0000000000000001E-3</v>
      </c>
      <c r="I270" s="19">
        <v>44190</v>
      </c>
      <c r="J270" s="19">
        <v>44196</v>
      </c>
      <c r="K270" s="3">
        <f t="shared" si="14"/>
        <v>7</v>
      </c>
      <c r="L270" s="3">
        <f t="shared" si="15"/>
        <v>232</v>
      </c>
      <c r="M270" s="3">
        <v>2423030</v>
      </c>
    </row>
    <row r="271" spans="1:13" s="18" customFormat="1" hidden="1" outlineLevel="2">
      <c r="A271" s="19" t="s">
        <v>26</v>
      </c>
      <c r="B271" s="20" t="s">
        <v>58</v>
      </c>
      <c r="C271" s="21" t="s">
        <v>72</v>
      </c>
      <c r="D271" s="20" t="s">
        <v>71</v>
      </c>
      <c r="E271" s="3">
        <v>50000000</v>
      </c>
      <c r="F271" s="19">
        <v>43908</v>
      </c>
      <c r="G271" s="3">
        <v>50000000</v>
      </c>
      <c r="H271" s="2">
        <v>5.0000000000000001E-3</v>
      </c>
      <c r="I271" s="19">
        <v>44166</v>
      </c>
      <c r="J271" s="19">
        <v>44196</v>
      </c>
      <c r="K271" s="3">
        <f t="shared" si="14"/>
        <v>31</v>
      </c>
      <c r="L271" s="3">
        <f t="shared" si="15"/>
        <v>21175</v>
      </c>
      <c r="M271" s="3">
        <v>50000000</v>
      </c>
    </row>
    <row r="272" spans="1:13" s="18" customFormat="1" hidden="1" outlineLevel="2">
      <c r="A272" s="19" t="s">
        <v>26</v>
      </c>
      <c r="B272" s="20" t="s">
        <v>275</v>
      </c>
      <c r="C272" s="21" t="s">
        <v>33</v>
      </c>
      <c r="D272" s="20" t="s">
        <v>34</v>
      </c>
      <c r="E272" s="3">
        <v>5653738</v>
      </c>
      <c r="F272" s="19">
        <v>44196</v>
      </c>
      <c r="G272" s="3">
        <v>5653738</v>
      </c>
      <c r="H272" s="2">
        <v>5.0000000000000001E-3</v>
      </c>
      <c r="I272" s="19">
        <v>44196</v>
      </c>
      <c r="J272" s="19">
        <v>44196</v>
      </c>
      <c r="K272" s="3">
        <f t="shared" si="14"/>
        <v>1</v>
      </c>
      <c r="L272" s="3">
        <f t="shared" si="15"/>
        <v>77</v>
      </c>
      <c r="M272" s="3">
        <v>5653738</v>
      </c>
    </row>
    <row r="273" spans="1:13" s="18" customFormat="1" hidden="1" outlineLevel="2">
      <c r="A273" s="19" t="s">
        <v>26</v>
      </c>
      <c r="B273" s="20" t="s">
        <v>274</v>
      </c>
      <c r="C273" s="21" t="s">
        <v>273</v>
      </c>
      <c r="D273" s="20" t="s">
        <v>272</v>
      </c>
      <c r="E273" s="3">
        <v>200000000</v>
      </c>
      <c r="F273" s="19">
        <v>44190</v>
      </c>
      <c r="G273" s="3">
        <v>200000000</v>
      </c>
      <c r="H273" s="2">
        <v>5.0000000000000001E-3</v>
      </c>
      <c r="I273" s="19">
        <v>44190</v>
      </c>
      <c r="J273" s="19">
        <v>44196</v>
      </c>
      <c r="K273" s="3">
        <f t="shared" si="14"/>
        <v>7</v>
      </c>
      <c r="L273" s="3">
        <f t="shared" si="15"/>
        <v>19126</v>
      </c>
      <c r="M273" s="3">
        <v>200000000</v>
      </c>
    </row>
    <row r="274" spans="1:13" s="18" customFormat="1" hidden="1" outlineLevel="2">
      <c r="A274" s="19" t="s">
        <v>26</v>
      </c>
      <c r="B274" s="20" t="s">
        <v>271</v>
      </c>
      <c r="C274" s="21" t="s">
        <v>270</v>
      </c>
      <c r="D274" s="20" t="s">
        <v>269</v>
      </c>
      <c r="E274" s="3">
        <v>14160000</v>
      </c>
      <c r="F274" s="19">
        <v>44190</v>
      </c>
      <c r="G274" s="3">
        <v>14160000</v>
      </c>
      <c r="H274" s="2">
        <v>5.0000000000000001E-3</v>
      </c>
      <c r="I274" s="19">
        <v>44190</v>
      </c>
      <c r="J274" s="19">
        <v>44196</v>
      </c>
      <c r="K274" s="3">
        <f t="shared" si="14"/>
        <v>7</v>
      </c>
      <c r="L274" s="3">
        <f t="shared" si="15"/>
        <v>1354</v>
      </c>
      <c r="M274" s="3">
        <v>14160000</v>
      </c>
    </row>
    <row r="275" spans="1:13" s="18" customFormat="1" hidden="1" outlineLevel="2">
      <c r="A275" s="19" t="s">
        <v>26</v>
      </c>
      <c r="B275" s="20" t="s">
        <v>268</v>
      </c>
      <c r="C275" s="21" t="s">
        <v>126</v>
      </c>
      <c r="D275" s="20" t="s">
        <v>125</v>
      </c>
      <c r="E275" s="3">
        <v>13481921</v>
      </c>
      <c r="F275" s="19">
        <v>44190</v>
      </c>
      <c r="G275" s="3">
        <v>13481921</v>
      </c>
      <c r="H275" s="2">
        <v>5.0000000000000001E-3</v>
      </c>
      <c r="I275" s="19">
        <v>44190</v>
      </c>
      <c r="J275" s="19">
        <v>44196</v>
      </c>
      <c r="K275" s="3">
        <f t="shared" si="14"/>
        <v>7</v>
      </c>
      <c r="L275" s="3">
        <f t="shared" si="15"/>
        <v>1289</v>
      </c>
      <c r="M275" s="3">
        <v>13481921</v>
      </c>
    </row>
    <row r="276" spans="1:13" s="18" customFormat="1" hidden="1" outlineLevel="2">
      <c r="A276" s="19" t="s">
        <v>26</v>
      </c>
      <c r="B276" s="20" t="s">
        <v>267</v>
      </c>
      <c r="C276" s="21" t="s">
        <v>27</v>
      </c>
      <c r="D276" s="20" t="s">
        <v>28</v>
      </c>
      <c r="E276" s="3">
        <v>1800000</v>
      </c>
      <c r="F276" s="19">
        <v>44190</v>
      </c>
      <c r="G276" s="3">
        <v>1800000</v>
      </c>
      <c r="H276" s="2">
        <v>5.0000000000000001E-3</v>
      </c>
      <c r="I276" s="19">
        <v>44190</v>
      </c>
      <c r="J276" s="19">
        <v>44196</v>
      </c>
      <c r="K276" s="3">
        <f t="shared" ref="K276:K278" si="16">J276-I276+1</f>
        <v>7</v>
      </c>
      <c r="L276" s="3">
        <f t="shared" ref="L276:L278" si="17">ROUND(G276*H276*K276/366,0)</f>
        <v>172</v>
      </c>
      <c r="M276" s="3">
        <v>1800000</v>
      </c>
    </row>
    <row r="277" spans="1:13" s="18" customFormat="1" hidden="1" outlineLevel="2">
      <c r="A277" s="19" t="s">
        <v>26</v>
      </c>
      <c r="B277" s="20" t="s">
        <v>266</v>
      </c>
      <c r="C277" s="21" t="s">
        <v>27</v>
      </c>
      <c r="D277" s="20" t="s">
        <v>28</v>
      </c>
      <c r="E277" s="3">
        <v>8300000</v>
      </c>
      <c r="F277" s="19">
        <v>44196</v>
      </c>
      <c r="G277" s="3">
        <v>8300000</v>
      </c>
      <c r="H277" s="2">
        <v>5.0000000000000001E-3</v>
      </c>
      <c r="I277" s="19">
        <v>44196</v>
      </c>
      <c r="J277" s="19">
        <v>44196</v>
      </c>
      <c r="K277" s="3">
        <f t="shared" si="16"/>
        <v>1</v>
      </c>
      <c r="L277" s="3">
        <f t="shared" si="17"/>
        <v>113</v>
      </c>
      <c r="M277" s="3">
        <v>8300000</v>
      </c>
    </row>
    <row r="278" spans="1:13" s="18" customFormat="1" hidden="1" outlineLevel="2">
      <c r="A278" s="19" t="s">
        <v>26</v>
      </c>
      <c r="B278" s="20" t="s">
        <v>265</v>
      </c>
      <c r="C278" s="21" t="s">
        <v>154</v>
      </c>
      <c r="D278" s="20" t="s">
        <v>153</v>
      </c>
      <c r="E278" s="3">
        <v>39740000</v>
      </c>
      <c r="F278" s="19">
        <v>44195</v>
      </c>
      <c r="G278" s="3">
        <v>39740000</v>
      </c>
      <c r="H278" s="2">
        <v>5.0000000000000001E-3</v>
      </c>
      <c r="I278" s="19">
        <v>44195</v>
      </c>
      <c r="J278" s="19">
        <v>44196</v>
      </c>
      <c r="K278" s="3">
        <f t="shared" si="16"/>
        <v>2</v>
      </c>
      <c r="L278" s="3">
        <f t="shared" si="17"/>
        <v>1086</v>
      </c>
      <c r="M278" s="3">
        <v>39740000</v>
      </c>
    </row>
    <row r="279" spans="1:13" s="18" customFormat="1" ht="13.5" hidden="1" outlineLevel="1" collapsed="1">
      <c r="A279" s="22" t="s">
        <v>35</v>
      </c>
      <c r="B279" s="23"/>
      <c r="C279" s="24"/>
      <c r="D279" s="23"/>
      <c r="E279" s="25">
        <f>SUBTOTAL(9,E180:E278)</f>
        <v>0</v>
      </c>
      <c r="F279" s="26"/>
      <c r="G279" s="25"/>
      <c r="H279" s="27"/>
      <c r="I279" s="26"/>
      <c r="J279" s="26"/>
      <c r="K279" s="25"/>
      <c r="L279" s="25">
        <f>SUBTOTAL(9,L180:L278)</f>
        <v>0</v>
      </c>
      <c r="M279" s="25">
        <f>SUBTOTAL(9,M180:M278)</f>
        <v>0</v>
      </c>
    </row>
    <row r="280" spans="1:13" s="18" customFormat="1" hidden="1" outlineLevel="2">
      <c r="A280" s="19" t="s">
        <v>170</v>
      </c>
      <c r="B280" s="20" t="s">
        <v>16</v>
      </c>
      <c r="C280" s="21" t="s">
        <v>72</v>
      </c>
      <c r="D280" s="20" t="s">
        <v>71</v>
      </c>
      <c r="E280" s="3">
        <v>1210000</v>
      </c>
      <c r="F280" s="19">
        <v>44061</v>
      </c>
      <c r="G280" s="3">
        <v>1210000</v>
      </c>
      <c r="H280" s="2">
        <v>5.0000000000000001E-3</v>
      </c>
      <c r="I280" s="19">
        <v>44166</v>
      </c>
      <c r="J280" s="19">
        <v>44196</v>
      </c>
      <c r="K280" s="3">
        <f>J280-I280+1</f>
        <v>31</v>
      </c>
      <c r="L280" s="3">
        <f>ROUND(G280*H280*K280/366,0)</f>
        <v>512</v>
      </c>
      <c r="M280" s="3">
        <v>1210000</v>
      </c>
    </row>
    <row r="281" spans="1:13" s="18" customFormat="1" ht="13.5" hidden="1" outlineLevel="1" collapsed="1">
      <c r="A281" s="22" t="s">
        <v>169</v>
      </c>
      <c r="B281" s="23"/>
      <c r="C281" s="24"/>
      <c r="D281" s="23"/>
      <c r="E281" s="25">
        <f>SUBTOTAL(9,E280:E280)</f>
        <v>0</v>
      </c>
      <c r="F281" s="26"/>
      <c r="G281" s="25"/>
      <c r="H281" s="27"/>
      <c r="I281" s="26"/>
      <c r="J281" s="26"/>
      <c r="K281" s="25"/>
      <c r="L281" s="25">
        <f>SUBTOTAL(9,L280:L280)</f>
        <v>0</v>
      </c>
      <c r="M281" s="25">
        <f>SUBTOTAL(9,M280:M280)</f>
        <v>0</v>
      </c>
    </row>
    <row r="282" spans="1:13" s="18" customFormat="1" outlineLevel="2">
      <c r="A282" s="19" t="s">
        <v>36</v>
      </c>
      <c r="B282" s="20" t="s">
        <v>16</v>
      </c>
      <c r="C282" s="21" t="s">
        <v>17</v>
      </c>
      <c r="D282" s="20" t="s">
        <v>18</v>
      </c>
      <c r="E282" s="3">
        <v>150000000</v>
      </c>
      <c r="F282" s="19">
        <v>43829</v>
      </c>
      <c r="G282" s="3">
        <v>122500000</v>
      </c>
      <c r="H282" s="2">
        <v>5.0000000000000001E-3</v>
      </c>
      <c r="I282" s="19">
        <v>44166</v>
      </c>
      <c r="J282" s="19">
        <v>44179</v>
      </c>
      <c r="K282" s="3">
        <f t="shared" ref="K282:K304" si="18">J282-I282+1</f>
        <v>14</v>
      </c>
      <c r="L282" s="3">
        <f t="shared" ref="L282:L304" si="19">ROUND(G282*H282*K282/366,0)</f>
        <v>23429</v>
      </c>
      <c r="M282" s="3">
        <v>120000000</v>
      </c>
    </row>
    <row r="283" spans="1:13" s="18" customFormat="1" outlineLevel="2">
      <c r="A283" s="19" t="s">
        <v>36</v>
      </c>
      <c r="B283" s="20" t="s">
        <v>16</v>
      </c>
      <c r="C283" s="21" t="s">
        <v>17</v>
      </c>
      <c r="D283" s="20"/>
      <c r="E283" s="3"/>
      <c r="F283" s="19"/>
      <c r="G283" s="3">
        <v>120000000</v>
      </c>
      <c r="H283" s="2">
        <v>5.0000000000000001E-3</v>
      </c>
      <c r="I283" s="19">
        <v>44180</v>
      </c>
      <c r="J283" s="19">
        <v>44196</v>
      </c>
      <c r="K283" s="3">
        <f t="shared" si="18"/>
        <v>17</v>
      </c>
      <c r="L283" s="3">
        <f t="shared" si="19"/>
        <v>27869</v>
      </c>
      <c r="M283" s="3"/>
    </row>
    <row r="284" spans="1:13" s="18" customFormat="1" outlineLevel="2">
      <c r="A284" s="19" t="s">
        <v>36</v>
      </c>
      <c r="B284" s="20" t="s">
        <v>61</v>
      </c>
      <c r="C284" s="21" t="s">
        <v>17</v>
      </c>
      <c r="D284" s="20" t="s">
        <v>18</v>
      </c>
      <c r="E284" s="3">
        <v>9460000</v>
      </c>
      <c r="F284" s="19">
        <v>43990</v>
      </c>
      <c r="G284" s="3">
        <v>8428000</v>
      </c>
      <c r="H284" s="2">
        <v>5.0000000000000001E-3</v>
      </c>
      <c r="I284" s="19">
        <v>44166</v>
      </c>
      <c r="J284" s="19">
        <v>44179</v>
      </c>
      <c r="K284" s="3">
        <f t="shared" si="18"/>
        <v>14</v>
      </c>
      <c r="L284" s="3">
        <f t="shared" si="19"/>
        <v>1612</v>
      </c>
      <c r="M284" s="3">
        <v>8256000</v>
      </c>
    </row>
    <row r="285" spans="1:13" s="18" customFormat="1" outlineLevel="2">
      <c r="A285" s="19" t="s">
        <v>36</v>
      </c>
      <c r="B285" s="20" t="s">
        <v>61</v>
      </c>
      <c r="C285" s="21" t="s">
        <v>17</v>
      </c>
      <c r="D285" s="20"/>
      <c r="E285" s="3"/>
      <c r="F285" s="19"/>
      <c r="G285" s="3">
        <v>8256000</v>
      </c>
      <c r="H285" s="2">
        <v>5.0000000000000001E-3</v>
      </c>
      <c r="I285" s="19">
        <v>44180</v>
      </c>
      <c r="J285" s="19">
        <v>44196</v>
      </c>
      <c r="K285" s="3">
        <f t="shared" si="18"/>
        <v>17</v>
      </c>
      <c r="L285" s="3">
        <f t="shared" si="19"/>
        <v>1917</v>
      </c>
      <c r="M285" s="3"/>
    </row>
    <row r="286" spans="1:13" s="18" customFormat="1" hidden="1" outlineLevel="2">
      <c r="A286" s="19" t="s">
        <v>36</v>
      </c>
      <c r="B286" s="20" t="s">
        <v>60</v>
      </c>
      <c r="C286" s="21" t="s">
        <v>107</v>
      </c>
      <c r="D286" s="20" t="s">
        <v>106</v>
      </c>
      <c r="E286" s="3">
        <v>5000000</v>
      </c>
      <c r="F286" s="19">
        <v>44046</v>
      </c>
      <c r="G286" s="3">
        <v>5000000</v>
      </c>
      <c r="H286" s="2">
        <v>5.0000000000000001E-3</v>
      </c>
      <c r="I286" s="19">
        <v>44166</v>
      </c>
      <c r="J286" s="19">
        <v>44196</v>
      </c>
      <c r="K286" s="3">
        <f t="shared" si="18"/>
        <v>31</v>
      </c>
      <c r="L286" s="3">
        <f t="shared" si="19"/>
        <v>2117</v>
      </c>
      <c r="M286" s="3">
        <v>5000000</v>
      </c>
    </row>
    <row r="287" spans="1:13" s="18" customFormat="1" hidden="1" outlineLevel="2">
      <c r="A287" s="19" t="s">
        <v>36</v>
      </c>
      <c r="B287" s="20" t="s">
        <v>66</v>
      </c>
      <c r="C287" s="21" t="s">
        <v>27</v>
      </c>
      <c r="D287" s="20" t="s">
        <v>28</v>
      </c>
      <c r="E287" s="3">
        <v>20000000</v>
      </c>
      <c r="F287" s="19">
        <v>44155</v>
      </c>
      <c r="G287" s="3">
        <v>20000000</v>
      </c>
      <c r="H287" s="2">
        <v>5.0000000000000001E-3</v>
      </c>
      <c r="I287" s="19">
        <v>44166</v>
      </c>
      <c r="J287" s="19">
        <v>44196</v>
      </c>
      <c r="K287" s="3">
        <f t="shared" si="18"/>
        <v>31</v>
      </c>
      <c r="L287" s="3">
        <f t="shared" si="19"/>
        <v>8470</v>
      </c>
      <c r="M287" s="3">
        <v>20000000</v>
      </c>
    </row>
    <row r="288" spans="1:13" s="18" customFormat="1" hidden="1" outlineLevel="2">
      <c r="A288" s="19" t="s">
        <v>36</v>
      </c>
      <c r="B288" s="20" t="s">
        <v>65</v>
      </c>
      <c r="C288" s="21" t="s">
        <v>264</v>
      </c>
      <c r="D288" s="20" t="s">
        <v>263</v>
      </c>
      <c r="E288" s="3">
        <v>125000000</v>
      </c>
      <c r="F288" s="19">
        <v>44193</v>
      </c>
      <c r="G288" s="3">
        <v>125000000</v>
      </c>
      <c r="H288" s="2">
        <v>5.0000000000000001E-3</v>
      </c>
      <c r="I288" s="19">
        <v>44193</v>
      </c>
      <c r="J288" s="19">
        <v>44196</v>
      </c>
      <c r="K288" s="3">
        <f t="shared" si="18"/>
        <v>4</v>
      </c>
      <c r="L288" s="3">
        <f t="shared" si="19"/>
        <v>6831</v>
      </c>
      <c r="M288" s="3">
        <v>125000000</v>
      </c>
    </row>
    <row r="289" spans="1:13" s="18" customFormat="1" hidden="1" outlineLevel="2">
      <c r="A289" s="19" t="s">
        <v>36</v>
      </c>
      <c r="B289" s="20" t="s">
        <v>64</v>
      </c>
      <c r="C289" s="21" t="s">
        <v>27</v>
      </c>
      <c r="D289" s="20" t="s">
        <v>28</v>
      </c>
      <c r="E289" s="3">
        <v>20000000</v>
      </c>
      <c r="F289" s="19">
        <v>44194</v>
      </c>
      <c r="G289" s="3">
        <v>20000000</v>
      </c>
      <c r="H289" s="2">
        <v>5.0000000000000001E-3</v>
      </c>
      <c r="I289" s="19">
        <v>44194</v>
      </c>
      <c r="J289" s="19">
        <v>44196</v>
      </c>
      <c r="K289" s="3">
        <f t="shared" si="18"/>
        <v>3</v>
      </c>
      <c r="L289" s="3">
        <f t="shared" si="19"/>
        <v>820</v>
      </c>
      <c r="M289" s="3">
        <v>20000000</v>
      </c>
    </row>
    <row r="290" spans="1:13" s="18" customFormat="1" outlineLevel="2">
      <c r="A290" s="19" t="s">
        <v>36</v>
      </c>
      <c r="B290" s="20" t="s">
        <v>23</v>
      </c>
      <c r="C290" s="21" t="s">
        <v>17</v>
      </c>
      <c r="D290" s="20" t="s">
        <v>18</v>
      </c>
      <c r="E290" s="3">
        <v>32900000</v>
      </c>
      <c r="F290" s="19">
        <v>43829</v>
      </c>
      <c r="G290" s="3">
        <v>26868337</v>
      </c>
      <c r="H290" s="2">
        <v>5.0000000000000001E-3</v>
      </c>
      <c r="I290" s="19">
        <v>44166</v>
      </c>
      <c r="J290" s="19">
        <v>44179</v>
      </c>
      <c r="K290" s="3">
        <f t="shared" si="18"/>
        <v>14</v>
      </c>
      <c r="L290" s="3">
        <f t="shared" si="19"/>
        <v>5139</v>
      </c>
      <c r="M290" s="3">
        <v>26320004</v>
      </c>
    </row>
    <row r="291" spans="1:13" s="18" customFormat="1" outlineLevel="2">
      <c r="A291" s="19" t="s">
        <v>36</v>
      </c>
      <c r="B291" s="20" t="s">
        <v>23</v>
      </c>
      <c r="C291" s="21" t="s">
        <v>17</v>
      </c>
      <c r="D291" s="20"/>
      <c r="E291" s="3"/>
      <c r="F291" s="19"/>
      <c r="G291" s="3">
        <v>26320004</v>
      </c>
      <c r="H291" s="2">
        <v>5.0000000000000001E-3</v>
      </c>
      <c r="I291" s="19">
        <v>44180</v>
      </c>
      <c r="J291" s="19">
        <v>44196</v>
      </c>
      <c r="K291" s="3">
        <f t="shared" si="18"/>
        <v>17</v>
      </c>
      <c r="L291" s="3">
        <f t="shared" si="19"/>
        <v>6113</v>
      </c>
      <c r="M291" s="3"/>
    </row>
    <row r="292" spans="1:13" s="18" customFormat="1" outlineLevel="2">
      <c r="A292" s="19" t="s">
        <v>36</v>
      </c>
      <c r="B292" s="20" t="s">
        <v>29</v>
      </c>
      <c r="C292" s="21" t="s">
        <v>17</v>
      </c>
      <c r="D292" s="20" t="s">
        <v>18</v>
      </c>
      <c r="E292" s="3">
        <v>2790000</v>
      </c>
      <c r="F292" s="19">
        <v>43921</v>
      </c>
      <c r="G292" s="3">
        <v>2398424</v>
      </c>
      <c r="H292" s="2">
        <v>5.0000000000000001E-3</v>
      </c>
      <c r="I292" s="19">
        <v>44166</v>
      </c>
      <c r="J292" s="19">
        <v>44179</v>
      </c>
      <c r="K292" s="3">
        <f t="shared" si="18"/>
        <v>14</v>
      </c>
      <c r="L292" s="3">
        <f t="shared" si="19"/>
        <v>459</v>
      </c>
      <c r="M292" s="3">
        <v>2349477</v>
      </c>
    </row>
    <row r="293" spans="1:13" s="18" customFormat="1" outlineLevel="2">
      <c r="A293" s="19" t="s">
        <v>36</v>
      </c>
      <c r="B293" s="20" t="s">
        <v>29</v>
      </c>
      <c r="C293" s="21" t="s">
        <v>17</v>
      </c>
      <c r="D293" s="20"/>
      <c r="E293" s="3"/>
      <c r="F293" s="19"/>
      <c r="G293" s="3">
        <v>2349477</v>
      </c>
      <c r="H293" s="2">
        <v>5.0000000000000001E-3</v>
      </c>
      <c r="I293" s="19">
        <v>44180</v>
      </c>
      <c r="J293" s="19">
        <v>44196</v>
      </c>
      <c r="K293" s="3">
        <f t="shared" si="18"/>
        <v>17</v>
      </c>
      <c r="L293" s="3">
        <f t="shared" si="19"/>
        <v>546</v>
      </c>
      <c r="M293" s="3"/>
    </row>
    <row r="294" spans="1:13" s="18" customFormat="1" hidden="1" outlineLevel="2">
      <c r="A294" s="19" t="s">
        <v>36</v>
      </c>
      <c r="B294" s="20" t="s">
        <v>30</v>
      </c>
      <c r="C294" s="21" t="s">
        <v>57</v>
      </c>
      <c r="D294" s="20" t="s">
        <v>56</v>
      </c>
      <c r="E294" s="3">
        <v>12000000</v>
      </c>
      <c r="F294" s="19">
        <v>43948</v>
      </c>
      <c r="G294" s="3">
        <v>10600000</v>
      </c>
      <c r="H294" s="2">
        <v>5.0000000000000001E-3</v>
      </c>
      <c r="I294" s="19">
        <v>44166</v>
      </c>
      <c r="J294" s="19">
        <v>44179</v>
      </c>
      <c r="K294" s="3">
        <f t="shared" si="18"/>
        <v>14</v>
      </c>
      <c r="L294" s="3">
        <f t="shared" si="19"/>
        <v>2027</v>
      </c>
      <c r="M294" s="3">
        <v>10400000</v>
      </c>
    </row>
    <row r="295" spans="1:13" s="18" customFormat="1" hidden="1" outlineLevel="2">
      <c r="A295" s="19" t="s">
        <v>36</v>
      </c>
      <c r="B295" s="20" t="s">
        <v>30</v>
      </c>
      <c r="C295" s="21" t="s">
        <v>57</v>
      </c>
      <c r="D295" s="20"/>
      <c r="E295" s="3"/>
      <c r="F295" s="19"/>
      <c r="G295" s="3">
        <v>10400000</v>
      </c>
      <c r="H295" s="2">
        <v>5.0000000000000001E-3</v>
      </c>
      <c r="I295" s="19">
        <v>44180</v>
      </c>
      <c r="J295" s="19">
        <v>44196</v>
      </c>
      <c r="K295" s="3">
        <f t="shared" si="18"/>
        <v>17</v>
      </c>
      <c r="L295" s="3">
        <f t="shared" si="19"/>
        <v>2415</v>
      </c>
      <c r="M295" s="3"/>
    </row>
    <row r="296" spans="1:13" s="18" customFormat="1" hidden="1" outlineLevel="2">
      <c r="A296" s="19" t="s">
        <v>36</v>
      </c>
      <c r="B296" s="20" t="s">
        <v>31</v>
      </c>
      <c r="C296" s="21" t="s">
        <v>97</v>
      </c>
      <c r="D296" s="20" t="s">
        <v>96</v>
      </c>
      <c r="E296" s="3">
        <v>71750000</v>
      </c>
      <c r="F296" s="19">
        <v>43955</v>
      </c>
      <c r="G296" s="3">
        <v>71750000</v>
      </c>
      <c r="H296" s="2">
        <v>5.0000000000000001E-3</v>
      </c>
      <c r="I296" s="19">
        <v>44166</v>
      </c>
      <c r="J296" s="19">
        <v>44196</v>
      </c>
      <c r="K296" s="3">
        <f t="shared" si="18"/>
        <v>31</v>
      </c>
      <c r="L296" s="3">
        <f t="shared" si="19"/>
        <v>30386</v>
      </c>
      <c r="M296" s="3">
        <v>71750000</v>
      </c>
    </row>
    <row r="297" spans="1:13" s="18" customFormat="1" hidden="1" outlineLevel="2">
      <c r="A297" s="19" t="s">
        <v>36</v>
      </c>
      <c r="B297" s="20" t="s">
        <v>32</v>
      </c>
      <c r="C297" s="21" t="s">
        <v>57</v>
      </c>
      <c r="D297" s="20" t="s">
        <v>56</v>
      </c>
      <c r="E297" s="3">
        <v>10000000</v>
      </c>
      <c r="F297" s="19">
        <v>43963</v>
      </c>
      <c r="G297" s="3">
        <v>8833337</v>
      </c>
      <c r="H297" s="2">
        <v>5.0000000000000001E-3</v>
      </c>
      <c r="I297" s="19">
        <v>44166</v>
      </c>
      <c r="J297" s="19">
        <v>44179</v>
      </c>
      <c r="K297" s="3">
        <f t="shared" si="18"/>
        <v>14</v>
      </c>
      <c r="L297" s="3">
        <f t="shared" si="19"/>
        <v>1689</v>
      </c>
      <c r="M297" s="3">
        <v>8666671</v>
      </c>
    </row>
    <row r="298" spans="1:13" s="18" customFormat="1" hidden="1" outlineLevel="2">
      <c r="A298" s="19" t="s">
        <v>36</v>
      </c>
      <c r="B298" s="20" t="s">
        <v>32</v>
      </c>
      <c r="C298" s="21" t="s">
        <v>57</v>
      </c>
      <c r="D298" s="20"/>
      <c r="E298" s="3"/>
      <c r="F298" s="19"/>
      <c r="G298" s="3">
        <v>8666671</v>
      </c>
      <c r="H298" s="2">
        <v>5.0000000000000001E-3</v>
      </c>
      <c r="I298" s="19">
        <v>44180</v>
      </c>
      <c r="J298" s="19">
        <v>44196</v>
      </c>
      <c r="K298" s="3">
        <f t="shared" si="18"/>
        <v>17</v>
      </c>
      <c r="L298" s="3">
        <f t="shared" si="19"/>
        <v>2013</v>
      </c>
      <c r="M298" s="3"/>
    </row>
    <row r="299" spans="1:13" s="18" customFormat="1" hidden="1" outlineLevel="2">
      <c r="A299" s="19" t="s">
        <v>36</v>
      </c>
      <c r="B299" s="20" t="s">
        <v>48</v>
      </c>
      <c r="C299" s="21" t="s">
        <v>57</v>
      </c>
      <c r="D299" s="20" t="s">
        <v>56</v>
      </c>
      <c r="E299" s="3">
        <v>4000000</v>
      </c>
      <c r="F299" s="19">
        <v>43970</v>
      </c>
      <c r="G299" s="3">
        <v>3593224</v>
      </c>
      <c r="H299" s="2">
        <v>5.0000000000000001E-3</v>
      </c>
      <c r="I299" s="19">
        <v>44166</v>
      </c>
      <c r="J299" s="19">
        <v>44179</v>
      </c>
      <c r="K299" s="3">
        <f t="shared" si="18"/>
        <v>14</v>
      </c>
      <c r="L299" s="3">
        <f t="shared" si="19"/>
        <v>687</v>
      </c>
      <c r="M299" s="3">
        <v>3525428</v>
      </c>
    </row>
    <row r="300" spans="1:13" s="18" customFormat="1" hidden="1" outlineLevel="2">
      <c r="A300" s="19" t="s">
        <v>36</v>
      </c>
      <c r="B300" s="20" t="s">
        <v>48</v>
      </c>
      <c r="C300" s="21" t="s">
        <v>57</v>
      </c>
      <c r="D300" s="20"/>
      <c r="E300" s="3"/>
      <c r="F300" s="19"/>
      <c r="G300" s="3">
        <v>3525428</v>
      </c>
      <c r="H300" s="2">
        <v>5.0000000000000001E-3</v>
      </c>
      <c r="I300" s="19">
        <v>44180</v>
      </c>
      <c r="J300" s="19">
        <v>44196</v>
      </c>
      <c r="K300" s="3">
        <f t="shared" si="18"/>
        <v>17</v>
      </c>
      <c r="L300" s="3">
        <f t="shared" si="19"/>
        <v>819</v>
      </c>
      <c r="M300" s="3"/>
    </row>
    <row r="301" spans="1:13" s="18" customFormat="1" hidden="1" outlineLevel="2">
      <c r="A301" s="19" t="s">
        <v>36</v>
      </c>
      <c r="B301" s="20" t="s">
        <v>59</v>
      </c>
      <c r="C301" s="21" t="s">
        <v>57</v>
      </c>
      <c r="D301" s="20" t="s">
        <v>56</v>
      </c>
      <c r="E301" s="3">
        <v>18000000</v>
      </c>
      <c r="F301" s="19">
        <v>43977</v>
      </c>
      <c r="G301" s="3">
        <v>16169496</v>
      </c>
      <c r="H301" s="2">
        <v>5.0000000000000001E-3</v>
      </c>
      <c r="I301" s="19">
        <v>44166</v>
      </c>
      <c r="J301" s="19">
        <v>44179</v>
      </c>
      <c r="K301" s="3">
        <f t="shared" si="18"/>
        <v>14</v>
      </c>
      <c r="L301" s="3">
        <f t="shared" si="19"/>
        <v>3093</v>
      </c>
      <c r="M301" s="3">
        <v>15864412</v>
      </c>
    </row>
    <row r="302" spans="1:13" s="18" customFormat="1" hidden="1" outlineLevel="2">
      <c r="A302" s="19" t="s">
        <v>36</v>
      </c>
      <c r="B302" s="20" t="s">
        <v>59</v>
      </c>
      <c r="C302" s="21" t="s">
        <v>57</v>
      </c>
      <c r="D302" s="20"/>
      <c r="E302" s="3"/>
      <c r="F302" s="19"/>
      <c r="G302" s="3">
        <v>15864412</v>
      </c>
      <c r="H302" s="2">
        <v>5.0000000000000001E-3</v>
      </c>
      <c r="I302" s="19">
        <v>44180</v>
      </c>
      <c r="J302" s="19">
        <v>44196</v>
      </c>
      <c r="K302" s="3">
        <f t="shared" si="18"/>
        <v>17</v>
      </c>
      <c r="L302" s="3">
        <f t="shared" si="19"/>
        <v>3684</v>
      </c>
      <c r="M302" s="3"/>
    </row>
    <row r="303" spans="1:13" s="18" customFormat="1" hidden="1" outlineLevel="2">
      <c r="A303" s="19" t="s">
        <v>36</v>
      </c>
      <c r="B303" s="20" t="s">
        <v>58</v>
      </c>
      <c r="C303" s="21" t="s">
        <v>57</v>
      </c>
      <c r="D303" s="20" t="s">
        <v>56</v>
      </c>
      <c r="E303" s="3">
        <v>6000000</v>
      </c>
      <c r="F303" s="19">
        <v>43984</v>
      </c>
      <c r="G303" s="3">
        <v>5389836</v>
      </c>
      <c r="H303" s="2">
        <v>5.0000000000000001E-3</v>
      </c>
      <c r="I303" s="19">
        <v>44166</v>
      </c>
      <c r="J303" s="19">
        <v>44179</v>
      </c>
      <c r="K303" s="3">
        <f t="shared" si="18"/>
        <v>14</v>
      </c>
      <c r="L303" s="3">
        <f t="shared" si="19"/>
        <v>1031</v>
      </c>
      <c r="M303" s="3">
        <v>5288142</v>
      </c>
    </row>
    <row r="304" spans="1:13" s="18" customFormat="1" hidden="1" outlineLevel="2">
      <c r="A304" s="19" t="s">
        <v>36</v>
      </c>
      <c r="B304" s="20" t="s">
        <v>58</v>
      </c>
      <c r="C304" s="21" t="s">
        <v>57</v>
      </c>
      <c r="D304" s="20"/>
      <c r="E304" s="3"/>
      <c r="F304" s="19"/>
      <c r="G304" s="3">
        <v>5288142</v>
      </c>
      <c r="H304" s="2">
        <v>5.0000000000000001E-3</v>
      </c>
      <c r="I304" s="19">
        <v>44180</v>
      </c>
      <c r="J304" s="19">
        <v>44196</v>
      </c>
      <c r="K304" s="3">
        <f t="shared" si="18"/>
        <v>17</v>
      </c>
      <c r="L304" s="3">
        <f t="shared" si="19"/>
        <v>1228</v>
      </c>
      <c r="M304" s="3"/>
    </row>
    <row r="305" spans="1:13" s="18" customFormat="1" ht="13.5" hidden="1" outlineLevel="1">
      <c r="A305" s="22" t="s">
        <v>37</v>
      </c>
      <c r="B305" s="23"/>
      <c r="C305" s="24"/>
      <c r="D305" s="23"/>
      <c r="E305" s="25">
        <f>SUBTOTAL(9,E282:E304)</f>
        <v>195150000</v>
      </c>
      <c r="F305" s="26"/>
      <c r="G305" s="25"/>
      <c r="H305" s="27"/>
      <c r="I305" s="26"/>
      <c r="J305" s="26"/>
      <c r="K305" s="25"/>
      <c r="L305" s="25">
        <f>SUBTOTAL(9,L282:L304)</f>
        <v>67084</v>
      </c>
      <c r="M305" s="25">
        <f>SUBTOTAL(9,M282:M304)</f>
        <v>156925481</v>
      </c>
    </row>
    <row r="306" spans="1:13" s="18" customFormat="1" outlineLevel="2">
      <c r="A306" s="19" t="s">
        <v>38</v>
      </c>
      <c r="B306" s="20" t="s">
        <v>16</v>
      </c>
      <c r="C306" s="21" t="s">
        <v>17</v>
      </c>
      <c r="D306" s="20" t="s">
        <v>18</v>
      </c>
      <c r="E306" s="3">
        <v>50000000</v>
      </c>
      <c r="F306" s="19">
        <v>43829</v>
      </c>
      <c r="G306" s="3">
        <v>40833326</v>
      </c>
      <c r="H306" s="2">
        <v>5.0000000000000001E-3</v>
      </c>
      <c r="I306" s="19">
        <v>44166</v>
      </c>
      <c r="J306" s="19">
        <v>44179</v>
      </c>
      <c r="K306" s="3">
        <f t="shared" ref="K306:K317" si="20">J306-I306+1</f>
        <v>14</v>
      </c>
      <c r="L306" s="3">
        <f t="shared" ref="L306:L317" si="21">ROUND(G306*H306*K306/366,0)</f>
        <v>7810</v>
      </c>
      <c r="M306" s="3">
        <v>39999992</v>
      </c>
    </row>
    <row r="307" spans="1:13" s="18" customFormat="1" outlineLevel="2">
      <c r="A307" s="19" t="s">
        <v>38</v>
      </c>
      <c r="B307" s="20" t="s">
        <v>16</v>
      </c>
      <c r="C307" s="21" t="s">
        <v>17</v>
      </c>
      <c r="D307" s="20"/>
      <c r="E307" s="3"/>
      <c r="F307" s="19"/>
      <c r="G307" s="3">
        <v>39999992</v>
      </c>
      <c r="H307" s="2">
        <v>5.0000000000000001E-3</v>
      </c>
      <c r="I307" s="19">
        <v>44180</v>
      </c>
      <c r="J307" s="19">
        <v>44196</v>
      </c>
      <c r="K307" s="3">
        <f t="shared" si="20"/>
        <v>17</v>
      </c>
      <c r="L307" s="3">
        <f t="shared" si="21"/>
        <v>9290</v>
      </c>
      <c r="M307" s="3"/>
    </row>
    <row r="308" spans="1:13" s="18" customFormat="1" outlineLevel="2">
      <c r="A308" s="19" t="s">
        <v>38</v>
      </c>
      <c r="B308" s="20" t="s">
        <v>23</v>
      </c>
      <c r="C308" s="21" t="s">
        <v>17</v>
      </c>
      <c r="D308" s="20" t="s">
        <v>18</v>
      </c>
      <c r="E308" s="3">
        <v>25200000</v>
      </c>
      <c r="F308" s="19">
        <v>43829</v>
      </c>
      <c r="G308" s="3">
        <v>20580000</v>
      </c>
      <c r="H308" s="2">
        <v>5.0000000000000001E-3</v>
      </c>
      <c r="I308" s="19">
        <v>44166</v>
      </c>
      <c r="J308" s="19">
        <v>44179</v>
      </c>
      <c r="K308" s="3">
        <f t="shared" si="20"/>
        <v>14</v>
      </c>
      <c r="L308" s="3">
        <f t="shared" si="21"/>
        <v>3936</v>
      </c>
      <c r="M308" s="3">
        <v>20160000</v>
      </c>
    </row>
    <row r="309" spans="1:13" s="18" customFormat="1" outlineLevel="2">
      <c r="A309" s="19" t="s">
        <v>38</v>
      </c>
      <c r="B309" s="20" t="s">
        <v>23</v>
      </c>
      <c r="C309" s="21" t="s">
        <v>17</v>
      </c>
      <c r="D309" s="20"/>
      <c r="E309" s="3"/>
      <c r="F309" s="19"/>
      <c r="G309" s="3">
        <v>20160000</v>
      </c>
      <c r="H309" s="2">
        <v>5.0000000000000001E-3</v>
      </c>
      <c r="I309" s="19">
        <v>44180</v>
      </c>
      <c r="J309" s="19">
        <v>44196</v>
      </c>
      <c r="K309" s="3">
        <f t="shared" si="20"/>
        <v>17</v>
      </c>
      <c r="L309" s="3">
        <f t="shared" si="21"/>
        <v>4682</v>
      </c>
      <c r="M309" s="3"/>
    </row>
    <row r="310" spans="1:13" s="18" customFormat="1" outlineLevel="2">
      <c r="A310" s="19" t="s">
        <v>38</v>
      </c>
      <c r="B310" s="20" t="s">
        <v>29</v>
      </c>
      <c r="C310" s="21" t="s">
        <v>17</v>
      </c>
      <c r="D310" s="20" t="s">
        <v>18</v>
      </c>
      <c r="E310" s="3">
        <v>11310000</v>
      </c>
      <c r="F310" s="19">
        <v>43920</v>
      </c>
      <c r="G310" s="3">
        <v>9722632</v>
      </c>
      <c r="H310" s="2">
        <v>5.0000000000000001E-3</v>
      </c>
      <c r="I310" s="19">
        <v>44166</v>
      </c>
      <c r="J310" s="19">
        <v>44179</v>
      </c>
      <c r="K310" s="3">
        <f t="shared" si="20"/>
        <v>14</v>
      </c>
      <c r="L310" s="3">
        <f t="shared" si="21"/>
        <v>1860</v>
      </c>
      <c r="M310" s="3">
        <v>9524211</v>
      </c>
    </row>
    <row r="311" spans="1:13" s="18" customFormat="1" outlineLevel="2">
      <c r="A311" s="19" t="s">
        <v>38</v>
      </c>
      <c r="B311" s="20" t="s">
        <v>29</v>
      </c>
      <c r="C311" s="21" t="s">
        <v>17</v>
      </c>
      <c r="D311" s="20"/>
      <c r="E311" s="3"/>
      <c r="F311" s="19"/>
      <c r="G311" s="3">
        <v>9524211</v>
      </c>
      <c r="H311" s="2">
        <v>5.0000000000000001E-3</v>
      </c>
      <c r="I311" s="19">
        <v>44180</v>
      </c>
      <c r="J311" s="19">
        <v>44196</v>
      </c>
      <c r="K311" s="3">
        <f t="shared" si="20"/>
        <v>17</v>
      </c>
      <c r="L311" s="3">
        <f t="shared" si="21"/>
        <v>2212</v>
      </c>
      <c r="M311" s="3"/>
    </row>
    <row r="312" spans="1:13" s="18" customFormat="1" outlineLevel="2">
      <c r="A312" s="19" t="s">
        <v>38</v>
      </c>
      <c r="B312" s="20" t="s">
        <v>30</v>
      </c>
      <c r="C312" s="21" t="s">
        <v>17</v>
      </c>
      <c r="D312" s="20" t="s">
        <v>18</v>
      </c>
      <c r="E312" s="3">
        <v>6050000</v>
      </c>
      <c r="F312" s="19">
        <v>43990</v>
      </c>
      <c r="G312" s="3">
        <v>5390000</v>
      </c>
      <c r="H312" s="2">
        <v>5.0000000000000001E-3</v>
      </c>
      <c r="I312" s="19">
        <v>44166</v>
      </c>
      <c r="J312" s="19">
        <v>44179</v>
      </c>
      <c r="K312" s="3">
        <f t="shared" si="20"/>
        <v>14</v>
      </c>
      <c r="L312" s="3">
        <f t="shared" si="21"/>
        <v>1031</v>
      </c>
      <c r="M312" s="3">
        <v>5280000</v>
      </c>
    </row>
    <row r="313" spans="1:13" s="18" customFormat="1" outlineLevel="2">
      <c r="A313" s="19" t="s">
        <v>38</v>
      </c>
      <c r="B313" s="20" t="s">
        <v>30</v>
      </c>
      <c r="C313" s="21" t="s">
        <v>17</v>
      </c>
      <c r="D313" s="20"/>
      <c r="E313" s="3"/>
      <c r="F313" s="19"/>
      <c r="G313" s="3">
        <v>5280000</v>
      </c>
      <c r="H313" s="2">
        <v>5.0000000000000001E-3</v>
      </c>
      <c r="I313" s="19">
        <v>44180</v>
      </c>
      <c r="J313" s="19">
        <v>44196</v>
      </c>
      <c r="K313" s="3">
        <f t="shared" si="20"/>
        <v>17</v>
      </c>
      <c r="L313" s="3">
        <f t="shared" si="21"/>
        <v>1226</v>
      </c>
      <c r="M313" s="3"/>
    </row>
    <row r="314" spans="1:13" s="18" customFormat="1" outlineLevel="2">
      <c r="A314" s="19" t="s">
        <v>38</v>
      </c>
      <c r="B314" s="20" t="s">
        <v>31</v>
      </c>
      <c r="C314" s="21" t="s">
        <v>17</v>
      </c>
      <c r="D314" s="20" t="s">
        <v>18</v>
      </c>
      <c r="E314" s="3">
        <v>7541000</v>
      </c>
      <c r="F314" s="19">
        <v>44074</v>
      </c>
      <c r="G314" s="3">
        <v>7105943</v>
      </c>
      <c r="H314" s="2">
        <v>5.0000000000000001E-3</v>
      </c>
      <c r="I314" s="19">
        <v>44166</v>
      </c>
      <c r="J314" s="19">
        <v>44179</v>
      </c>
      <c r="K314" s="3">
        <f t="shared" si="20"/>
        <v>14</v>
      </c>
      <c r="L314" s="3">
        <f t="shared" si="21"/>
        <v>1359</v>
      </c>
      <c r="M314" s="3">
        <v>6960924</v>
      </c>
    </row>
    <row r="315" spans="1:13" s="18" customFormat="1" outlineLevel="2">
      <c r="A315" s="19" t="s">
        <v>38</v>
      </c>
      <c r="B315" s="20" t="s">
        <v>31</v>
      </c>
      <c r="C315" s="21" t="s">
        <v>17</v>
      </c>
      <c r="D315" s="20"/>
      <c r="E315" s="3"/>
      <c r="F315" s="19"/>
      <c r="G315" s="3">
        <v>6960924</v>
      </c>
      <c r="H315" s="2">
        <v>5.0000000000000001E-3</v>
      </c>
      <c r="I315" s="19">
        <v>44180</v>
      </c>
      <c r="J315" s="19">
        <v>44196</v>
      </c>
      <c r="K315" s="3">
        <f t="shared" si="20"/>
        <v>17</v>
      </c>
      <c r="L315" s="3">
        <f t="shared" si="21"/>
        <v>1617</v>
      </c>
      <c r="M315" s="3"/>
    </row>
    <row r="316" spans="1:13" s="18" customFormat="1" outlineLevel="2">
      <c r="A316" s="19" t="s">
        <v>38</v>
      </c>
      <c r="B316" s="20" t="s">
        <v>32</v>
      </c>
      <c r="C316" s="21" t="s">
        <v>17</v>
      </c>
      <c r="D316" s="20" t="s">
        <v>18</v>
      </c>
      <c r="E316" s="3">
        <v>8986000</v>
      </c>
      <c r="F316" s="19">
        <v>44160</v>
      </c>
      <c r="G316" s="3">
        <v>8986000</v>
      </c>
      <c r="H316" s="2">
        <v>5.0000000000000001E-3</v>
      </c>
      <c r="I316" s="19">
        <v>44166</v>
      </c>
      <c r="J316" s="19">
        <v>44179</v>
      </c>
      <c r="K316" s="3">
        <f t="shared" si="20"/>
        <v>14</v>
      </c>
      <c r="L316" s="3">
        <f t="shared" si="21"/>
        <v>1719</v>
      </c>
      <c r="M316" s="3">
        <v>8802612</v>
      </c>
    </row>
    <row r="317" spans="1:13" s="18" customFormat="1" outlineLevel="2">
      <c r="A317" s="19" t="s">
        <v>38</v>
      </c>
      <c r="B317" s="20" t="s">
        <v>32</v>
      </c>
      <c r="C317" s="21" t="s">
        <v>17</v>
      </c>
      <c r="D317" s="20"/>
      <c r="E317" s="3"/>
      <c r="F317" s="19"/>
      <c r="G317" s="3">
        <v>8802612</v>
      </c>
      <c r="H317" s="2">
        <v>5.0000000000000001E-3</v>
      </c>
      <c r="I317" s="19">
        <v>44180</v>
      </c>
      <c r="J317" s="19">
        <v>44196</v>
      </c>
      <c r="K317" s="3">
        <f t="shared" si="20"/>
        <v>17</v>
      </c>
      <c r="L317" s="3">
        <f t="shared" si="21"/>
        <v>2044</v>
      </c>
      <c r="M317" s="3"/>
    </row>
    <row r="318" spans="1:13" s="18" customFormat="1" ht="13.5" hidden="1" outlineLevel="1">
      <c r="A318" s="22" t="s">
        <v>39</v>
      </c>
      <c r="B318" s="23"/>
      <c r="C318" s="24"/>
      <c r="D318" s="23"/>
      <c r="E318" s="25">
        <f>SUBTOTAL(9,E306:E317)</f>
        <v>109087000</v>
      </c>
      <c r="F318" s="26"/>
      <c r="G318" s="25"/>
      <c r="H318" s="27"/>
      <c r="I318" s="26"/>
      <c r="J318" s="26"/>
      <c r="K318" s="25"/>
      <c r="L318" s="25">
        <f>SUBTOTAL(9,L306:L317)</f>
        <v>38786</v>
      </c>
      <c r="M318" s="25">
        <f>SUBTOTAL(9,M306:M317)</f>
        <v>90727739</v>
      </c>
    </row>
    <row r="319" spans="1:13" s="18" customFormat="1" hidden="1" outlineLevel="2">
      <c r="A319" s="19" t="s">
        <v>108</v>
      </c>
      <c r="B319" s="20" t="s">
        <v>16</v>
      </c>
      <c r="C319" s="21" t="s">
        <v>107</v>
      </c>
      <c r="D319" s="20" t="s">
        <v>106</v>
      </c>
      <c r="E319" s="3">
        <v>4300000</v>
      </c>
      <c r="F319" s="19">
        <v>43966</v>
      </c>
      <c r="G319" s="3">
        <v>4300000</v>
      </c>
      <c r="H319" s="2">
        <v>5.0000000000000001E-3</v>
      </c>
      <c r="I319" s="19">
        <v>44166</v>
      </c>
      <c r="J319" s="19">
        <v>44196</v>
      </c>
      <c r="K319" s="3">
        <f>J319-I319+1</f>
        <v>31</v>
      </c>
      <c r="L319" s="3">
        <f>ROUND(G319*H319*K319/366,0)</f>
        <v>1821</v>
      </c>
      <c r="M319" s="3">
        <v>4300000</v>
      </c>
    </row>
    <row r="320" spans="1:13" s="18" customFormat="1" hidden="1" outlineLevel="2">
      <c r="A320" s="19" t="s">
        <v>108</v>
      </c>
      <c r="B320" s="20" t="s">
        <v>23</v>
      </c>
      <c r="C320" s="21" t="s">
        <v>113</v>
      </c>
      <c r="D320" s="20" t="s">
        <v>112</v>
      </c>
      <c r="E320" s="3">
        <v>120000000</v>
      </c>
      <c r="F320" s="19">
        <v>44060</v>
      </c>
      <c r="G320" s="3">
        <v>120000000</v>
      </c>
      <c r="H320" s="2">
        <v>5.0000000000000001E-3</v>
      </c>
      <c r="I320" s="19">
        <v>44166</v>
      </c>
      <c r="J320" s="19">
        <v>44196</v>
      </c>
      <c r="K320" s="3">
        <f>J320-I320+1</f>
        <v>31</v>
      </c>
      <c r="L320" s="3">
        <f>ROUND(G320*H320*K320/366,0)</f>
        <v>50820</v>
      </c>
      <c r="M320" s="3">
        <v>120000000</v>
      </c>
    </row>
    <row r="321" spans="1:13" s="18" customFormat="1" ht="13.5" hidden="1" outlineLevel="1" collapsed="1">
      <c r="A321" s="22" t="s">
        <v>105</v>
      </c>
      <c r="B321" s="23"/>
      <c r="C321" s="24"/>
      <c r="D321" s="23"/>
      <c r="E321" s="25">
        <f>SUBTOTAL(9,E319:E320)</f>
        <v>0</v>
      </c>
      <c r="F321" s="26"/>
      <c r="G321" s="25"/>
      <c r="H321" s="27"/>
      <c r="I321" s="26"/>
      <c r="J321" s="26"/>
      <c r="K321" s="25"/>
      <c r="L321" s="25">
        <f>SUBTOTAL(9,L319:L320)</f>
        <v>0</v>
      </c>
      <c r="M321" s="25">
        <f>SUBTOTAL(9,M319:M320)</f>
        <v>0</v>
      </c>
    </row>
    <row r="322" spans="1:13" s="18" customFormat="1" hidden="1" outlineLevel="2">
      <c r="A322" s="19" t="s">
        <v>124</v>
      </c>
      <c r="B322" s="20" t="s">
        <v>16</v>
      </c>
      <c r="C322" s="21" t="s">
        <v>77</v>
      </c>
      <c r="D322" s="20" t="s">
        <v>76</v>
      </c>
      <c r="E322" s="3">
        <v>38650000</v>
      </c>
      <c r="F322" s="19">
        <v>43986</v>
      </c>
      <c r="G322" s="3">
        <v>38650000</v>
      </c>
      <c r="H322" s="2">
        <v>5.0000000000000001E-3</v>
      </c>
      <c r="I322" s="19">
        <v>44166</v>
      </c>
      <c r="J322" s="19">
        <v>44196</v>
      </c>
      <c r="K322" s="3">
        <f t="shared" ref="K322:K340" si="22">J322-I322+1</f>
        <v>31</v>
      </c>
      <c r="L322" s="3">
        <f t="shared" ref="L322:L340" si="23">ROUND(G322*H322*K322/366,0)</f>
        <v>16368</v>
      </c>
      <c r="M322" s="3">
        <v>38650000</v>
      </c>
    </row>
    <row r="323" spans="1:13" s="18" customFormat="1" hidden="1" outlineLevel="2">
      <c r="A323" s="19" t="s">
        <v>124</v>
      </c>
      <c r="B323" s="20" t="s">
        <v>61</v>
      </c>
      <c r="C323" s="21" t="s">
        <v>115</v>
      </c>
      <c r="D323" s="20" t="s">
        <v>114</v>
      </c>
      <c r="E323" s="3">
        <v>23000000</v>
      </c>
      <c r="F323" s="19">
        <v>44155</v>
      </c>
      <c r="G323" s="3">
        <v>23000000</v>
      </c>
      <c r="H323" s="2">
        <v>5.0000000000000001E-3</v>
      </c>
      <c r="I323" s="19">
        <v>44166</v>
      </c>
      <c r="J323" s="19">
        <v>44196</v>
      </c>
      <c r="K323" s="3">
        <f t="shared" si="22"/>
        <v>31</v>
      </c>
      <c r="L323" s="3">
        <f t="shared" si="23"/>
        <v>9740</v>
      </c>
      <c r="M323" s="3">
        <v>23000000</v>
      </c>
    </row>
    <row r="324" spans="1:13" s="18" customFormat="1" hidden="1" outlineLevel="2">
      <c r="A324" s="19" t="s">
        <v>124</v>
      </c>
      <c r="B324" s="20" t="s">
        <v>60</v>
      </c>
      <c r="C324" s="21" t="s">
        <v>115</v>
      </c>
      <c r="D324" s="20" t="s">
        <v>114</v>
      </c>
      <c r="E324" s="3">
        <v>1000000</v>
      </c>
      <c r="F324" s="19">
        <v>44160</v>
      </c>
      <c r="G324" s="3">
        <v>1000000</v>
      </c>
      <c r="H324" s="2">
        <v>5.0000000000000001E-3</v>
      </c>
      <c r="I324" s="19">
        <v>44166</v>
      </c>
      <c r="J324" s="19">
        <v>44196</v>
      </c>
      <c r="K324" s="3">
        <f t="shared" si="22"/>
        <v>31</v>
      </c>
      <c r="L324" s="3">
        <f t="shared" si="23"/>
        <v>423</v>
      </c>
      <c r="M324" s="3">
        <v>1000000</v>
      </c>
    </row>
    <row r="325" spans="1:13" s="18" customFormat="1" hidden="1" outlineLevel="2">
      <c r="A325" s="19" t="s">
        <v>124</v>
      </c>
      <c r="B325" s="20" t="s">
        <v>66</v>
      </c>
      <c r="C325" s="21" t="s">
        <v>235</v>
      </c>
      <c r="D325" s="20" t="s">
        <v>234</v>
      </c>
      <c r="E325" s="3">
        <v>6030000</v>
      </c>
      <c r="F325" s="19">
        <v>44145</v>
      </c>
      <c r="G325" s="3">
        <v>6030000</v>
      </c>
      <c r="H325" s="2">
        <v>5.0000000000000001E-3</v>
      </c>
      <c r="I325" s="19">
        <v>44166</v>
      </c>
      <c r="J325" s="19">
        <v>44196</v>
      </c>
      <c r="K325" s="3">
        <f t="shared" si="22"/>
        <v>31</v>
      </c>
      <c r="L325" s="3">
        <f t="shared" si="23"/>
        <v>2554</v>
      </c>
      <c r="M325" s="3">
        <v>6030000</v>
      </c>
    </row>
    <row r="326" spans="1:13" s="18" customFormat="1" hidden="1" outlineLevel="2">
      <c r="A326" s="19" t="s">
        <v>124</v>
      </c>
      <c r="B326" s="20" t="s">
        <v>65</v>
      </c>
      <c r="C326" s="21" t="s">
        <v>149</v>
      </c>
      <c r="D326" s="20" t="s">
        <v>148</v>
      </c>
      <c r="E326" s="3">
        <v>16018839</v>
      </c>
      <c r="F326" s="19">
        <v>44188</v>
      </c>
      <c r="G326" s="3">
        <v>16018839</v>
      </c>
      <c r="H326" s="2">
        <v>5.0000000000000001E-3</v>
      </c>
      <c r="I326" s="19">
        <v>44188</v>
      </c>
      <c r="J326" s="19">
        <v>44196</v>
      </c>
      <c r="K326" s="3">
        <f t="shared" si="22"/>
        <v>9</v>
      </c>
      <c r="L326" s="3">
        <f t="shared" si="23"/>
        <v>1970</v>
      </c>
      <c r="M326" s="3">
        <v>16018839</v>
      </c>
    </row>
    <row r="327" spans="1:13" s="18" customFormat="1" hidden="1" outlineLevel="2">
      <c r="A327" s="19" t="s">
        <v>124</v>
      </c>
      <c r="B327" s="20" t="s">
        <v>64</v>
      </c>
      <c r="C327" s="21" t="s">
        <v>149</v>
      </c>
      <c r="D327" s="20" t="s">
        <v>148</v>
      </c>
      <c r="E327" s="3">
        <v>31481161</v>
      </c>
      <c r="F327" s="19">
        <v>44188</v>
      </c>
      <c r="G327" s="3">
        <v>31481161</v>
      </c>
      <c r="H327" s="2">
        <v>5.0000000000000001E-3</v>
      </c>
      <c r="I327" s="19">
        <v>44188</v>
      </c>
      <c r="J327" s="19">
        <v>44196</v>
      </c>
      <c r="K327" s="3">
        <f t="shared" si="22"/>
        <v>9</v>
      </c>
      <c r="L327" s="3">
        <f t="shared" si="23"/>
        <v>3871</v>
      </c>
      <c r="M327" s="3">
        <v>31481161</v>
      </c>
    </row>
    <row r="328" spans="1:13" s="18" customFormat="1" hidden="1" outlineLevel="2">
      <c r="A328" s="19" t="s">
        <v>124</v>
      </c>
      <c r="B328" s="20" t="s">
        <v>85</v>
      </c>
      <c r="C328" s="21" t="s">
        <v>233</v>
      </c>
      <c r="D328" s="20" t="s">
        <v>232</v>
      </c>
      <c r="E328" s="3">
        <v>10000000</v>
      </c>
      <c r="F328" s="19">
        <v>44172</v>
      </c>
      <c r="G328" s="3">
        <v>10000000</v>
      </c>
      <c r="H328" s="2">
        <v>5.0000000000000001E-3</v>
      </c>
      <c r="I328" s="19">
        <v>44172</v>
      </c>
      <c r="J328" s="19">
        <v>44196</v>
      </c>
      <c r="K328" s="3">
        <f t="shared" si="22"/>
        <v>25</v>
      </c>
      <c r="L328" s="3">
        <f t="shared" si="23"/>
        <v>3415</v>
      </c>
      <c r="M328" s="3">
        <v>10000000</v>
      </c>
    </row>
    <row r="329" spans="1:13" s="18" customFormat="1" hidden="1" outlineLevel="2">
      <c r="A329" s="19" t="s">
        <v>124</v>
      </c>
      <c r="B329" s="20" t="s">
        <v>84</v>
      </c>
      <c r="C329" s="21" t="s">
        <v>233</v>
      </c>
      <c r="D329" s="20" t="s">
        <v>232</v>
      </c>
      <c r="E329" s="3">
        <v>10000000</v>
      </c>
      <c r="F329" s="19">
        <v>44181</v>
      </c>
      <c r="G329" s="3">
        <v>10000000</v>
      </c>
      <c r="H329" s="2">
        <v>5.0000000000000001E-3</v>
      </c>
      <c r="I329" s="19">
        <v>44181</v>
      </c>
      <c r="J329" s="19">
        <v>44196</v>
      </c>
      <c r="K329" s="3">
        <f t="shared" si="22"/>
        <v>16</v>
      </c>
      <c r="L329" s="3">
        <f t="shared" si="23"/>
        <v>2186</v>
      </c>
      <c r="M329" s="3">
        <v>10000000</v>
      </c>
    </row>
    <row r="330" spans="1:13" s="18" customFormat="1" hidden="1" outlineLevel="2">
      <c r="A330" s="19" t="s">
        <v>124</v>
      </c>
      <c r="B330" s="20" t="s">
        <v>83</v>
      </c>
      <c r="C330" s="21" t="s">
        <v>262</v>
      </c>
      <c r="D330" s="20" t="s">
        <v>261</v>
      </c>
      <c r="E330" s="3">
        <v>210000000</v>
      </c>
      <c r="F330" s="19">
        <v>44172</v>
      </c>
      <c r="G330" s="3">
        <v>210000000</v>
      </c>
      <c r="H330" s="2">
        <v>5.0000000000000001E-3</v>
      </c>
      <c r="I330" s="19">
        <v>44172</v>
      </c>
      <c r="J330" s="19">
        <v>44196</v>
      </c>
      <c r="K330" s="3">
        <f t="shared" si="22"/>
        <v>25</v>
      </c>
      <c r="L330" s="3">
        <f t="shared" si="23"/>
        <v>71721</v>
      </c>
      <c r="M330" s="3">
        <v>210000000</v>
      </c>
    </row>
    <row r="331" spans="1:13" s="18" customFormat="1" hidden="1" outlineLevel="2">
      <c r="A331" s="19" t="s">
        <v>124</v>
      </c>
      <c r="B331" s="20" t="s">
        <v>102</v>
      </c>
      <c r="C331" s="21" t="s">
        <v>260</v>
      </c>
      <c r="D331" s="20" t="s">
        <v>259</v>
      </c>
      <c r="E331" s="3">
        <v>3000000</v>
      </c>
      <c r="F331" s="19">
        <v>44167</v>
      </c>
      <c r="G331" s="3">
        <v>3000000</v>
      </c>
      <c r="H331" s="2">
        <v>5.0000000000000001E-3</v>
      </c>
      <c r="I331" s="19">
        <v>44167</v>
      </c>
      <c r="J331" s="19">
        <v>44196</v>
      </c>
      <c r="K331" s="3">
        <f t="shared" si="22"/>
        <v>30</v>
      </c>
      <c r="L331" s="3">
        <f t="shared" si="23"/>
        <v>1230</v>
      </c>
      <c r="M331" s="3">
        <v>3000000</v>
      </c>
    </row>
    <row r="332" spans="1:13" s="18" customFormat="1" hidden="1" outlineLevel="2">
      <c r="A332" s="19" t="s">
        <v>124</v>
      </c>
      <c r="B332" s="20" t="s">
        <v>101</v>
      </c>
      <c r="C332" s="21" t="s">
        <v>235</v>
      </c>
      <c r="D332" s="20" t="s">
        <v>234</v>
      </c>
      <c r="E332" s="3">
        <v>5530000</v>
      </c>
      <c r="F332" s="19">
        <v>44168</v>
      </c>
      <c r="G332" s="3">
        <v>5530000</v>
      </c>
      <c r="H332" s="2">
        <v>5.0000000000000001E-3</v>
      </c>
      <c r="I332" s="19">
        <v>44168</v>
      </c>
      <c r="J332" s="19">
        <v>44196</v>
      </c>
      <c r="K332" s="3">
        <f t="shared" si="22"/>
        <v>29</v>
      </c>
      <c r="L332" s="3">
        <f t="shared" si="23"/>
        <v>2191</v>
      </c>
      <c r="M332" s="3">
        <v>5530000</v>
      </c>
    </row>
    <row r="333" spans="1:13" s="18" customFormat="1" hidden="1" outlineLevel="2">
      <c r="A333" s="19" t="s">
        <v>124</v>
      </c>
      <c r="B333" s="20" t="s">
        <v>23</v>
      </c>
      <c r="C333" s="21" t="s">
        <v>104</v>
      </c>
      <c r="D333" s="20" t="s">
        <v>103</v>
      </c>
      <c r="E333" s="3">
        <v>23530000</v>
      </c>
      <c r="F333" s="19">
        <v>44013</v>
      </c>
      <c r="G333" s="3">
        <v>23530000</v>
      </c>
      <c r="H333" s="2">
        <v>5.0000000000000001E-3</v>
      </c>
      <c r="I333" s="19">
        <v>44166</v>
      </c>
      <c r="J333" s="19">
        <v>44196</v>
      </c>
      <c r="K333" s="3">
        <f t="shared" si="22"/>
        <v>31</v>
      </c>
      <c r="L333" s="3">
        <f t="shared" si="23"/>
        <v>9965</v>
      </c>
      <c r="M333" s="3">
        <v>23530000</v>
      </c>
    </row>
    <row r="334" spans="1:13" s="18" customFormat="1" hidden="1" outlineLevel="2">
      <c r="A334" s="19" t="s">
        <v>124</v>
      </c>
      <c r="B334" s="20" t="s">
        <v>29</v>
      </c>
      <c r="C334" s="21" t="s">
        <v>104</v>
      </c>
      <c r="D334" s="20" t="s">
        <v>103</v>
      </c>
      <c r="E334" s="3">
        <v>47470000</v>
      </c>
      <c r="F334" s="19">
        <v>44013</v>
      </c>
      <c r="G334" s="3">
        <v>47470000</v>
      </c>
      <c r="H334" s="2">
        <v>5.0000000000000001E-3</v>
      </c>
      <c r="I334" s="19">
        <v>44166</v>
      </c>
      <c r="J334" s="19">
        <v>44196</v>
      </c>
      <c r="K334" s="3">
        <f t="shared" si="22"/>
        <v>31</v>
      </c>
      <c r="L334" s="3">
        <f t="shared" si="23"/>
        <v>20103</v>
      </c>
      <c r="M334" s="3">
        <v>47470000</v>
      </c>
    </row>
    <row r="335" spans="1:13" s="18" customFormat="1" hidden="1" outlineLevel="2">
      <c r="A335" s="19" t="s">
        <v>124</v>
      </c>
      <c r="B335" s="20" t="s">
        <v>30</v>
      </c>
      <c r="C335" s="21" t="s">
        <v>149</v>
      </c>
      <c r="D335" s="20" t="s">
        <v>148</v>
      </c>
      <c r="E335" s="3">
        <v>6665394</v>
      </c>
      <c r="F335" s="19">
        <v>44029</v>
      </c>
      <c r="G335" s="3">
        <v>6665394</v>
      </c>
      <c r="H335" s="2">
        <v>5.0000000000000001E-3</v>
      </c>
      <c r="I335" s="19">
        <v>44166</v>
      </c>
      <c r="J335" s="19">
        <v>44196</v>
      </c>
      <c r="K335" s="3">
        <f t="shared" si="22"/>
        <v>31</v>
      </c>
      <c r="L335" s="3">
        <f t="shared" si="23"/>
        <v>2823</v>
      </c>
      <c r="M335" s="3">
        <v>6665394</v>
      </c>
    </row>
    <row r="336" spans="1:13" s="18" customFormat="1" hidden="1" outlineLevel="2">
      <c r="A336" s="19" t="s">
        <v>124</v>
      </c>
      <c r="B336" s="20" t="s">
        <v>31</v>
      </c>
      <c r="C336" s="21" t="s">
        <v>149</v>
      </c>
      <c r="D336" s="20" t="s">
        <v>148</v>
      </c>
      <c r="E336" s="3">
        <v>12334606</v>
      </c>
      <c r="F336" s="19">
        <v>44029</v>
      </c>
      <c r="G336" s="3">
        <v>12334606</v>
      </c>
      <c r="H336" s="2">
        <v>5.0000000000000001E-3</v>
      </c>
      <c r="I336" s="19">
        <v>44166</v>
      </c>
      <c r="J336" s="19">
        <v>44196</v>
      </c>
      <c r="K336" s="3">
        <f t="shared" si="22"/>
        <v>31</v>
      </c>
      <c r="L336" s="3">
        <f t="shared" si="23"/>
        <v>5224</v>
      </c>
      <c r="M336" s="3">
        <v>12334606</v>
      </c>
    </row>
    <row r="337" spans="1:13" s="18" customFormat="1" hidden="1" outlineLevel="2">
      <c r="A337" s="19" t="s">
        <v>124</v>
      </c>
      <c r="B337" s="20" t="s">
        <v>32</v>
      </c>
      <c r="C337" s="21" t="s">
        <v>164</v>
      </c>
      <c r="D337" s="20" t="s">
        <v>163</v>
      </c>
      <c r="E337" s="3">
        <v>131500000</v>
      </c>
      <c r="F337" s="19">
        <v>44089</v>
      </c>
      <c r="G337" s="3">
        <v>131500000</v>
      </c>
      <c r="H337" s="2">
        <v>5.0000000000000001E-3</v>
      </c>
      <c r="I337" s="19">
        <v>44166</v>
      </c>
      <c r="J337" s="19">
        <v>44196</v>
      </c>
      <c r="K337" s="3">
        <f t="shared" si="22"/>
        <v>31</v>
      </c>
      <c r="L337" s="3">
        <f t="shared" si="23"/>
        <v>55690</v>
      </c>
      <c r="M337" s="3">
        <v>131500000</v>
      </c>
    </row>
    <row r="338" spans="1:13" s="18" customFormat="1" hidden="1" outlineLevel="2">
      <c r="A338" s="19" t="s">
        <v>124</v>
      </c>
      <c r="B338" s="20" t="s">
        <v>48</v>
      </c>
      <c r="C338" s="21" t="s">
        <v>77</v>
      </c>
      <c r="D338" s="20" t="s">
        <v>76</v>
      </c>
      <c r="E338" s="3">
        <v>10400000</v>
      </c>
      <c r="F338" s="19">
        <v>44096</v>
      </c>
      <c r="G338" s="3">
        <v>10400000</v>
      </c>
      <c r="H338" s="2">
        <v>5.0000000000000001E-3</v>
      </c>
      <c r="I338" s="19">
        <v>44166</v>
      </c>
      <c r="J338" s="19">
        <v>44196</v>
      </c>
      <c r="K338" s="3">
        <f t="shared" si="22"/>
        <v>31</v>
      </c>
      <c r="L338" s="3">
        <f t="shared" si="23"/>
        <v>4404</v>
      </c>
      <c r="M338" s="3">
        <v>10400000</v>
      </c>
    </row>
    <row r="339" spans="1:13" s="18" customFormat="1" hidden="1" outlineLevel="2">
      <c r="A339" s="19" t="s">
        <v>124</v>
      </c>
      <c r="B339" s="20" t="s">
        <v>59</v>
      </c>
      <c r="C339" s="21" t="s">
        <v>233</v>
      </c>
      <c r="D339" s="20" t="s">
        <v>232</v>
      </c>
      <c r="E339" s="3">
        <v>10000000</v>
      </c>
      <c r="F339" s="19">
        <v>44139</v>
      </c>
      <c r="G339" s="3">
        <v>10000000</v>
      </c>
      <c r="H339" s="2">
        <v>5.0000000000000001E-3</v>
      </c>
      <c r="I339" s="19">
        <v>44166</v>
      </c>
      <c r="J339" s="19">
        <v>44196</v>
      </c>
      <c r="K339" s="3">
        <f t="shared" si="22"/>
        <v>31</v>
      </c>
      <c r="L339" s="3">
        <f t="shared" si="23"/>
        <v>4235</v>
      </c>
      <c r="M339" s="3">
        <v>10000000</v>
      </c>
    </row>
    <row r="340" spans="1:13" s="18" customFormat="1" hidden="1" outlineLevel="2">
      <c r="A340" s="19" t="s">
        <v>124</v>
      </c>
      <c r="B340" s="20" t="s">
        <v>58</v>
      </c>
      <c r="C340" s="21" t="s">
        <v>233</v>
      </c>
      <c r="D340" s="20" t="s">
        <v>232</v>
      </c>
      <c r="E340" s="3">
        <v>10000000</v>
      </c>
      <c r="F340" s="19">
        <v>44152</v>
      </c>
      <c r="G340" s="3">
        <v>10000000</v>
      </c>
      <c r="H340" s="2">
        <v>5.0000000000000001E-3</v>
      </c>
      <c r="I340" s="19">
        <v>44166</v>
      </c>
      <c r="J340" s="19">
        <v>44196</v>
      </c>
      <c r="K340" s="3">
        <f t="shared" si="22"/>
        <v>31</v>
      </c>
      <c r="L340" s="3">
        <f t="shared" si="23"/>
        <v>4235</v>
      </c>
      <c r="M340" s="3">
        <v>10000000</v>
      </c>
    </row>
    <row r="341" spans="1:13" s="18" customFormat="1" ht="13.5" hidden="1" outlineLevel="1" collapsed="1">
      <c r="A341" s="22" t="s">
        <v>123</v>
      </c>
      <c r="B341" s="23"/>
      <c r="C341" s="24"/>
      <c r="D341" s="23"/>
      <c r="E341" s="25">
        <f>SUBTOTAL(9,E322:E340)</f>
        <v>0</v>
      </c>
      <c r="F341" s="26"/>
      <c r="G341" s="25"/>
      <c r="H341" s="27"/>
      <c r="I341" s="26"/>
      <c r="J341" s="26"/>
      <c r="K341" s="25"/>
      <c r="L341" s="25">
        <f>SUBTOTAL(9,L322:L340)</f>
        <v>0</v>
      </c>
      <c r="M341" s="25">
        <f>SUBTOTAL(9,M322:M340)</f>
        <v>0</v>
      </c>
    </row>
    <row r="342" spans="1:13" s="18" customFormat="1" hidden="1" outlineLevel="2">
      <c r="A342" s="19" t="s">
        <v>70</v>
      </c>
      <c r="B342" s="20" t="s">
        <v>16</v>
      </c>
      <c r="C342" s="21" t="s">
        <v>69</v>
      </c>
      <c r="D342" s="20" t="s">
        <v>68</v>
      </c>
      <c r="E342" s="3">
        <v>330000000</v>
      </c>
      <c r="F342" s="19">
        <v>43915</v>
      </c>
      <c r="G342" s="3">
        <v>330000000</v>
      </c>
      <c r="H342" s="2">
        <v>5.0000000000000001E-3</v>
      </c>
      <c r="I342" s="19">
        <v>44166</v>
      </c>
      <c r="J342" s="19">
        <v>44196</v>
      </c>
      <c r="K342" s="3">
        <f>J342-I342+1</f>
        <v>31</v>
      </c>
      <c r="L342" s="3">
        <f>ROUND(G342*H342*K342/366,0)</f>
        <v>139754</v>
      </c>
      <c r="M342" s="3">
        <v>330000000</v>
      </c>
    </row>
    <row r="343" spans="1:13" s="18" customFormat="1" hidden="1" outlineLevel="2">
      <c r="A343" s="19" t="s">
        <v>70</v>
      </c>
      <c r="B343" s="20" t="s">
        <v>23</v>
      </c>
      <c r="C343" s="21" t="s">
        <v>69</v>
      </c>
      <c r="D343" s="20" t="s">
        <v>68</v>
      </c>
      <c r="E343" s="3">
        <v>93600000</v>
      </c>
      <c r="F343" s="19">
        <v>43955</v>
      </c>
      <c r="G343" s="3">
        <v>93600000</v>
      </c>
      <c r="H343" s="2">
        <v>5.0000000000000001E-3</v>
      </c>
      <c r="I343" s="19">
        <v>44166</v>
      </c>
      <c r="J343" s="19">
        <v>44196</v>
      </c>
      <c r="K343" s="3">
        <f>J343-I343+1</f>
        <v>31</v>
      </c>
      <c r="L343" s="3">
        <f>ROUND(G343*H343*K343/366,0)</f>
        <v>39639</v>
      </c>
      <c r="M343" s="3">
        <v>93600000</v>
      </c>
    </row>
    <row r="344" spans="1:13" s="18" customFormat="1" hidden="1" outlineLevel="2">
      <c r="A344" s="19" t="s">
        <v>70</v>
      </c>
      <c r="B344" s="20" t="s">
        <v>29</v>
      </c>
      <c r="C344" s="21" t="s">
        <v>69</v>
      </c>
      <c r="D344" s="20" t="s">
        <v>68</v>
      </c>
      <c r="E344" s="3">
        <v>576400000</v>
      </c>
      <c r="F344" s="19">
        <v>44013</v>
      </c>
      <c r="G344" s="3">
        <v>576400000</v>
      </c>
      <c r="H344" s="2">
        <v>5.0000000000000001E-3</v>
      </c>
      <c r="I344" s="19">
        <v>44166</v>
      </c>
      <c r="J344" s="19">
        <v>44196</v>
      </c>
      <c r="K344" s="3">
        <f>J344-I344+1</f>
        <v>31</v>
      </c>
      <c r="L344" s="3">
        <f>ROUND(G344*H344*K344/366,0)</f>
        <v>244104</v>
      </c>
      <c r="M344" s="3">
        <v>576400000</v>
      </c>
    </row>
    <row r="345" spans="1:13" s="18" customFormat="1" ht="13.5" hidden="1" outlineLevel="1" collapsed="1">
      <c r="A345" s="22" t="s">
        <v>67</v>
      </c>
      <c r="B345" s="23"/>
      <c r="C345" s="24"/>
      <c r="D345" s="23"/>
      <c r="E345" s="25">
        <f>SUBTOTAL(9,E342:E344)</f>
        <v>0</v>
      </c>
      <c r="F345" s="26"/>
      <c r="G345" s="25"/>
      <c r="H345" s="27"/>
      <c r="I345" s="26"/>
      <c r="J345" s="26"/>
      <c r="K345" s="25"/>
      <c r="L345" s="25">
        <f>SUBTOTAL(9,L342:L344)</f>
        <v>0</v>
      </c>
      <c r="M345" s="25">
        <f>SUBTOTAL(9,M342:M344)</f>
        <v>0</v>
      </c>
    </row>
    <row r="346" spans="1:13" s="18" customFormat="1" hidden="1" outlineLevel="2">
      <c r="A346" s="19" t="s">
        <v>91</v>
      </c>
      <c r="B346" s="20" t="s">
        <v>16</v>
      </c>
      <c r="C346" s="21" t="s">
        <v>90</v>
      </c>
      <c r="D346" s="20" t="s">
        <v>89</v>
      </c>
      <c r="E346" s="3">
        <v>3400000</v>
      </c>
      <c r="F346" s="19">
        <v>43927</v>
      </c>
      <c r="G346" s="3">
        <v>3400000</v>
      </c>
      <c r="H346" s="2">
        <v>5.0000000000000001E-3</v>
      </c>
      <c r="I346" s="19">
        <v>44166</v>
      </c>
      <c r="J346" s="19">
        <v>44196</v>
      </c>
      <c r="K346" s="3">
        <f t="shared" ref="K346:K369" si="24">J346-I346+1</f>
        <v>31</v>
      </c>
      <c r="L346" s="3">
        <f t="shared" ref="L346:L369" si="25">ROUND(G346*H346*K346/366,0)</f>
        <v>1440</v>
      </c>
      <c r="M346" s="3">
        <v>3400000</v>
      </c>
    </row>
    <row r="347" spans="1:13" s="18" customFormat="1" hidden="1" outlineLevel="2">
      <c r="A347" s="19" t="s">
        <v>91</v>
      </c>
      <c r="B347" s="20" t="s">
        <v>61</v>
      </c>
      <c r="C347" s="21" t="s">
        <v>189</v>
      </c>
      <c r="D347" s="20" t="s">
        <v>190</v>
      </c>
      <c r="E347" s="3">
        <v>620000</v>
      </c>
      <c r="F347" s="19">
        <v>44148</v>
      </c>
      <c r="G347" s="3">
        <v>570000</v>
      </c>
      <c r="H347" s="2">
        <v>5.0000000000000001E-3</v>
      </c>
      <c r="I347" s="19">
        <v>44166</v>
      </c>
      <c r="J347" s="19">
        <v>44179</v>
      </c>
      <c r="K347" s="3">
        <f t="shared" si="24"/>
        <v>14</v>
      </c>
      <c r="L347" s="3">
        <f t="shared" si="25"/>
        <v>109</v>
      </c>
      <c r="M347" s="3">
        <v>560000</v>
      </c>
    </row>
    <row r="348" spans="1:13" s="18" customFormat="1" hidden="1" outlineLevel="2">
      <c r="A348" s="19" t="s">
        <v>91</v>
      </c>
      <c r="B348" s="20" t="s">
        <v>61</v>
      </c>
      <c r="C348" s="21" t="s">
        <v>189</v>
      </c>
      <c r="D348" s="20"/>
      <c r="E348" s="3"/>
      <c r="F348" s="19"/>
      <c r="G348" s="3">
        <v>560000</v>
      </c>
      <c r="H348" s="2">
        <v>5.0000000000000001E-3</v>
      </c>
      <c r="I348" s="19">
        <v>44180</v>
      </c>
      <c r="J348" s="19">
        <v>44196</v>
      </c>
      <c r="K348" s="3">
        <f t="shared" si="24"/>
        <v>17</v>
      </c>
      <c r="L348" s="3">
        <f t="shared" si="25"/>
        <v>130</v>
      </c>
      <c r="M348" s="3"/>
    </row>
    <row r="349" spans="1:13" s="18" customFormat="1" hidden="1" outlineLevel="2">
      <c r="A349" s="19" t="s">
        <v>91</v>
      </c>
      <c r="B349" s="20" t="s">
        <v>60</v>
      </c>
      <c r="C349" s="21" t="s">
        <v>189</v>
      </c>
      <c r="D349" s="20" t="s">
        <v>190</v>
      </c>
      <c r="E349" s="3">
        <v>3910000</v>
      </c>
      <c r="F349" s="19">
        <v>44165</v>
      </c>
      <c r="G349" s="3">
        <v>3910000</v>
      </c>
      <c r="H349" s="2">
        <v>5.0000000000000001E-3</v>
      </c>
      <c r="I349" s="19">
        <v>44166</v>
      </c>
      <c r="J349" s="19">
        <v>44179</v>
      </c>
      <c r="K349" s="3">
        <f t="shared" si="24"/>
        <v>14</v>
      </c>
      <c r="L349" s="3">
        <f t="shared" si="25"/>
        <v>748</v>
      </c>
      <c r="M349" s="3">
        <v>3808000</v>
      </c>
    </row>
    <row r="350" spans="1:13" s="18" customFormat="1" hidden="1" outlineLevel="2">
      <c r="A350" s="19" t="s">
        <v>91</v>
      </c>
      <c r="B350" s="20" t="s">
        <v>60</v>
      </c>
      <c r="C350" s="21" t="s">
        <v>189</v>
      </c>
      <c r="D350" s="20"/>
      <c r="E350" s="3"/>
      <c r="F350" s="19"/>
      <c r="G350" s="3">
        <v>3808000</v>
      </c>
      <c r="H350" s="2">
        <v>5.0000000000000001E-3</v>
      </c>
      <c r="I350" s="19">
        <v>44180</v>
      </c>
      <c r="J350" s="19">
        <v>44196</v>
      </c>
      <c r="K350" s="3">
        <f t="shared" si="24"/>
        <v>17</v>
      </c>
      <c r="L350" s="3">
        <f t="shared" si="25"/>
        <v>884</v>
      </c>
      <c r="M350" s="3"/>
    </row>
    <row r="351" spans="1:13" s="18" customFormat="1" hidden="1" outlineLevel="2">
      <c r="A351" s="19" t="s">
        <v>91</v>
      </c>
      <c r="B351" s="20" t="s">
        <v>66</v>
      </c>
      <c r="C351" s="21" t="s">
        <v>189</v>
      </c>
      <c r="D351" s="20" t="s">
        <v>190</v>
      </c>
      <c r="E351" s="3">
        <v>4030000</v>
      </c>
      <c r="F351" s="19">
        <v>44165</v>
      </c>
      <c r="G351" s="3">
        <v>4030000</v>
      </c>
      <c r="H351" s="2">
        <v>5.0000000000000001E-3</v>
      </c>
      <c r="I351" s="19">
        <v>44166</v>
      </c>
      <c r="J351" s="19">
        <v>44179</v>
      </c>
      <c r="K351" s="3">
        <f t="shared" si="24"/>
        <v>14</v>
      </c>
      <c r="L351" s="3">
        <f t="shared" si="25"/>
        <v>771</v>
      </c>
      <c r="M351" s="3">
        <v>3920000</v>
      </c>
    </row>
    <row r="352" spans="1:13" s="18" customFormat="1" hidden="1" outlineLevel="2">
      <c r="A352" s="19" t="s">
        <v>91</v>
      </c>
      <c r="B352" s="20" t="s">
        <v>66</v>
      </c>
      <c r="C352" s="21" t="s">
        <v>189</v>
      </c>
      <c r="D352" s="20"/>
      <c r="E352" s="3"/>
      <c r="F352" s="19"/>
      <c r="G352" s="3">
        <v>3920000</v>
      </c>
      <c r="H352" s="2">
        <v>5.0000000000000001E-3</v>
      </c>
      <c r="I352" s="19">
        <v>44180</v>
      </c>
      <c r="J352" s="19">
        <v>44196</v>
      </c>
      <c r="K352" s="3">
        <f t="shared" si="24"/>
        <v>17</v>
      </c>
      <c r="L352" s="3">
        <f t="shared" si="25"/>
        <v>910</v>
      </c>
      <c r="M352" s="3"/>
    </row>
    <row r="353" spans="1:13" s="18" customFormat="1" hidden="1" outlineLevel="2">
      <c r="A353" s="19" t="s">
        <v>91</v>
      </c>
      <c r="B353" s="20" t="s">
        <v>65</v>
      </c>
      <c r="C353" s="21" t="s">
        <v>189</v>
      </c>
      <c r="D353" s="20" t="s">
        <v>190</v>
      </c>
      <c r="E353" s="3">
        <v>570000</v>
      </c>
      <c r="F353" s="19">
        <v>44155</v>
      </c>
      <c r="G353" s="3">
        <v>570000</v>
      </c>
      <c r="H353" s="2">
        <v>5.0000000000000001E-3</v>
      </c>
      <c r="I353" s="19">
        <v>44166</v>
      </c>
      <c r="J353" s="19">
        <v>44196</v>
      </c>
      <c r="K353" s="3">
        <f t="shared" si="24"/>
        <v>31</v>
      </c>
      <c r="L353" s="3">
        <f t="shared" si="25"/>
        <v>241</v>
      </c>
      <c r="M353" s="3">
        <v>570000</v>
      </c>
    </row>
    <row r="354" spans="1:13" s="18" customFormat="1" hidden="1" outlineLevel="2">
      <c r="A354" s="19" t="s">
        <v>91</v>
      </c>
      <c r="B354" s="20" t="s">
        <v>64</v>
      </c>
      <c r="C354" s="21" t="s">
        <v>189</v>
      </c>
      <c r="D354" s="20" t="s">
        <v>190</v>
      </c>
      <c r="E354" s="3">
        <v>6000000</v>
      </c>
      <c r="F354" s="19">
        <v>44155</v>
      </c>
      <c r="G354" s="3">
        <v>6000000</v>
      </c>
      <c r="H354" s="2">
        <v>5.0000000000000001E-3</v>
      </c>
      <c r="I354" s="19">
        <v>44166</v>
      </c>
      <c r="J354" s="19">
        <v>44196</v>
      </c>
      <c r="K354" s="3">
        <f t="shared" si="24"/>
        <v>31</v>
      </c>
      <c r="L354" s="3">
        <f t="shared" si="25"/>
        <v>2541</v>
      </c>
      <c r="M354" s="3">
        <v>6000000</v>
      </c>
    </row>
    <row r="355" spans="1:13" s="18" customFormat="1" hidden="1" outlineLevel="2">
      <c r="A355" s="19" t="s">
        <v>91</v>
      </c>
      <c r="B355" s="20" t="s">
        <v>85</v>
      </c>
      <c r="C355" s="21" t="s">
        <v>189</v>
      </c>
      <c r="D355" s="20" t="s">
        <v>190</v>
      </c>
      <c r="E355" s="3">
        <v>270000</v>
      </c>
      <c r="F355" s="19">
        <v>44181</v>
      </c>
      <c r="G355" s="3">
        <v>270000</v>
      </c>
      <c r="H355" s="2">
        <v>5.0000000000000001E-3</v>
      </c>
      <c r="I355" s="19">
        <v>44181</v>
      </c>
      <c r="J355" s="19">
        <v>44196</v>
      </c>
      <c r="K355" s="3">
        <f t="shared" si="24"/>
        <v>16</v>
      </c>
      <c r="L355" s="3">
        <f t="shared" si="25"/>
        <v>59</v>
      </c>
      <c r="M355" s="3">
        <v>270000</v>
      </c>
    </row>
    <row r="356" spans="1:13" s="18" customFormat="1" hidden="1" outlineLevel="2">
      <c r="A356" s="19" t="s">
        <v>91</v>
      </c>
      <c r="B356" s="20" t="s">
        <v>84</v>
      </c>
      <c r="C356" s="21" t="s">
        <v>189</v>
      </c>
      <c r="D356" s="20" t="s">
        <v>190</v>
      </c>
      <c r="E356" s="3">
        <v>2400000</v>
      </c>
      <c r="F356" s="19">
        <v>44181</v>
      </c>
      <c r="G356" s="3">
        <v>2400000</v>
      </c>
      <c r="H356" s="2">
        <v>5.0000000000000001E-3</v>
      </c>
      <c r="I356" s="19">
        <v>44181</v>
      </c>
      <c r="J356" s="19">
        <v>44196</v>
      </c>
      <c r="K356" s="3">
        <f t="shared" si="24"/>
        <v>16</v>
      </c>
      <c r="L356" s="3">
        <f t="shared" si="25"/>
        <v>525</v>
      </c>
      <c r="M356" s="3">
        <v>2400000</v>
      </c>
    </row>
    <row r="357" spans="1:13" s="18" customFormat="1" hidden="1" outlineLevel="2">
      <c r="A357" s="19" t="s">
        <v>91</v>
      </c>
      <c r="B357" s="20" t="s">
        <v>83</v>
      </c>
      <c r="C357" s="21" t="s">
        <v>189</v>
      </c>
      <c r="D357" s="20" t="s">
        <v>190</v>
      </c>
      <c r="E357" s="3">
        <v>11000000</v>
      </c>
      <c r="F357" s="19">
        <v>44181</v>
      </c>
      <c r="G357" s="3">
        <v>11000000</v>
      </c>
      <c r="H357" s="2">
        <v>5.0000000000000001E-3</v>
      </c>
      <c r="I357" s="19">
        <v>44181</v>
      </c>
      <c r="J357" s="19">
        <v>44196</v>
      </c>
      <c r="K357" s="3">
        <f t="shared" si="24"/>
        <v>16</v>
      </c>
      <c r="L357" s="3">
        <f t="shared" si="25"/>
        <v>2404</v>
      </c>
      <c r="M357" s="3">
        <v>11000000</v>
      </c>
    </row>
    <row r="358" spans="1:13" s="18" customFormat="1" hidden="1" outlineLevel="2">
      <c r="A358" s="19" t="s">
        <v>91</v>
      </c>
      <c r="B358" s="20" t="s">
        <v>23</v>
      </c>
      <c r="C358" s="21" t="s">
        <v>90</v>
      </c>
      <c r="D358" s="20" t="s">
        <v>89</v>
      </c>
      <c r="E358" s="3">
        <v>70440000</v>
      </c>
      <c r="F358" s="19">
        <v>43951</v>
      </c>
      <c r="G358" s="3">
        <v>70440000</v>
      </c>
      <c r="H358" s="2">
        <v>5.0000000000000001E-3</v>
      </c>
      <c r="I358" s="19">
        <v>44166</v>
      </c>
      <c r="J358" s="19">
        <v>44196</v>
      </c>
      <c r="K358" s="3">
        <f t="shared" si="24"/>
        <v>31</v>
      </c>
      <c r="L358" s="3">
        <f t="shared" si="25"/>
        <v>29831</v>
      </c>
      <c r="M358" s="3">
        <v>70440000</v>
      </c>
    </row>
    <row r="359" spans="1:13" s="18" customFormat="1" hidden="1" outlineLevel="2">
      <c r="A359" s="19" t="s">
        <v>91</v>
      </c>
      <c r="B359" s="20" t="s">
        <v>29</v>
      </c>
      <c r="C359" s="21" t="s">
        <v>104</v>
      </c>
      <c r="D359" s="20" t="s">
        <v>103</v>
      </c>
      <c r="E359" s="3">
        <v>182300000</v>
      </c>
      <c r="F359" s="19">
        <v>43959</v>
      </c>
      <c r="G359" s="3">
        <v>182300000</v>
      </c>
      <c r="H359" s="2">
        <v>5.0000000000000001E-3</v>
      </c>
      <c r="I359" s="19">
        <v>44166</v>
      </c>
      <c r="J359" s="19">
        <v>44196</v>
      </c>
      <c r="K359" s="3">
        <f t="shared" si="24"/>
        <v>31</v>
      </c>
      <c r="L359" s="3">
        <f t="shared" si="25"/>
        <v>77204</v>
      </c>
      <c r="M359" s="3">
        <v>182300000</v>
      </c>
    </row>
    <row r="360" spans="1:13" s="18" customFormat="1" hidden="1" outlineLevel="2">
      <c r="A360" s="19" t="s">
        <v>91</v>
      </c>
      <c r="B360" s="20" t="s">
        <v>30</v>
      </c>
      <c r="C360" s="21" t="s">
        <v>189</v>
      </c>
      <c r="D360" s="20" t="s">
        <v>190</v>
      </c>
      <c r="E360" s="3">
        <v>610000</v>
      </c>
      <c r="F360" s="19">
        <v>44085</v>
      </c>
      <c r="G360" s="3">
        <v>570000</v>
      </c>
      <c r="H360" s="2">
        <v>5.0000000000000001E-3</v>
      </c>
      <c r="I360" s="19">
        <v>44166</v>
      </c>
      <c r="J360" s="19">
        <v>44179</v>
      </c>
      <c r="K360" s="3">
        <f t="shared" si="24"/>
        <v>14</v>
      </c>
      <c r="L360" s="3">
        <f t="shared" si="25"/>
        <v>109</v>
      </c>
      <c r="M360" s="3">
        <v>560000</v>
      </c>
    </row>
    <row r="361" spans="1:13" s="18" customFormat="1" hidden="1" outlineLevel="2">
      <c r="A361" s="19" t="s">
        <v>91</v>
      </c>
      <c r="B361" s="20" t="s">
        <v>30</v>
      </c>
      <c r="C361" s="21" t="s">
        <v>189</v>
      </c>
      <c r="D361" s="20"/>
      <c r="E361" s="3"/>
      <c r="F361" s="19"/>
      <c r="G361" s="3">
        <v>560000</v>
      </c>
      <c r="H361" s="2">
        <v>5.0000000000000001E-3</v>
      </c>
      <c r="I361" s="19">
        <v>44180</v>
      </c>
      <c r="J361" s="19">
        <v>44196</v>
      </c>
      <c r="K361" s="3">
        <f t="shared" si="24"/>
        <v>17</v>
      </c>
      <c r="L361" s="3">
        <f t="shared" si="25"/>
        <v>130</v>
      </c>
      <c r="M361" s="3"/>
    </row>
    <row r="362" spans="1:13" s="18" customFormat="1" hidden="1" outlineLevel="2">
      <c r="A362" s="19" t="s">
        <v>91</v>
      </c>
      <c r="B362" s="20" t="s">
        <v>31</v>
      </c>
      <c r="C362" s="21" t="s">
        <v>188</v>
      </c>
      <c r="D362" s="20" t="s">
        <v>89</v>
      </c>
      <c r="E362" s="3">
        <v>18080000</v>
      </c>
      <c r="F362" s="19">
        <v>44102</v>
      </c>
      <c r="G362" s="3">
        <v>18080000</v>
      </c>
      <c r="H362" s="2">
        <v>5.0000000000000001E-3</v>
      </c>
      <c r="I362" s="19">
        <v>44166</v>
      </c>
      <c r="J362" s="19">
        <v>44196</v>
      </c>
      <c r="K362" s="3">
        <f t="shared" si="24"/>
        <v>31</v>
      </c>
      <c r="L362" s="3">
        <f t="shared" si="25"/>
        <v>7657</v>
      </c>
      <c r="M362" s="3">
        <v>18080000</v>
      </c>
    </row>
    <row r="363" spans="1:13" s="18" customFormat="1" hidden="1" outlineLevel="2">
      <c r="A363" s="19" t="s">
        <v>91</v>
      </c>
      <c r="B363" s="20" t="s">
        <v>32</v>
      </c>
      <c r="C363" s="21" t="s">
        <v>188</v>
      </c>
      <c r="D363" s="20" t="s">
        <v>89</v>
      </c>
      <c r="E363" s="3">
        <v>50630000</v>
      </c>
      <c r="F363" s="19">
        <v>44131</v>
      </c>
      <c r="G363" s="3">
        <v>50630000</v>
      </c>
      <c r="H363" s="2">
        <v>5.0000000000000001E-3</v>
      </c>
      <c r="I363" s="19">
        <v>44166</v>
      </c>
      <c r="J363" s="19">
        <v>44196</v>
      </c>
      <c r="K363" s="3">
        <f t="shared" si="24"/>
        <v>31</v>
      </c>
      <c r="L363" s="3">
        <f t="shared" si="25"/>
        <v>21442</v>
      </c>
      <c r="M363" s="3">
        <v>50630000</v>
      </c>
    </row>
    <row r="364" spans="1:13" s="18" customFormat="1" hidden="1" outlineLevel="2">
      <c r="A364" s="19" t="s">
        <v>91</v>
      </c>
      <c r="B364" s="20" t="s">
        <v>48</v>
      </c>
      <c r="C364" s="21" t="s">
        <v>189</v>
      </c>
      <c r="D364" s="20" t="s">
        <v>190</v>
      </c>
      <c r="E364" s="3">
        <v>710000</v>
      </c>
      <c r="F364" s="19">
        <v>44110</v>
      </c>
      <c r="G364" s="3">
        <v>684000</v>
      </c>
      <c r="H364" s="2">
        <v>5.0000000000000001E-3</v>
      </c>
      <c r="I364" s="19">
        <v>44166</v>
      </c>
      <c r="J364" s="19">
        <v>44179</v>
      </c>
      <c r="K364" s="3">
        <f t="shared" si="24"/>
        <v>14</v>
      </c>
      <c r="L364" s="3">
        <f t="shared" si="25"/>
        <v>131</v>
      </c>
      <c r="M364" s="3">
        <v>672000</v>
      </c>
    </row>
    <row r="365" spans="1:13" s="18" customFormat="1" hidden="1" outlineLevel="2">
      <c r="A365" s="19" t="s">
        <v>91</v>
      </c>
      <c r="B365" s="20" t="s">
        <v>48</v>
      </c>
      <c r="C365" s="21" t="s">
        <v>189</v>
      </c>
      <c r="D365" s="20"/>
      <c r="E365" s="3"/>
      <c r="F365" s="19"/>
      <c r="G365" s="3">
        <v>672000</v>
      </c>
      <c r="H365" s="2">
        <v>5.0000000000000001E-3</v>
      </c>
      <c r="I365" s="19">
        <v>44180</v>
      </c>
      <c r="J365" s="19">
        <v>44196</v>
      </c>
      <c r="K365" s="3">
        <f t="shared" si="24"/>
        <v>17</v>
      </c>
      <c r="L365" s="3">
        <f t="shared" si="25"/>
        <v>156</v>
      </c>
      <c r="M365" s="3"/>
    </row>
    <row r="366" spans="1:13" s="18" customFormat="1" hidden="1" outlineLevel="2">
      <c r="A366" s="19" t="s">
        <v>91</v>
      </c>
      <c r="B366" s="20" t="s">
        <v>59</v>
      </c>
      <c r="C366" s="21" t="s">
        <v>189</v>
      </c>
      <c r="D366" s="20" t="s">
        <v>190</v>
      </c>
      <c r="E366" s="3">
        <v>830000</v>
      </c>
      <c r="F366" s="19">
        <v>44137</v>
      </c>
      <c r="G366" s="3">
        <v>798000</v>
      </c>
      <c r="H366" s="2">
        <v>5.0000000000000001E-3</v>
      </c>
      <c r="I366" s="19">
        <v>44166</v>
      </c>
      <c r="J366" s="19">
        <v>44179</v>
      </c>
      <c r="K366" s="3">
        <f t="shared" si="24"/>
        <v>14</v>
      </c>
      <c r="L366" s="3">
        <f t="shared" si="25"/>
        <v>153</v>
      </c>
      <c r="M366" s="3">
        <v>784000</v>
      </c>
    </row>
    <row r="367" spans="1:13" s="18" customFormat="1" hidden="1" outlineLevel="2">
      <c r="A367" s="19" t="s">
        <v>91</v>
      </c>
      <c r="B367" s="20" t="s">
        <v>59</v>
      </c>
      <c r="C367" s="21" t="s">
        <v>189</v>
      </c>
      <c r="D367" s="20"/>
      <c r="E367" s="3"/>
      <c r="F367" s="19"/>
      <c r="G367" s="3">
        <v>784000</v>
      </c>
      <c r="H367" s="2">
        <v>5.0000000000000001E-3</v>
      </c>
      <c r="I367" s="19">
        <v>44180</v>
      </c>
      <c r="J367" s="19">
        <v>44196</v>
      </c>
      <c r="K367" s="3">
        <f t="shared" si="24"/>
        <v>17</v>
      </c>
      <c r="L367" s="3">
        <f t="shared" si="25"/>
        <v>182</v>
      </c>
      <c r="M367" s="3"/>
    </row>
    <row r="368" spans="1:13" s="18" customFormat="1" hidden="1" outlineLevel="2">
      <c r="A368" s="19" t="s">
        <v>91</v>
      </c>
      <c r="B368" s="20" t="s">
        <v>58</v>
      </c>
      <c r="C368" s="21" t="s">
        <v>189</v>
      </c>
      <c r="D368" s="20" t="s">
        <v>190</v>
      </c>
      <c r="E368" s="3">
        <v>180000</v>
      </c>
      <c r="F368" s="19">
        <v>44141</v>
      </c>
      <c r="G368" s="3">
        <v>171000</v>
      </c>
      <c r="H368" s="2">
        <v>5.0000000000000001E-3</v>
      </c>
      <c r="I368" s="19">
        <v>44166</v>
      </c>
      <c r="J368" s="19">
        <v>44179</v>
      </c>
      <c r="K368" s="3">
        <f t="shared" si="24"/>
        <v>14</v>
      </c>
      <c r="L368" s="3">
        <f t="shared" si="25"/>
        <v>33</v>
      </c>
      <c r="M368" s="3">
        <v>168000</v>
      </c>
    </row>
    <row r="369" spans="1:13" s="18" customFormat="1" hidden="1" outlineLevel="2">
      <c r="A369" s="19" t="s">
        <v>91</v>
      </c>
      <c r="B369" s="20" t="s">
        <v>58</v>
      </c>
      <c r="C369" s="21" t="s">
        <v>189</v>
      </c>
      <c r="D369" s="20"/>
      <c r="E369" s="3"/>
      <c r="F369" s="19"/>
      <c r="G369" s="3">
        <v>168000</v>
      </c>
      <c r="H369" s="2">
        <v>5.0000000000000001E-3</v>
      </c>
      <c r="I369" s="19">
        <v>44180</v>
      </c>
      <c r="J369" s="19">
        <v>44196</v>
      </c>
      <c r="K369" s="3">
        <f t="shared" si="24"/>
        <v>17</v>
      </c>
      <c r="L369" s="3">
        <f t="shared" si="25"/>
        <v>39</v>
      </c>
      <c r="M369" s="3"/>
    </row>
    <row r="370" spans="1:13" s="18" customFormat="1" ht="13.5" hidden="1" outlineLevel="1" collapsed="1">
      <c r="A370" s="22" t="s">
        <v>88</v>
      </c>
      <c r="B370" s="23"/>
      <c r="C370" s="24"/>
      <c r="D370" s="23"/>
      <c r="E370" s="25">
        <f>SUBTOTAL(9,E346:E369)</f>
        <v>0</v>
      </c>
      <c r="F370" s="26"/>
      <c r="G370" s="25"/>
      <c r="H370" s="27"/>
      <c r="I370" s="26"/>
      <c r="J370" s="26"/>
      <c r="K370" s="25"/>
      <c r="L370" s="25">
        <f>SUBTOTAL(9,L346:L369)</f>
        <v>0</v>
      </c>
      <c r="M370" s="25">
        <f>SUBTOTAL(9,M346:M369)</f>
        <v>0</v>
      </c>
    </row>
    <row r="371" spans="1:13" s="18" customFormat="1" hidden="1" outlineLevel="2">
      <c r="A371" s="19" t="s">
        <v>231</v>
      </c>
      <c r="B371" s="20" t="s">
        <v>16</v>
      </c>
      <c r="C371" s="21" t="s">
        <v>158</v>
      </c>
      <c r="D371" s="20" t="s">
        <v>157</v>
      </c>
      <c r="E371" s="3">
        <v>26000000</v>
      </c>
      <c r="F371" s="19">
        <v>44140</v>
      </c>
      <c r="G371" s="3">
        <v>26000000</v>
      </c>
      <c r="H371" s="2">
        <v>5.0000000000000001E-3</v>
      </c>
      <c r="I371" s="19">
        <v>44166</v>
      </c>
      <c r="J371" s="19">
        <v>44196</v>
      </c>
      <c r="K371" s="3">
        <f>J371-I371+1</f>
        <v>31</v>
      </c>
      <c r="L371" s="3">
        <f>ROUND(G371*H371*K371/366,0)</f>
        <v>11011</v>
      </c>
      <c r="M371" s="3">
        <v>26000000</v>
      </c>
    </row>
    <row r="372" spans="1:13" s="18" customFormat="1" hidden="1" outlineLevel="2">
      <c r="A372" s="19" t="s">
        <v>231</v>
      </c>
      <c r="B372" s="20" t="s">
        <v>23</v>
      </c>
      <c r="C372" s="21" t="s">
        <v>158</v>
      </c>
      <c r="D372" s="20" t="s">
        <v>157</v>
      </c>
      <c r="E372" s="3">
        <v>10250000</v>
      </c>
      <c r="F372" s="19">
        <v>44140</v>
      </c>
      <c r="G372" s="3">
        <v>10250000</v>
      </c>
      <c r="H372" s="2">
        <v>5.0000000000000001E-3</v>
      </c>
      <c r="I372" s="19">
        <v>44166</v>
      </c>
      <c r="J372" s="19">
        <v>44196</v>
      </c>
      <c r="K372" s="3">
        <f>J372-I372+1</f>
        <v>31</v>
      </c>
      <c r="L372" s="3">
        <f>ROUND(G372*H372*K372/366,0)</f>
        <v>4341</v>
      </c>
      <c r="M372" s="3">
        <v>10250000</v>
      </c>
    </row>
    <row r="373" spans="1:13" s="18" customFormat="1" hidden="1" outlineLevel="2">
      <c r="A373" s="19" t="s">
        <v>231</v>
      </c>
      <c r="B373" s="20" t="s">
        <v>29</v>
      </c>
      <c r="C373" s="21" t="s">
        <v>158</v>
      </c>
      <c r="D373" s="20" t="s">
        <v>157</v>
      </c>
      <c r="E373" s="3">
        <v>3960000</v>
      </c>
      <c r="F373" s="19">
        <v>44148</v>
      </c>
      <c r="G373" s="3">
        <v>3960000</v>
      </c>
      <c r="H373" s="2">
        <v>5.0000000000000001E-3</v>
      </c>
      <c r="I373" s="19">
        <v>44166</v>
      </c>
      <c r="J373" s="19">
        <v>44196</v>
      </c>
      <c r="K373" s="3">
        <f>J373-I373+1</f>
        <v>31</v>
      </c>
      <c r="L373" s="3">
        <f>ROUND(G373*H373*K373/366,0)</f>
        <v>1677</v>
      </c>
      <c r="M373" s="3">
        <v>3960000</v>
      </c>
    </row>
    <row r="374" spans="1:13" s="18" customFormat="1" ht="13.5" hidden="1" outlineLevel="1" collapsed="1">
      <c r="A374" s="22" t="s">
        <v>230</v>
      </c>
      <c r="B374" s="23"/>
      <c r="C374" s="24"/>
      <c r="D374" s="23"/>
      <c r="E374" s="25">
        <f>SUBTOTAL(9,E371:E373)</f>
        <v>0</v>
      </c>
      <c r="F374" s="26"/>
      <c r="G374" s="25"/>
      <c r="H374" s="27"/>
      <c r="I374" s="26"/>
      <c r="J374" s="26"/>
      <c r="K374" s="25"/>
      <c r="L374" s="25">
        <f>SUBTOTAL(9,L371:L373)</f>
        <v>0</v>
      </c>
      <c r="M374" s="25">
        <f>SUBTOTAL(9,M371:M373)</f>
        <v>0</v>
      </c>
    </row>
    <row r="375" spans="1:13" s="18" customFormat="1" hidden="1" outlineLevel="2">
      <c r="A375" s="19" t="s">
        <v>207</v>
      </c>
      <c r="B375" s="20" t="s">
        <v>16</v>
      </c>
      <c r="C375" s="21" t="s">
        <v>203</v>
      </c>
      <c r="D375" s="20" t="s">
        <v>202</v>
      </c>
      <c r="E375" s="3">
        <v>50000000</v>
      </c>
      <c r="F375" s="19">
        <v>44099</v>
      </c>
      <c r="G375" s="3">
        <v>50000000</v>
      </c>
      <c r="H375" s="2">
        <v>5.0000000000000001E-3</v>
      </c>
      <c r="I375" s="19">
        <v>44166</v>
      </c>
      <c r="J375" s="19">
        <v>44196</v>
      </c>
      <c r="K375" s="3">
        <f>J375-I375+1</f>
        <v>31</v>
      </c>
      <c r="L375" s="3">
        <f>ROUND(G375*H375*K375/366,0)</f>
        <v>21175</v>
      </c>
      <c r="M375" s="3">
        <v>50000000</v>
      </c>
    </row>
    <row r="376" spans="1:13" s="18" customFormat="1" ht="13.5" hidden="1" outlineLevel="1" collapsed="1">
      <c r="A376" s="22" t="s">
        <v>206</v>
      </c>
      <c r="B376" s="23"/>
      <c r="C376" s="24"/>
      <c r="D376" s="23"/>
      <c r="E376" s="25">
        <f>SUBTOTAL(9,E375:E375)</f>
        <v>0</v>
      </c>
      <c r="F376" s="26"/>
      <c r="G376" s="25"/>
      <c r="H376" s="27"/>
      <c r="I376" s="26"/>
      <c r="J376" s="26"/>
      <c r="K376" s="25"/>
      <c r="L376" s="25">
        <f>SUBTOTAL(9,L375:L375)</f>
        <v>0</v>
      </c>
      <c r="M376" s="25">
        <f>SUBTOTAL(9,M375:M375)</f>
        <v>0</v>
      </c>
    </row>
    <row r="377" spans="1:13" s="18" customFormat="1" hidden="1" outlineLevel="2">
      <c r="A377" s="19" t="s">
        <v>87</v>
      </c>
      <c r="B377" s="20" t="s">
        <v>16</v>
      </c>
      <c r="C377" s="21" t="s">
        <v>69</v>
      </c>
      <c r="D377" s="20" t="s">
        <v>68</v>
      </c>
      <c r="E377" s="3">
        <v>43200000</v>
      </c>
      <c r="F377" s="19">
        <v>43937</v>
      </c>
      <c r="G377" s="3">
        <v>43200000</v>
      </c>
      <c r="H377" s="2">
        <v>3.0000000000000001E-3</v>
      </c>
      <c r="I377" s="19">
        <v>44166</v>
      </c>
      <c r="J377" s="19">
        <v>44196</v>
      </c>
      <c r="K377" s="3">
        <f>J377-I377+1</f>
        <v>31</v>
      </c>
      <c r="L377" s="3">
        <f>ROUND(G377*H377*K377/366,0)</f>
        <v>10977</v>
      </c>
      <c r="M377" s="3">
        <v>43200000</v>
      </c>
    </row>
    <row r="378" spans="1:13" s="18" customFormat="1" hidden="1" outlineLevel="2">
      <c r="A378" s="19" t="s">
        <v>87</v>
      </c>
      <c r="B378" s="20" t="s">
        <v>23</v>
      </c>
      <c r="C378" s="21" t="s">
        <v>69</v>
      </c>
      <c r="D378" s="20" t="s">
        <v>68</v>
      </c>
      <c r="E378" s="3">
        <v>330000000</v>
      </c>
      <c r="F378" s="19">
        <v>44013</v>
      </c>
      <c r="G378" s="3">
        <v>330000000</v>
      </c>
      <c r="H378" s="2">
        <v>3.0000000000000001E-3</v>
      </c>
      <c r="I378" s="19">
        <v>44166</v>
      </c>
      <c r="J378" s="19">
        <v>44196</v>
      </c>
      <c r="K378" s="3">
        <f>J378-I378+1</f>
        <v>31</v>
      </c>
      <c r="L378" s="3">
        <f>ROUND(G378*H378*K378/366,0)</f>
        <v>83852</v>
      </c>
      <c r="M378" s="3">
        <v>330000000</v>
      </c>
    </row>
    <row r="379" spans="1:13" s="18" customFormat="1" hidden="1" outlineLevel="2">
      <c r="A379" s="19" t="s">
        <v>87</v>
      </c>
      <c r="B379" s="20" t="s">
        <v>29</v>
      </c>
      <c r="C379" s="21" t="s">
        <v>69</v>
      </c>
      <c r="D379" s="20" t="s">
        <v>68</v>
      </c>
      <c r="E379" s="3">
        <v>120000000</v>
      </c>
      <c r="F379" s="19">
        <v>44049</v>
      </c>
      <c r="G379" s="3">
        <v>120000000</v>
      </c>
      <c r="H379" s="2">
        <v>3.0000000000000001E-3</v>
      </c>
      <c r="I379" s="19">
        <v>44166</v>
      </c>
      <c r="J379" s="19">
        <v>44196</v>
      </c>
      <c r="K379" s="3">
        <f>J379-I379+1</f>
        <v>31</v>
      </c>
      <c r="L379" s="3">
        <f>ROUND(G379*H379*K379/366,0)</f>
        <v>30492</v>
      </c>
      <c r="M379" s="3">
        <v>120000000</v>
      </c>
    </row>
    <row r="380" spans="1:13" s="18" customFormat="1" hidden="1" outlineLevel="2">
      <c r="A380" s="19" t="s">
        <v>87</v>
      </c>
      <c r="B380" s="20" t="s">
        <v>30</v>
      </c>
      <c r="C380" s="21" t="s">
        <v>69</v>
      </c>
      <c r="D380" s="20" t="s">
        <v>68</v>
      </c>
      <c r="E380" s="3">
        <v>39840000</v>
      </c>
      <c r="F380" s="19">
        <v>44111</v>
      </c>
      <c r="G380" s="3">
        <v>39840000</v>
      </c>
      <c r="H380" s="2">
        <v>3.0000000000000001E-3</v>
      </c>
      <c r="I380" s="19">
        <v>44166</v>
      </c>
      <c r="J380" s="19">
        <v>44196</v>
      </c>
      <c r="K380" s="3">
        <f>J380-I380+1</f>
        <v>31</v>
      </c>
      <c r="L380" s="3">
        <f>ROUND(G380*H380*K380/366,0)</f>
        <v>10123</v>
      </c>
      <c r="M380" s="3">
        <v>39840000</v>
      </c>
    </row>
    <row r="381" spans="1:13" s="18" customFormat="1" ht="13.5" hidden="1" outlineLevel="1" collapsed="1">
      <c r="A381" s="22" t="s">
        <v>86</v>
      </c>
      <c r="B381" s="23"/>
      <c r="C381" s="24"/>
      <c r="D381" s="23"/>
      <c r="E381" s="25">
        <f>SUBTOTAL(9,E377:E380)</f>
        <v>0</v>
      </c>
      <c r="F381" s="26"/>
      <c r="G381" s="25"/>
      <c r="H381" s="27"/>
      <c r="I381" s="26"/>
      <c r="J381" s="26"/>
      <c r="K381" s="25"/>
      <c r="L381" s="25">
        <f>SUBTOTAL(9,L377:L380)</f>
        <v>0</v>
      </c>
      <c r="M381" s="25">
        <f>SUBTOTAL(9,M377:M380)</f>
        <v>0</v>
      </c>
    </row>
    <row r="382" spans="1:13" s="18" customFormat="1" hidden="1" outlineLevel="2">
      <c r="A382" s="19" t="s">
        <v>40</v>
      </c>
      <c r="B382" s="20" t="s">
        <v>16</v>
      </c>
      <c r="C382" s="21" t="s">
        <v>41</v>
      </c>
      <c r="D382" s="20" t="s">
        <v>42</v>
      </c>
      <c r="E382" s="3">
        <v>126000000</v>
      </c>
      <c r="F382" s="19">
        <v>43804</v>
      </c>
      <c r="G382" s="3">
        <v>126000000</v>
      </c>
      <c r="H382" s="2">
        <v>5.0000000000000001E-3</v>
      </c>
      <c r="I382" s="19">
        <v>44166</v>
      </c>
      <c r="J382" s="19">
        <v>44196</v>
      </c>
      <c r="K382" s="3">
        <f t="shared" ref="K382:K413" si="26">J382-I382+1</f>
        <v>31</v>
      </c>
      <c r="L382" s="3">
        <f t="shared" ref="L382:L413" si="27">ROUND(G382*H382*K382/366,0)</f>
        <v>53361</v>
      </c>
      <c r="M382" s="3">
        <v>126000000</v>
      </c>
    </row>
    <row r="383" spans="1:13" s="18" customFormat="1" hidden="1" outlineLevel="2">
      <c r="A383" s="19" t="s">
        <v>40</v>
      </c>
      <c r="B383" s="20" t="s">
        <v>61</v>
      </c>
      <c r="C383" s="21" t="s">
        <v>47</v>
      </c>
      <c r="D383" s="20" t="s">
        <v>42</v>
      </c>
      <c r="E383" s="3">
        <v>46600000</v>
      </c>
      <c r="F383" s="19">
        <v>43866</v>
      </c>
      <c r="G383" s="3">
        <v>46600000</v>
      </c>
      <c r="H383" s="2">
        <v>5.0000000000000001E-3</v>
      </c>
      <c r="I383" s="19">
        <v>44166</v>
      </c>
      <c r="J383" s="19">
        <v>44196</v>
      </c>
      <c r="K383" s="3">
        <f t="shared" si="26"/>
        <v>31</v>
      </c>
      <c r="L383" s="3">
        <f t="shared" si="27"/>
        <v>19735</v>
      </c>
      <c r="M383" s="3">
        <v>46600000</v>
      </c>
    </row>
    <row r="384" spans="1:13" s="18" customFormat="1" hidden="1" outlineLevel="2">
      <c r="A384" s="19" t="s">
        <v>40</v>
      </c>
      <c r="B384" s="20" t="s">
        <v>60</v>
      </c>
      <c r="C384" s="21" t="s">
        <v>47</v>
      </c>
      <c r="D384" s="20" t="s">
        <v>42</v>
      </c>
      <c r="E384" s="3">
        <v>1300000</v>
      </c>
      <c r="F384" s="19">
        <v>43866</v>
      </c>
      <c r="G384" s="3">
        <v>1300000</v>
      </c>
      <c r="H384" s="2">
        <v>5.0000000000000001E-3</v>
      </c>
      <c r="I384" s="19">
        <v>44166</v>
      </c>
      <c r="J384" s="19">
        <v>44196</v>
      </c>
      <c r="K384" s="3">
        <f t="shared" si="26"/>
        <v>31</v>
      </c>
      <c r="L384" s="3">
        <f t="shared" si="27"/>
        <v>551</v>
      </c>
      <c r="M384" s="3">
        <v>1300000</v>
      </c>
    </row>
    <row r="385" spans="1:13" s="18" customFormat="1" hidden="1" outlineLevel="2">
      <c r="A385" s="19" t="s">
        <v>40</v>
      </c>
      <c r="B385" s="20" t="s">
        <v>66</v>
      </c>
      <c r="C385" s="21" t="s">
        <v>43</v>
      </c>
      <c r="D385" s="20" t="s">
        <v>44</v>
      </c>
      <c r="E385" s="3">
        <v>9087600</v>
      </c>
      <c r="F385" s="19">
        <v>43901</v>
      </c>
      <c r="G385" s="3">
        <v>9087600</v>
      </c>
      <c r="H385" s="2">
        <v>5.0000000000000001E-3</v>
      </c>
      <c r="I385" s="19">
        <v>44166</v>
      </c>
      <c r="J385" s="19">
        <v>44196</v>
      </c>
      <c r="K385" s="3">
        <f t="shared" si="26"/>
        <v>31</v>
      </c>
      <c r="L385" s="3">
        <f t="shared" si="27"/>
        <v>3849</v>
      </c>
      <c r="M385" s="3">
        <v>9087600</v>
      </c>
    </row>
    <row r="386" spans="1:13" s="18" customFormat="1" hidden="1" outlineLevel="2">
      <c r="A386" s="19" t="s">
        <v>40</v>
      </c>
      <c r="B386" s="20" t="s">
        <v>65</v>
      </c>
      <c r="C386" s="21" t="s">
        <v>43</v>
      </c>
      <c r="D386" s="20" t="s">
        <v>44</v>
      </c>
      <c r="E386" s="3">
        <v>7270080</v>
      </c>
      <c r="F386" s="19">
        <v>43901</v>
      </c>
      <c r="G386" s="3">
        <v>7270080</v>
      </c>
      <c r="H386" s="2">
        <v>5.0000000000000001E-3</v>
      </c>
      <c r="I386" s="19">
        <v>44166</v>
      </c>
      <c r="J386" s="19">
        <v>44196</v>
      </c>
      <c r="K386" s="3">
        <f t="shared" si="26"/>
        <v>31</v>
      </c>
      <c r="L386" s="3">
        <f t="shared" si="27"/>
        <v>3079</v>
      </c>
      <c r="M386" s="3">
        <v>7270080</v>
      </c>
    </row>
    <row r="387" spans="1:13" s="18" customFormat="1" hidden="1" outlineLevel="2">
      <c r="A387" s="19" t="s">
        <v>40</v>
      </c>
      <c r="B387" s="20" t="s">
        <v>64</v>
      </c>
      <c r="C387" s="21" t="s">
        <v>47</v>
      </c>
      <c r="D387" s="20" t="s">
        <v>42</v>
      </c>
      <c r="E387" s="3">
        <v>99400000</v>
      </c>
      <c r="F387" s="19">
        <v>43917</v>
      </c>
      <c r="G387" s="3">
        <v>99400000</v>
      </c>
      <c r="H387" s="2">
        <v>5.0000000000000001E-3</v>
      </c>
      <c r="I387" s="19">
        <v>44166</v>
      </c>
      <c r="J387" s="19">
        <v>44196</v>
      </c>
      <c r="K387" s="3">
        <f t="shared" si="26"/>
        <v>31</v>
      </c>
      <c r="L387" s="3">
        <f t="shared" si="27"/>
        <v>42096</v>
      </c>
      <c r="M387" s="3">
        <v>99400000</v>
      </c>
    </row>
    <row r="388" spans="1:13" s="18" customFormat="1" hidden="1" outlineLevel="2">
      <c r="A388" s="19" t="s">
        <v>40</v>
      </c>
      <c r="B388" s="20" t="s">
        <v>85</v>
      </c>
      <c r="C388" s="21" t="s">
        <v>43</v>
      </c>
      <c r="D388" s="20" t="s">
        <v>44</v>
      </c>
      <c r="E388" s="3">
        <v>9087600</v>
      </c>
      <c r="F388" s="19">
        <v>43929</v>
      </c>
      <c r="G388" s="3">
        <v>9087600</v>
      </c>
      <c r="H388" s="2">
        <v>5.0000000000000001E-3</v>
      </c>
      <c r="I388" s="19">
        <v>44166</v>
      </c>
      <c r="J388" s="19">
        <v>44196</v>
      </c>
      <c r="K388" s="3">
        <f t="shared" si="26"/>
        <v>31</v>
      </c>
      <c r="L388" s="3">
        <f t="shared" si="27"/>
        <v>3849</v>
      </c>
      <c r="M388" s="3">
        <v>9087600</v>
      </c>
    </row>
    <row r="389" spans="1:13" s="18" customFormat="1" hidden="1" outlineLevel="2">
      <c r="A389" s="19" t="s">
        <v>40</v>
      </c>
      <c r="B389" s="20" t="s">
        <v>84</v>
      </c>
      <c r="C389" s="21" t="s">
        <v>43</v>
      </c>
      <c r="D389" s="20" t="s">
        <v>44</v>
      </c>
      <c r="E389" s="3">
        <v>13007640</v>
      </c>
      <c r="F389" s="19">
        <v>43929</v>
      </c>
      <c r="G389" s="3">
        <v>13007640</v>
      </c>
      <c r="H389" s="2">
        <v>5.0000000000000001E-3</v>
      </c>
      <c r="I389" s="19">
        <v>44166</v>
      </c>
      <c r="J389" s="19">
        <v>44196</v>
      </c>
      <c r="K389" s="3">
        <f t="shared" si="26"/>
        <v>31</v>
      </c>
      <c r="L389" s="3">
        <f t="shared" si="27"/>
        <v>5509</v>
      </c>
      <c r="M389" s="3">
        <v>13007640</v>
      </c>
    </row>
    <row r="390" spans="1:13" s="18" customFormat="1" hidden="1" outlineLevel="2">
      <c r="A390" s="19" t="s">
        <v>40</v>
      </c>
      <c r="B390" s="20" t="s">
        <v>83</v>
      </c>
      <c r="C390" s="21" t="s">
        <v>82</v>
      </c>
      <c r="D390" s="20" t="s">
        <v>81</v>
      </c>
      <c r="E390" s="3">
        <v>61668037</v>
      </c>
      <c r="F390" s="19">
        <v>43949</v>
      </c>
      <c r="G390" s="3">
        <v>61668037</v>
      </c>
      <c r="H390" s="2">
        <v>5.0000000000000001E-3</v>
      </c>
      <c r="I390" s="19">
        <v>44166</v>
      </c>
      <c r="J390" s="19">
        <v>44196</v>
      </c>
      <c r="K390" s="3">
        <f t="shared" si="26"/>
        <v>31</v>
      </c>
      <c r="L390" s="3">
        <f t="shared" si="27"/>
        <v>26116</v>
      </c>
      <c r="M390" s="3">
        <v>61668037</v>
      </c>
    </row>
    <row r="391" spans="1:13" s="18" customFormat="1" hidden="1" outlineLevel="2">
      <c r="A391" s="19" t="s">
        <v>40</v>
      </c>
      <c r="B391" s="20" t="s">
        <v>102</v>
      </c>
      <c r="C391" s="21" t="s">
        <v>43</v>
      </c>
      <c r="D391" s="20" t="s">
        <v>44</v>
      </c>
      <c r="E391" s="3">
        <v>13007640</v>
      </c>
      <c r="F391" s="19">
        <v>43964</v>
      </c>
      <c r="G391" s="3">
        <v>13007640</v>
      </c>
      <c r="H391" s="2">
        <v>5.0000000000000001E-3</v>
      </c>
      <c r="I391" s="19">
        <v>44166</v>
      </c>
      <c r="J391" s="19">
        <v>44196</v>
      </c>
      <c r="K391" s="3">
        <f t="shared" si="26"/>
        <v>31</v>
      </c>
      <c r="L391" s="3">
        <f t="shared" si="27"/>
        <v>5509</v>
      </c>
      <c r="M391" s="3">
        <v>13007640</v>
      </c>
    </row>
    <row r="392" spans="1:13" s="18" customFormat="1" hidden="1" outlineLevel="2">
      <c r="A392" s="19" t="s">
        <v>40</v>
      </c>
      <c r="B392" s="20" t="s">
        <v>101</v>
      </c>
      <c r="C392" s="21" t="s">
        <v>43</v>
      </c>
      <c r="D392" s="20" t="s">
        <v>44</v>
      </c>
      <c r="E392" s="3">
        <v>6361320</v>
      </c>
      <c r="F392" s="19">
        <v>43964</v>
      </c>
      <c r="G392" s="3">
        <v>6361320</v>
      </c>
      <c r="H392" s="2">
        <v>5.0000000000000001E-3</v>
      </c>
      <c r="I392" s="19">
        <v>44166</v>
      </c>
      <c r="J392" s="19">
        <v>44196</v>
      </c>
      <c r="K392" s="3">
        <f t="shared" si="26"/>
        <v>31</v>
      </c>
      <c r="L392" s="3">
        <f t="shared" si="27"/>
        <v>2694</v>
      </c>
      <c r="M392" s="3">
        <v>6361320</v>
      </c>
    </row>
    <row r="393" spans="1:13" s="18" customFormat="1" hidden="1" outlineLevel="2">
      <c r="A393" s="19" t="s">
        <v>40</v>
      </c>
      <c r="B393" s="20" t="s">
        <v>23</v>
      </c>
      <c r="C393" s="21" t="s">
        <v>43</v>
      </c>
      <c r="D393" s="20" t="s">
        <v>44</v>
      </c>
      <c r="E393" s="3">
        <v>5452560</v>
      </c>
      <c r="F393" s="19">
        <v>43810</v>
      </c>
      <c r="G393" s="3">
        <v>5452560</v>
      </c>
      <c r="H393" s="2">
        <v>5.0000000000000001E-3</v>
      </c>
      <c r="I393" s="19">
        <v>44166</v>
      </c>
      <c r="J393" s="19">
        <v>44196</v>
      </c>
      <c r="K393" s="3">
        <f t="shared" si="26"/>
        <v>31</v>
      </c>
      <c r="L393" s="3">
        <f t="shared" si="27"/>
        <v>2309</v>
      </c>
      <c r="M393" s="3">
        <v>5452560</v>
      </c>
    </row>
    <row r="394" spans="1:13" s="18" customFormat="1" hidden="1" outlineLevel="2">
      <c r="A394" s="19" t="s">
        <v>40</v>
      </c>
      <c r="B394" s="20" t="s">
        <v>100</v>
      </c>
      <c r="C394" s="21" t="s">
        <v>47</v>
      </c>
      <c r="D394" s="20" t="s">
        <v>42</v>
      </c>
      <c r="E394" s="3">
        <v>69800000</v>
      </c>
      <c r="F394" s="19">
        <v>43956</v>
      </c>
      <c r="G394" s="3">
        <v>69800000</v>
      </c>
      <c r="H394" s="2">
        <v>5.0000000000000001E-3</v>
      </c>
      <c r="I394" s="19">
        <v>44166</v>
      </c>
      <c r="J394" s="19">
        <v>44196</v>
      </c>
      <c r="K394" s="3">
        <f t="shared" si="26"/>
        <v>31</v>
      </c>
      <c r="L394" s="3">
        <f t="shared" si="27"/>
        <v>29560</v>
      </c>
      <c r="M394" s="3">
        <v>69800000</v>
      </c>
    </row>
    <row r="395" spans="1:13" s="18" customFormat="1" hidden="1" outlineLevel="2">
      <c r="A395" s="19" t="s">
        <v>40</v>
      </c>
      <c r="B395" s="20" t="s">
        <v>99</v>
      </c>
      <c r="C395" s="21" t="s">
        <v>47</v>
      </c>
      <c r="D395" s="20" t="s">
        <v>42</v>
      </c>
      <c r="E395" s="3">
        <v>1500000</v>
      </c>
      <c r="F395" s="19">
        <v>43956</v>
      </c>
      <c r="G395" s="3">
        <v>1500000</v>
      </c>
      <c r="H395" s="2">
        <v>5.0000000000000001E-3</v>
      </c>
      <c r="I395" s="19">
        <v>44166</v>
      </c>
      <c r="J395" s="19">
        <v>44196</v>
      </c>
      <c r="K395" s="3">
        <f t="shared" si="26"/>
        <v>31</v>
      </c>
      <c r="L395" s="3">
        <f t="shared" si="27"/>
        <v>635</v>
      </c>
      <c r="M395" s="3">
        <v>1500000</v>
      </c>
    </row>
    <row r="396" spans="1:13" s="18" customFormat="1" hidden="1" outlineLevel="2">
      <c r="A396" s="19" t="s">
        <v>40</v>
      </c>
      <c r="B396" s="20" t="s">
        <v>98</v>
      </c>
      <c r="C396" s="21" t="s">
        <v>97</v>
      </c>
      <c r="D396" s="20" t="s">
        <v>96</v>
      </c>
      <c r="E396" s="3">
        <v>50000000</v>
      </c>
      <c r="F396" s="19">
        <v>43976</v>
      </c>
      <c r="G396" s="3">
        <v>50000000</v>
      </c>
      <c r="H396" s="2">
        <v>5.0000000000000001E-3</v>
      </c>
      <c r="I396" s="19">
        <v>44166</v>
      </c>
      <c r="J396" s="19">
        <v>44196</v>
      </c>
      <c r="K396" s="3">
        <f t="shared" si="26"/>
        <v>31</v>
      </c>
      <c r="L396" s="3">
        <f t="shared" si="27"/>
        <v>21175</v>
      </c>
      <c r="M396" s="3">
        <v>50000000</v>
      </c>
    </row>
    <row r="397" spans="1:13" s="18" customFormat="1" hidden="1" outlineLevel="2">
      <c r="A397" s="19" t="s">
        <v>40</v>
      </c>
      <c r="B397" s="20" t="s">
        <v>122</v>
      </c>
      <c r="C397" s="21" t="s">
        <v>43</v>
      </c>
      <c r="D397" s="20" t="s">
        <v>44</v>
      </c>
      <c r="E397" s="3">
        <v>6657720</v>
      </c>
      <c r="F397" s="19">
        <v>43992</v>
      </c>
      <c r="G397" s="3">
        <v>6657720</v>
      </c>
      <c r="H397" s="2">
        <v>5.0000000000000001E-3</v>
      </c>
      <c r="I397" s="19">
        <v>44166</v>
      </c>
      <c r="J397" s="19">
        <v>44196</v>
      </c>
      <c r="K397" s="3">
        <f t="shared" si="26"/>
        <v>31</v>
      </c>
      <c r="L397" s="3">
        <f t="shared" si="27"/>
        <v>2820</v>
      </c>
      <c r="M397" s="3">
        <v>6657720</v>
      </c>
    </row>
    <row r="398" spans="1:13" s="18" customFormat="1" hidden="1" outlineLevel="2">
      <c r="A398" s="19" t="s">
        <v>40</v>
      </c>
      <c r="B398" s="20" t="s">
        <v>121</v>
      </c>
      <c r="C398" s="21" t="s">
        <v>43</v>
      </c>
      <c r="D398" s="20" t="s">
        <v>44</v>
      </c>
      <c r="E398" s="3">
        <v>6361320</v>
      </c>
      <c r="F398" s="19">
        <v>43992</v>
      </c>
      <c r="G398" s="3">
        <v>6361320</v>
      </c>
      <c r="H398" s="2">
        <v>5.0000000000000001E-3</v>
      </c>
      <c r="I398" s="19">
        <v>44166</v>
      </c>
      <c r="J398" s="19">
        <v>44196</v>
      </c>
      <c r="K398" s="3">
        <f t="shared" si="26"/>
        <v>31</v>
      </c>
      <c r="L398" s="3">
        <f t="shared" si="27"/>
        <v>2694</v>
      </c>
      <c r="M398" s="3">
        <v>6361320</v>
      </c>
    </row>
    <row r="399" spans="1:13" s="18" customFormat="1" hidden="1" outlineLevel="2">
      <c r="A399" s="19" t="s">
        <v>40</v>
      </c>
      <c r="B399" s="20" t="s">
        <v>120</v>
      </c>
      <c r="C399" s="21" t="s">
        <v>47</v>
      </c>
      <c r="D399" s="20" t="s">
        <v>42</v>
      </c>
      <c r="E399" s="3">
        <v>41200000</v>
      </c>
      <c r="F399" s="19">
        <v>43987</v>
      </c>
      <c r="G399" s="3">
        <v>41200000</v>
      </c>
      <c r="H399" s="2">
        <v>5.0000000000000001E-3</v>
      </c>
      <c r="I399" s="19">
        <v>44166</v>
      </c>
      <c r="J399" s="19">
        <v>44196</v>
      </c>
      <c r="K399" s="3">
        <f t="shared" si="26"/>
        <v>31</v>
      </c>
      <c r="L399" s="3">
        <f t="shared" si="27"/>
        <v>17448</v>
      </c>
      <c r="M399" s="3">
        <v>41200000</v>
      </c>
    </row>
    <row r="400" spans="1:13" s="18" customFormat="1" hidden="1" outlineLevel="2">
      <c r="A400" s="19" t="s">
        <v>40</v>
      </c>
      <c r="B400" s="20" t="s">
        <v>147</v>
      </c>
      <c r="C400" s="21" t="s">
        <v>43</v>
      </c>
      <c r="D400" s="20" t="s">
        <v>44</v>
      </c>
      <c r="E400" s="3">
        <v>6657720</v>
      </c>
      <c r="F400" s="19">
        <v>44020</v>
      </c>
      <c r="G400" s="3">
        <v>6657720</v>
      </c>
      <c r="H400" s="2">
        <v>5.0000000000000001E-3</v>
      </c>
      <c r="I400" s="19">
        <v>44166</v>
      </c>
      <c r="J400" s="19">
        <v>44196</v>
      </c>
      <c r="K400" s="3">
        <f t="shared" si="26"/>
        <v>31</v>
      </c>
      <c r="L400" s="3">
        <f t="shared" si="27"/>
        <v>2820</v>
      </c>
      <c r="M400" s="3">
        <v>6657720</v>
      </c>
    </row>
    <row r="401" spans="1:13" s="18" customFormat="1" hidden="1" outlineLevel="2">
      <c r="A401" s="19" t="s">
        <v>40</v>
      </c>
      <c r="B401" s="20" t="s">
        <v>146</v>
      </c>
      <c r="C401" s="21" t="s">
        <v>43</v>
      </c>
      <c r="D401" s="20" t="s">
        <v>44</v>
      </c>
      <c r="E401" s="3">
        <v>6657720</v>
      </c>
      <c r="F401" s="19">
        <v>44020</v>
      </c>
      <c r="G401" s="3">
        <v>6657720</v>
      </c>
      <c r="H401" s="2">
        <v>5.0000000000000001E-3</v>
      </c>
      <c r="I401" s="19">
        <v>44166</v>
      </c>
      <c r="J401" s="19">
        <v>44196</v>
      </c>
      <c r="K401" s="3">
        <f t="shared" si="26"/>
        <v>31</v>
      </c>
      <c r="L401" s="3">
        <f t="shared" si="27"/>
        <v>2820</v>
      </c>
      <c r="M401" s="3">
        <v>6657720</v>
      </c>
    </row>
    <row r="402" spans="1:13" s="18" customFormat="1" hidden="1" outlineLevel="2">
      <c r="A402" s="19" t="s">
        <v>40</v>
      </c>
      <c r="B402" s="20" t="s">
        <v>145</v>
      </c>
      <c r="C402" s="21" t="s">
        <v>47</v>
      </c>
      <c r="D402" s="20" t="s">
        <v>42</v>
      </c>
      <c r="E402" s="3">
        <v>11800000</v>
      </c>
      <c r="F402" s="19">
        <v>44015</v>
      </c>
      <c r="G402" s="3">
        <v>11800000</v>
      </c>
      <c r="H402" s="2">
        <v>5.0000000000000001E-3</v>
      </c>
      <c r="I402" s="19">
        <v>44166</v>
      </c>
      <c r="J402" s="19">
        <v>44196</v>
      </c>
      <c r="K402" s="3">
        <f t="shared" si="26"/>
        <v>31</v>
      </c>
      <c r="L402" s="3">
        <f t="shared" si="27"/>
        <v>4997</v>
      </c>
      <c r="M402" s="3">
        <v>11800000</v>
      </c>
    </row>
    <row r="403" spans="1:13" s="18" customFormat="1" hidden="1" outlineLevel="2">
      <c r="A403" s="19" t="s">
        <v>40</v>
      </c>
      <c r="B403" s="20" t="s">
        <v>144</v>
      </c>
      <c r="C403" s="21" t="s">
        <v>47</v>
      </c>
      <c r="D403" s="20" t="s">
        <v>42</v>
      </c>
      <c r="E403" s="3">
        <v>2600000</v>
      </c>
      <c r="F403" s="19">
        <v>44015</v>
      </c>
      <c r="G403" s="3">
        <v>2600000</v>
      </c>
      <c r="H403" s="2">
        <v>5.0000000000000001E-3</v>
      </c>
      <c r="I403" s="19">
        <v>44166</v>
      </c>
      <c r="J403" s="19">
        <v>44196</v>
      </c>
      <c r="K403" s="3">
        <f t="shared" si="26"/>
        <v>31</v>
      </c>
      <c r="L403" s="3">
        <f t="shared" si="27"/>
        <v>1101</v>
      </c>
      <c r="M403" s="3">
        <v>2600000</v>
      </c>
    </row>
    <row r="404" spans="1:13" s="18" customFormat="1" hidden="1" outlineLevel="2">
      <c r="A404" s="19" t="s">
        <v>40</v>
      </c>
      <c r="B404" s="20" t="s">
        <v>29</v>
      </c>
      <c r="C404" s="21" t="s">
        <v>45</v>
      </c>
      <c r="D404" s="20" t="s">
        <v>46</v>
      </c>
      <c r="E404" s="3">
        <v>220000000</v>
      </c>
      <c r="F404" s="19">
        <v>43815</v>
      </c>
      <c r="G404" s="3">
        <v>220000000</v>
      </c>
      <c r="H404" s="2">
        <v>5.0000000000000001E-3</v>
      </c>
      <c r="I404" s="19">
        <v>44166</v>
      </c>
      <c r="J404" s="19">
        <v>44196</v>
      </c>
      <c r="K404" s="3">
        <f t="shared" si="26"/>
        <v>31</v>
      </c>
      <c r="L404" s="3">
        <f t="shared" si="27"/>
        <v>93169</v>
      </c>
      <c r="M404" s="3">
        <v>220000000</v>
      </c>
    </row>
    <row r="405" spans="1:13" s="18" customFormat="1" hidden="1" outlineLevel="2">
      <c r="A405" s="19" t="s">
        <v>40</v>
      </c>
      <c r="B405" s="20" t="s">
        <v>143</v>
      </c>
      <c r="C405" s="21" t="s">
        <v>27</v>
      </c>
      <c r="D405" s="20" t="s">
        <v>28</v>
      </c>
      <c r="E405" s="3">
        <v>10400000</v>
      </c>
      <c r="F405" s="19">
        <v>44033</v>
      </c>
      <c r="G405" s="3">
        <v>10400000</v>
      </c>
      <c r="H405" s="2">
        <v>5.0000000000000001E-3</v>
      </c>
      <c r="I405" s="19">
        <v>44166</v>
      </c>
      <c r="J405" s="19">
        <v>44196</v>
      </c>
      <c r="K405" s="3">
        <f t="shared" si="26"/>
        <v>31</v>
      </c>
      <c r="L405" s="3">
        <f t="shared" si="27"/>
        <v>4404</v>
      </c>
      <c r="M405" s="3">
        <v>10400000</v>
      </c>
    </row>
    <row r="406" spans="1:13" s="18" customFormat="1" hidden="1" outlineLevel="2">
      <c r="A406" s="19" t="s">
        <v>40</v>
      </c>
      <c r="B406" s="20" t="s">
        <v>142</v>
      </c>
      <c r="C406" s="21" t="s">
        <v>141</v>
      </c>
      <c r="D406" s="20" t="s">
        <v>140</v>
      </c>
      <c r="E406" s="3">
        <v>28200000</v>
      </c>
      <c r="F406" s="19">
        <v>44027</v>
      </c>
      <c r="G406" s="3">
        <v>28200000</v>
      </c>
      <c r="H406" s="2">
        <v>5.0000000000000001E-3</v>
      </c>
      <c r="I406" s="19">
        <v>44166</v>
      </c>
      <c r="J406" s="19">
        <v>44196</v>
      </c>
      <c r="K406" s="3">
        <f t="shared" si="26"/>
        <v>31</v>
      </c>
      <c r="L406" s="3">
        <f t="shared" si="27"/>
        <v>11943</v>
      </c>
      <c r="M406" s="3">
        <v>28200000</v>
      </c>
    </row>
    <row r="407" spans="1:13" s="18" customFormat="1" hidden="1" outlineLevel="2">
      <c r="A407" s="19" t="s">
        <v>40</v>
      </c>
      <c r="B407" s="20" t="s">
        <v>152</v>
      </c>
      <c r="C407" s="21" t="s">
        <v>43</v>
      </c>
      <c r="D407" s="20" t="s">
        <v>44</v>
      </c>
      <c r="E407" s="3">
        <v>6657720</v>
      </c>
      <c r="F407" s="19">
        <v>44055</v>
      </c>
      <c r="G407" s="3">
        <v>6657720</v>
      </c>
      <c r="H407" s="2">
        <v>5.0000000000000001E-3</v>
      </c>
      <c r="I407" s="19">
        <v>44166</v>
      </c>
      <c r="J407" s="19">
        <v>44196</v>
      </c>
      <c r="K407" s="3">
        <f t="shared" si="26"/>
        <v>31</v>
      </c>
      <c r="L407" s="3">
        <f t="shared" si="27"/>
        <v>2820</v>
      </c>
      <c r="M407" s="3">
        <v>6657720</v>
      </c>
    </row>
    <row r="408" spans="1:13" s="18" customFormat="1" hidden="1" outlineLevel="2">
      <c r="A408" s="19" t="s">
        <v>40</v>
      </c>
      <c r="B408" s="20" t="s">
        <v>168</v>
      </c>
      <c r="C408" s="21" t="s">
        <v>43</v>
      </c>
      <c r="D408" s="20" t="s">
        <v>44</v>
      </c>
      <c r="E408" s="3">
        <v>6714720</v>
      </c>
      <c r="F408" s="19">
        <v>44055</v>
      </c>
      <c r="G408" s="3">
        <v>6714720</v>
      </c>
      <c r="H408" s="2">
        <v>5.0000000000000001E-3</v>
      </c>
      <c r="I408" s="19">
        <v>44166</v>
      </c>
      <c r="J408" s="19">
        <v>44196</v>
      </c>
      <c r="K408" s="3">
        <f t="shared" si="26"/>
        <v>31</v>
      </c>
      <c r="L408" s="3">
        <f t="shared" si="27"/>
        <v>2844</v>
      </c>
      <c r="M408" s="3">
        <v>6714720</v>
      </c>
    </row>
    <row r="409" spans="1:13" s="18" customFormat="1" hidden="1" outlineLevel="2">
      <c r="A409" s="19" t="s">
        <v>40</v>
      </c>
      <c r="B409" s="20" t="s">
        <v>167</v>
      </c>
      <c r="C409" s="21" t="s">
        <v>47</v>
      </c>
      <c r="D409" s="20" t="s">
        <v>42</v>
      </c>
      <c r="E409" s="3">
        <v>47630000</v>
      </c>
      <c r="F409" s="19">
        <v>44048</v>
      </c>
      <c r="G409" s="3">
        <v>47630000</v>
      </c>
      <c r="H409" s="2">
        <v>5.0000000000000001E-3</v>
      </c>
      <c r="I409" s="19">
        <v>44166</v>
      </c>
      <c r="J409" s="19">
        <v>44196</v>
      </c>
      <c r="K409" s="3">
        <f t="shared" si="26"/>
        <v>31</v>
      </c>
      <c r="L409" s="3">
        <f t="shared" si="27"/>
        <v>20171</v>
      </c>
      <c r="M409" s="3">
        <v>47630000</v>
      </c>
    </row>
    <row r="410" spans="1:13" s="18" customFormat="1" hidden="1" outlineLevel="2">
      <c r="A410" s="19" t="s">
        <v>40</v>
      </c>
      <c r="B410" s="20" t="s">
        <v>166</v>
      </c>
      <c r="C410" s="21" t="s">
        <v>47</v>
      </c>
      <c r="D410" s="20" t="s">
        <v>42</v>
      </c>
      <c r="E410" s="3">
        <v>1970000</v>
      </c>
      <c r="F410" s="19">
        <v>44048</v>
      </c>
      <c r="G410" s="3">
        <v>1970000</v>
      </c>
      <c r="H410" s="2">
        <v>5.0000000000000001E-3</v>
      </c>
      <c r="I410" s="19">
        <v>44166</v>
      </c>
      <c r="J410" s="19">
        <v>44196</v>
      </c>
      <c r="K410" s="3">
        <f t="shared" si="26"/>
        <v>31</v>
      </c>
      <c r="L410" s="3">
        <f t="shared" si="27"/>
        <v>834</v>
      </c>
      <c r="M410" s="3">
        <v>1970000</v>
      </c>
    </row>
    <row r="411" spans="1:13" s="18" customFormat="1" hidden="1" outlineLevel="2">
      <c r="A411" s="19" t="s">
        <v>40</v>
      </c>
      <c r="B411" s="20" t="s">
        <v>165</v>
      </c>
      <c r="C411" s="21" t="s">
        <v>164</v>
      </c>
      <c r="D411" s="20" t="s">
        <v>163</v>
      </c>
      <c r="E411" s="3">
        <v>27700000</v>
      </c>
      <c r="F411" s="19">
        <v>44071</v>
      </c>
      <c r="G411" s="3">
        <v>27700000</v>
      </c>
      <c r="H411" s="2">
        <v>5.0000000000000001E-3</v>
      </c>
      <c r="I411" s="19">
        <v>44166</v>
      </c>
      <c r="J411" s="19">
        <v>44196</v>
      </c>
      <c r="K411" s="3">
        <f t="shared" si="26"/>
        <v>31</v>
      </c>
      <c r="L411" s="3">
        <f t="shared" si="27"/>
        <v>11731</v>
      </c>
      <c r="M411" s="3">
        <v>27700000</v>
      </c>
    </row>
    <row r="412" spans="1:13" s="18" customFormat="1" hidden="1" outlineLevel="2">
      <c r="A412" s="19" t="s">
        <v>40</v>
      </c>
      <c r="B412" s="20" t="s">
        <v>180</v>
      </c>
      <c r="C412" s="21" t="s">
        <v>43</v>
      </c>
      <c r="D412" s="20" t="s">
        <v>44</v>
      </c>
      <c r="E412" s="3">
        <v>6714720</v>
      </c>
      <c r="F412" s="19">
        <v>44083</v>
      </c>
      <c r="G412" s="3">
        <v>6714720</v>
      </c>
      <c r="H412" s="2">
        <v>5.0000000000000001E-3</v>
      </c>
      <c r="I412" s="19">
        <v>44166</v>
      </c>
      <c r="J412" s="19">
        <v>44196</v>
      </c>
      <c r="K412" s="3">
        <f t="shared" si="26"/>
        <v>31</v>
      </c>
      <c r="L412" s="3">
        <f t="shared" si="27"/>
        <v>2844</v>
      </c>
      <c r="M412" s="3">
        <v>6714720</v>
      </c>
    </row>
    <row r="413" spans="1:13" s="18" customFormat="1" hidden="1" outlineLevel="2">
      <c r="A413" s="19" t="s">
        <v>40</v>
      </c>
      <c r="B413" s="20" t="s">
        <v>179</v>
      </c>
      <c r="C413" s="21" t="s">
        <v>43</v>
      </c>
      <c r="D413" s="20" t="s">
        <v>44</v>
      </c>
      <c r="E413" s="3">
        <v>5805960</v>
      </c>
      <c r="F413" s="19">
        <v>44083</v>
      </c>
      <c r="G413" s="3">
        <v>5805960</v>
      </c>
      <c r="H413" s="2">
        <v>5.0000000000000001E-3</v>
      </c>
      <c r="I413" s="19">
        <v>44166</v>
      </c>
      <c r="J413" s="19">
        <v>44196</v>
      </c>
      <c r="K413" s="3">
        <f t="shared" si="26"/>
        <v>31</v>
      </c>
      <c r="L413" s="3">
        <f t="shared" si="27"/>
        <v>2459</v>
      </c>
      <c r="M413" s="3">
        <v>5805960</v>
      </c>
    </row>
    <row r="414" spans="1:13" s="18" customFormat="1" hidden="1" outlineLevel="2">
      <c r="A414" s="19" t="s">
        <v>40</v>
      </c>
      <c r="B414" s="20" t="s">
        <v>178</v>
      </c>
      <c r="C414" s="21" t="s">
        <v>47</v>
      </c>
      <c r="D414" s="20" t="s">
        <v>42</v>
      </c>
      <c r="E414" s="3">
        <v>19100000</v>
      </c>
      <c r="F414" s="19">
        <v>44078</v>
      </c>
      <c r="G414" s="3">
        <v>19100000</v>
      </c>
      <c r="H414" s="2">
        <v>5.0000000000000001E-3</v>
      </c>
      <c r="I414" s="19">
        <v>44166</v>
      </c>
      <c r="J414" s="19">
        <v>44196</v>
      </c>
      <c r="K414" s="3">
        <f t="shared" ref="K414:K445" si="28">J414-I414+1</f>
        <v>31</v>
      </c>
      <c r="L414" s="3">
        <f t="shared" ref="L414:L445" si="29">ROUND(G414*H414*K414/366,0)</f>
        <v>8089</v>
      </c>
      <c r="M414" s="3">
        <v>19100000</v>
      </c>
    </row>
    <row r="415" spans="1:13" s="18" customFormat="1" hidden="1" outlineLevel="2">
      <c r="A415" s="19" t="s">
        <v>40</v>
      </c>
      <c r="B415" s="20" t="s">
        <v>30</v>
      </c>
      <c r="C415" s="21" t="s">
        <v>43</v>
      </c>
      <c r="D415" s="20" t="s">
        <v>44</v>
      </c>
      <c r="E415" s="3">
        <v>5452560</v>
      </c>
      <c r="F415" s="19">
        <v>43838</v>
      </c>
      <c r="G415" s="3">
        <v>5452560</v>
      </c>
      <c r="H415" s="2">
        <v>5.0000000000000001E-3</v>
      </c>
      <c r="I415" s="19">
        <v>44166</v>
      </c>
      <c r="J415" s="19">
        <v>44196</v>
      </c>
      <c r="K415" s="3">
        <f t="shared" si="28"/>
        <v>31</v>
      </c>
      <c r="L415" s="3">
        <f t="shared" si="29"/>
        <v>2309</v>
      </c>
      <c r="M415" s="3">
        <v>5452560</v>
      </c>
    </row>
    <row r="416" spans="1:13" s="18" customFormat="1" hidden="1" outlineLevel="2">
      <c r="A416" s="19" t="s">
        <v>40</v>
      </c>
      <c r="B416" s="20" t="s">
        <v>177</v>
      </c>
      <c r="C416" s="21" t="s">
        <v>97</v>
      </c>
      <c r="D416" s="20" t="s">
        <v>96</v>
      </c>
      <c r="E416" s="3">
        <v>31000000</v>
      </c>
      <c r="F416" s="19">
        <v>44102</v>
      </c>
      <c r="G416" s="3">
        <v>31000000</v>
      </c>
      <c r="H416" s="2">
        <v>5.0000000000000001E-3</v>
      </c>
      <c r="I416" s="19">
        <v>44166</v>
      </c>
      <c r="J416" s="19">
        <v>44196</v>
      </c>
      <c r="K416" s="3">
        <f t="shared" si="28"/>
        <v>31</v>
      </c>
      <c r="L416" s="3">
        <f t="shared" si="29"/>
        <v>13128</v>
      </c>
      <c r="M416" s="3">
        <v>31000000</v>
      </c>
    </row>
    <row r="417" spans="1:13" s="18" customFormat="1" hidden="1" outlineLevel="2">
      <c r="A417" s="19" t="s">
        <v>40</v>
      </c>
      <c r="B417" s="20" t="s">
        <v>176</v>
      </c>
      <c r="C417" s="21" t="s">
        <v>27</v>
      </c>
      <c r="D417" s="20" t="s">
        <v>28</v>
      </c>
      <c r="E417" s="3">
        <v>10700000</v>
      </c>
      <c r="F417" s="19">
        <v>44104</v>
      </c>
      <c r="G417" s="3">
        <v>10700000</v>
      </c>
      <c r="H417" s="2">
        <v>5.0000000000000001E-3</v>
      </c>
      <c r="I417" s="19">
        <v>44166</v>
      </c>
      <c r="J417" s="19">
        <v>44196</v>
      </c>
      <c r="K417" s="3">
        <f t="shared" si="28"/>
        <v>31</v>
      </c>
      <c r="L417" s="3">
        <f t="shared" si="29"/>
        <v>4531</v>
      </c>
      <c r="M417" s="3">
        <v>10700000</v>
      </c>
    </row>
    <row r="418" spans="1:13" s="18" customFormat="1" hidden="1" outlineLevel="2">
      <c r="A418" s="19" t="s">
        <v>40</v>
      </c>
      <c r="B418" s="20" t="s">
        <v>173</v>
      </c>
      <c r="C418" s="21" t="s">
        <v>187</v>
      </c>
      <c r="D418" s="20" t="s">
        <v>186</v>
      </c>
      <c r="E418" s="3">
        <v>1000000000</v>
      </c>
      <c r="F418" s="19">
        <v>44102</v>
      </c>
      <c r="G418" s="3">
        <v>1000000000</v>
      </c>
      <c r="H418" s="2">
        <v>5.0000000000000001E-3</v>
      </c>
      <c r="I418" s="19">
        <v>44166</v>
      </c>
      <c r="J418" s="19">
        <v>44196</v>
      </c>
      <c r="K418" s="3">
        <f t="shared" si="28"/>
        <v>31</v>
      </c>
      <c r="L418" s="3">
        <f t="shared" si="29"/>
        <v>423497</v>
      </c>
      <c r="M418" s="3">
        <v>1000000000</v>
      </c>
    </row>
    <row r="419" spans="1:13" s="18" customFormat="1" hidden="1" outlineLevel="2">
      <c r="A419" s="19" t="s">
        <v>40</v>
      </c>
      <c r="B419" s="20" t="s">
        <v>172</v>
      </c>
      <c r="C419" s="21" t="s">
        <v>43</v>
      </c>
      <c r="D419" s="20" t="s">
        <v>44</v>
      </c>
      <c r="E419" s="3">
        <v>5805960</v>
      </c>
      <c r="F419" s="19">
        <v>44111</v>
      </c>
      <c r="G419" s="3">
        <v>5805960</v>
      </c>
      <c r="H419" s="2">
        <v>5.0000000000000001E-3</v>
      </c>
      <c r="I419" s="19">
        <v>44166</v>
      </c>
      <c r="J419" s="19">
        <v>44196</v>
      </c>
      <c r="K419" s="3">
        <f t="shared" si="28"/>
        <v>31</v>
      </c>
      <c r="L419" s="3">
        <f t="shared" si="29"/>
        <v>2459</v>
      </c>
      <c r="M419" s="3">
        <v>5805960</v>
      </c>
    </row>
    <row r="420" spans="1:13" s="18" customFormat="1" hidden="1" outlineLevel="2">
      <c r="A420" s="19" t="s">
        <v>40</v>
      </c>
      <c r="B420" s="20" t="s">
        <v>171</v>
      </c>
      <c r="C420" s="21" t="s">
        <v>43</v>
      </c>
      <c r="D420" s="20" t="s">
        <v>44</v>
      </c>
      <c r="E420" s="3">
        <v>5805960</v>
      </c>
      <c r="F420" s="19">
        <v>44111</v>
      </c>
      <c r="G420" s="3">
        <v>5805960</v>
      </c>
      <c r="H420" s="2">
        <v>5.0000000000000001E-3</v>
      </c>
      <c r="I420" s="19">
        <v>44166</v>
      </c>
      <c r="J420" s="19">
        <v>44196</v>
      </c>
      <c r="K420" s="3">
        <f t="shared" si="28"/>
        <v>31</v>
      </c>
      <c r="L420" s="3">
        <f t="shared" si="29"/>
        <v>2459</v>
      </c>
      <c r="M420" s="3">
        <v>5805960</v>
      </c>
    </row>
    <row r="421" spans="1:13" s="18" customFormat="1" hidden="1" outlineLevel="2">
      <c r="A421" s="19" t="s">
        <v>40</v>
      </c>
      <c r="B421" s="20" t="s">
        <v>201</v>
      </c>
      <c r="C421" s="21" t="s">
        <v>47</v>
      </c>
      <c r="D421" s="20" t="s">
        <v>42</v>
      </c>
      <c r="E421" s="3">
        <v>18400000</v>
      </c>
      <c r="F421" s="19">
        <v>44109</v>
      </c>
      <c r="G421" s="3">
        <v>18400000</v>
      </c>
      <c r="H421" s="2">
        <v>5.0000000000000001E-3</v>
      </c>
      <c r="I421" s="19">
        <v>44166</v>
      </c>
      <c r="J421" s="19">
        <v>44196</v>
      </c>
      <c r="K421" s="3">
        <f t="shared" si="28"/>
        <v>31</v>
      </c>
      <c r="L421" s="3">
        <f t="shared" si="29"/>
        <v>7792</v>
      </c>
      <c r="M421" s="3">
        <v>18400000</v>
      </c>
    </row>
    <row r="422" spans="1:13" s="18" customFormat="1" hidden="1" outlineLevel="2">
      <c r="A422" s="19" t="s">
        <v>40</v>
      </c>
      <c r="B422" s="20" t="s">
        <v>200</v>
      </c>
      <c r="C422" s="21" t="s">
        <v>47</v>
      </c>
      <c r="D422" s="20" t="s">
        <v>42</v>
      </c>
      <c r="E422" s="3">
        <v>1500000</v>
      </c>
      <c r="F422" s="19">
        <v>44109</v>
      </c>
      <c r="G422" s="3">
        <v>1500000</v>
      </c>
      <c r="H422" s="2">
        <v>5.0000000000000001E-3</v>
      </c>
      <c r="I422" s="19">
        <v>44166</v>
      </c>
      <c r="J422" s="19">
        <v>44196</v>
      </c>
      <c r="K422" s="3">
        <f t="shared" si="28"/>
        <v>31</v>
      </c>
      <c r="L422" s="3">
        <f t="shared" si="29"/>
        <v>635</v>
      </c>
      <c r="M422" s="3">
        <v>1500000</v>
      </c>
    </row>
    <row r="423" spans="1:13" s="18" customFormat="1" hidden="1" outlineLevel="2">
      <c r="A423" s="19" t="s">
        <v>40</v>
      </c>
      <c r="B423" s="20" t="s">
        <v>199</v>
      </c>
      <c r="C423" s="21" t="s">
        <v>115</v>
      </c>
      <c r="D423" s="20" t="s">
        <v>114</v>
      </c>
      <c r="E423" s="3">
        <v>3480000</v>
      </c>
      <c r="F423" s="19">
        <v>44125</v>
      </c>
      <c r="G423" s="3">
        <v>3480000</v>
      </c>
      <c r="H423" s="2">
        <v>5.0000000000000001E-3</v>
      </c>
      <c r="I423" s="19">
        <v>44166</v>
      </c>
      <c r="J423" s="19">
        <v>44196</v>
      </c>
      <c r="K423" s="3">
        <f t="shared" si="28"/>
        <v>31</v>
      </c>
      <c r="L423" s="3">
        <f t="shared" si="29"/>
        <v>1474</v>
      </c>
      <c r="M423" s="3">
        <v>3480000</v>
      </c>
    </row>
    <row r="424" spans="1:13" s="18" customFormat="1" hidden="1" outlineLevel="2">
      <c r="A424" s="19" t="s">
        <v>40</v>
      </c>
      <c r="B424" s="20" t="s">
        <v>198</v>
      </c>
      <c r="C424" s="21" t="s">
        <v>82</v>
      </c>
      <c r="D424" s="20" t="s">
        <v>81</v>
      </c>
      <c r="E424" s="3">
        <v>32000000</v>
      </c>
      <c r="F424" s="19">
        <v>44133</v>
      </c>
      <c r="G424" s="3">
        <v>32000000</v>
      </c>
      <c r="H424" s="2">
        <v>5.0000000000000001E-3</v>
      </c>
      <c r="I424" s="19">
        <v>44166</v>
      </c>
      <c r="J424" s="19">
        <v>44196</v>
      </c>
      <c r="K424" s="3">
        <f t="shared" si="28"/>
        <v>31</v>
      </c>
      <c r="L424" s="3">
        <f t="shared" si="29"/>
        <v>13552</v>
      </c>
      <c r="M424" s="3">
        <v>32000000</v>
      </c>
    </row>
    <row r="425" spans="1:13" s="18" customFormat="1" hidden="1" outlineLevel="2">
      <c r="A425" s="19" t="s">
        <v>40</v>
      </c>
      <c r="B425" s="20" t="s">
        <v>197</v>
      </c>
      <c r="C425" s="21" t="s">
        <v>43</v>
      </c>
      <c r="D425" s="20" t="s">
        <v>44</v>
      </c>
      <c r="E425" s="3">
        <v>5805960</v>
      </c>
      <c r="F425" s="19">
        <v>44146</v>
      </c>
      <c r="G425" s="3">
        <v>5805960</v>
      </c>
      <c r="H425" s="2">
        <v>5.0000000000000001E-3</v>
      </c>
      <c r="I425" s="19">
        <v>44166</v>
      </c>
      <c r="J425" s="19">
        <v>44196</v>
      </c>
      <c r="K425" s="3">
        <f t="shared" si="28"/>
        <v>31</v>
      </c>
      <c r="L425" s="3">
        <f t="shared" si="29"/>
        <v>2459</v>
      </c>
      <c r="M425" s="3">
        <v>5805960</v>
      </c>
    </row>
    <row r="426" spans="1:13" s="18" customFormat="1" hidden="1" outlineLevel="2">
      <c r="A426" s="19" t="s">
        <v>40</v>
      </c>
      <c r="B426" s="20" t="s">
        <v>31</v>
      </c>
      <c r="C426" s="21" t="s">
        <v>43</v>
      </c>
      <c r="D426" s="20" t="s">
        <v>44</v>
      </c>
      <c r="E426" s="3">
        <v>5452560</v>
      </c>
      <c r="F426" s="19">
        <v>43838</v>
      </c>
      <c r="G426" s="3">
        <v>5452560</v>
      </c>
      <c r="H426" s="2">
        <v>5.0000000000000001E-3</v>
      </c>
      <c r="I426" s="19">
        <v>44166</v>
      </c>
      <c r="J426" s="19">
        <v>44196</v>
      </c>
      <c r="K426" s="3">
        <f t="shared" si="28"/>
        <v>31</v>
      </c>
      <c r="L426" s="3">
        <f t="shared" si="29"/>
        <v>2309</v>
      </c>
      <c r="M426" s="3">
        <v>5452560</v>
      </c>
    </row>
    <row r="427" spans="1:13" s="18" customFormat="1" hidden="1" outlineLevel="2">
      <c r="A427" s="19" t="s">
        <v>40</v>
      </c>
      <c r="B427" s="20" t="s">
        <v>196</v>
      </c>
      <c r="C427" s="21" t="s">
        <v>43</v>
      </c>
      <c r="D427" s="20" t="s">
        <v>44</v>
      </c>
      <c r="E427" s="3">
        <v>14338200</v>
      </c>
      <c r="F427" s="19">
        <v>44146</v>
      </c>
      <c r="G427" s="3">
        <v>14338200</v>
      </c>
      <c r="H427" s="2">
        <v>5.0000000000000001E-3</v>
      </c>
      <c r="I427" s="19">
        <v>44166</v>
      </c>
      <c r="J427" s="19">
        <v>44196</v>
      </c>
      <c r="K427" s="3">
        <f t="shared" si="28"/>
        <v>31</v>
      </c>
      <c r="L427" s="3">
        <f t="shared" si="29"/>
        <v>6072</v>
      </c>
      <c r="M427" s="3">
        <v>14338200</v>
      </c>
    </row>
    <row r="428" spans="1:13" s="18" customFormat="1" hidden="1" outlineLevel="2">
      <c r="A428" s="19" t="s">
        <v>40</v>
      </c>
      <c r="B428" s="20" t="s">
        <v>195</v>
      </c>
      <c r="C428" s="21" t="s">
        <v>47</v>
      </c>
      <c r="D428" s="20" t="s">
        <v>42</v>
      </c>
      <c r="E428" s="3">
        <v>31500000</v>
      </c>
      <c r="F428" s="19">
        <v>44140</v>
      </c>
      <c r="G428" s="3">
        <v>31500000</v>
      </c>
      <c r="H428" s="2">
        <v>5.0000000000000001E-3</v>
      </c>
      <c r="I428" s="19">
        <v>44166</v>
      </c>
      <c r="J428" s="19">
        <v>44196</v>
      </c>
      <c r="K428" s="3">
        <f t="shared" si="28"/>
        <v>31</v>
      </c>
      <c r="L428" s="3">
        <f t="shared" si="29"/>
        <v>13340</v>
      </c>
      <c r="M428" s="3">
        <v>31500000</v>
      </c>
    </row>
    <row r="429" spans="1:13" s="18" customFormat="1" hidden="1" outlineLevel="2">
      <c r="A429" s="19" t="s">
        <v>40</v>
      </c>
      <c r="B429" s="20" t="s">
        <v>194</v>
      </c>
      <c r="C429" s="21" t="s">
        <v>115</v>
      </c>
      <c r="D429" s="20" t="s">
        <v>114</v>
      </c>
      <c r="E429" s="3">
        <v>2500000</v>
      </c>
      <c r="F429" s="19">
        <v>44146</v>
      </c>
      <c r="G429" s="3">
        <v>2500000</v>
      </c>
      <c r="H429" s="2">
        <v>5.0000000000000001E-3</v>
      </c>
      <c r="I429" s="19">
        <v>44166</v>
      </c>
      <c r="J429" s="19">
        <v>44196</v>
      </c>
      <c r="K429" s="3">
        <f t="shared" si="28"/>
        <v>31</v>
      </c>
      <c r="L429" s="3">
        <f t="shared" si="29"/>
        <v>1059</v>
      </c>
      <c r="M429" s="3">
        <v>2500000</v>
      </c>
    </row>
    <row r="430" spans="1:13" s="18" customFormat="1" hidden="1" outlineLevel="2">
      <c r="A430" s="19" t="s">
        <v>40</v>
      </c>
      <c r="B430" s="20" t="s">
        <v>193</v>
      </c>
      <c r="C430" s="21" t="s">
        <v>82</v>
      </c>
      <c r="D430" s="20" t="s">
        <v>81</v>
      </c>
      <c r="E430" s="3">
        <v>30000000</v>
      </c>
      <c r="F430" s="19">
        <v>44140</v>
      </c>
      <c r="G430" s="3">
        <v>30000000</v>
      </c>
      <c r="H430" s="2">
        <v>5.0000000000000001E-3</v>
      </c>
      <c r="I430" s="19">
        <v>44166</v>
      </c>
      <c r="J430" s="19">
        <v>44196</v>
      </c>
      <c r="K430" s="3">
        <f t="shared" si="28"/>
        <v>31</v>
      </c>
      <c r="L430" s="3">
        <f t="shared" si="29"/>
        <v>12705</v>
      </c>
      <c r="M430" s="3">
        <v>30000000</v>
      </c>
    </row>
    <row r="431" spans="1:13" s="18" customFormat="1" hidden="1" outlineLevel="2">
      <c r="A431" s="19" t="s">
        <v>40</v>
      </c>
      <c r="B431" s="20" t="s">
        <v>191</v>
      </c>
      <c r="C431" s="21" t="s">
        <v>227</v>
      </c>
      <c r="D431" s="20" t="s">
        <v>226</v>
      </c>
      <c r="E431" s="3">
        <v>6100000</v>
      </c>
      <c r="F431" s="19">
        <v>44138</v>
      </c>
      <c r="G431" s="3">
        <v>6100000</v>
      </c>
      <c r="H431" s="2">
        <v>5.0000000000000001E-3</v>
      </c>
      <c r="I431" s="19">
        <v>44166</v>
      </c>
      <c r="J431" s="19">
        <v>44196</v>
      </c>
      <c r="K431" s="3">
        <f t="shared" si="28"/>
        <v>31</v>
      </c>
      <c r="L431" s="3">
        <f t="shared" si="29"/>
        <v>2583</v>
      </c>
      <c r="M431" s="3">
        <v>6100000</v>
      </c>
    </row>
    <row r="432" spans="1:13" s="18" customFormat="1" hidden="1" outlineLevel="2">
      <c r="A432" s="19" t="s">
        <v>40</v>
      </c>
      <c r="B432" s="20" t="s">
        <v>223</v>
      </c>
      <c r="C432" s="21" t="s">
        <v>45</v>
      </c>
      <c r="D432" s="20" t="s">
        <v>46</v>
      </c>
      <c r="E432" s="3">
        <v>82036355</v>
      </c>
      <c r="F432" s="19">
        <v>44137</v>
      </c>
      <c r="G432" s="3">
        <v>82036355</v>
      </c>
      <c r="H432" s="2">
        <v>5.0000000000000001E-3</v>
      </c>
      <c r="I432" s="19">
        <v>44166</v>
      </c>
      <c r="J432" s="19">
        <v>44196</v>
      </c>
      <c r="K432" s="3">
        <f t="shared" si="28"/>
        <v>31</v>
      </c>
      <c r="L432" s="3">
        <f t="shared" si="29"/>
        <v>34742</v>
      </c>
      <c r="M432" s="3">
        <v>82036355</v>
      </c>
    </row>
    <row r="433" spans="1:13" s="18" customFormat="1" hidden="1" outlineLevel="2">
      <c r="A433" s="19" t="s">
        <v>40</v>
      </c>
      <c r="B433" s="20" t="s">
        <v>222</v>
      </c>
      <c r="C433" s="21" t="s">
        <v>187</v>
      </c>
      <c r="D433" s="20" t="s">
        <v>186</v>
      </c>
      <c r="E433" s="3">
        <v>1000000000</v>
      </c>
      <c r="F433" s="19">
        <v>44162</v>
      </c>
      <c r="G433" s="3">
        <v>1000000000</v>
      </c>
      <c r="H433" s="2">
        <v>5.0000000000000001E-3</v>
      </c>
      <c r="I433" s="19">
        <v>44166</v>
      </c>
      <c r="J433" s="19">
        <v>44196</v>
      </c>
      <c r="K433" s="3">
        <f t="shared" si="28"/>
        <v>31</v>
      </c>
      <c r="L433" s="3">
        <f t="shared" si="29"/>
        <v>423497</v>
      </c>
      <c r="M433" s="3">
        <v>1000000000</v>
      </c>
    </row>
    <row r="434" spans="1:13" s="18" customFormat="1" hidden="1" outlineLevel="2">
      <c r="A434" s="19" t="s">
        <v>40</v>
      </c>
      <c r="B434" s="20" t="s">
        <v>221</v>
      </c>
      <c r="C434" s="21" t="s">
        <v>229</v>
      </c>
      <c r="D434" s="20" t="s">
        <v>228</v>
      </c>
      <c r="E434" s="3">
        <v>47490000</v>
      </c>
      <c r="F434" s="19">
        <v>44137</v>
      </c>
      <c r="G434" s="3">
        <v>47490000</v>
      </c>
      <c r="H434" s="2">
        <v>5.0000000000000001E-3</v>
      </c>
      <c r="I434" s="19">
        <v>44166</v>
      </c>
      <c r="J434" s="19">
        <v>44196</v>
      </c>
      <c r="K434" s="3">
        <f t="shared" si="28"/>
        <v>31</v>
      </c>
      <c r="L434" s="3">
        <f t="shared" si="29"/>
        <v>20112</v>
      </c>
      <c r="M434" s="3">
        <v>47490000</v>
      </c>
    </row>
    <row r="435" spans="1:13" s="18" customFormat="1" hidden="1" outlineLevel="2">
      <c r="A435" s="19" t="s">
        <v>40</v>
      </c>
      <c r="B435" s="20" t="s">
        <v>220</v>
      </c>
      <c r="C435" s="21" t="s">
        <v>27</v>
      </c>
      <c r="D435" s="20" t="s">
        <v>28</v>
      </c>
      <c r="E435" s="3">
        <v>5300000</v>
      </c>
      <c r="F435" s="19">
        <v>44145</v>
      </c>
      <c r="G435" s="3">
        <v>5300000</v>
      </c>
      <c r="H435" s="2">
        <v>5.0000000000000001E-3</v>
      </c>
      <c r="I435" s="19">
        <v>44166</v>
      </c>
      <c r="J435" s="19">
        <v>44196</v>
      </c>
      <c r="K435" s="3">
        <f t="shared" si="28"/>
        <v>31</v>
      </c>
      <c r="L435" s="3">
        <f t="shared" si="29"/>
        <v>2245</v>
      </c>
      <c r="M435" s="3">
        <v>5300000</v>
      </c>
    </row>
    <row r="436" spans="1:13" s="18" customFormat="1" hidden="1" outlineLevel="2">
      <c r="A436" s="19" t="s">
        <v>40</v>
      </c>
      <c r="B436" s="20" t="s">
        <v>219</v>
      </c>
      <c r="C436" s="21" t="s">
        <v>27</v>
      </c>
      <c r="D436" s="20" t="s">
        <v>28</v>
      </c>
      <c r="E436" s="3">
        <v>4130000</v>
      </c>
      <c r="F436" s="19">
        <v>44151</v>
      </c>
      <c r="G436" s="3">
        <v>4130000</v>
      </c>
      <c r="H436" s="2">
        <v>5.0000000000000001E-3</v>
      </c>
      <c r="I436" s="19">
        <v>44166</v>
      </c>
      <c r="J436" s="19">
        <v>44196</v>
      </c>
      <c r="K436" s="3">
        <f t="shared" si="28"/>
        <v>31</v>
      </c>
      <c r="L436" s="3">
        <f t="shared" si="29"/>
        <v>1749</v>
      </c>
      <c r="M436" s="3">
        <v>4130000</v>
      </c>
    </row>
    <row r="437" spans="1:13" s="18" customFormat="1" hidden="1" outlineLevel="2">
      <c r="A437" s="19" t="s">
        <v>40</v>
      </c>
      <c r="B437" s="20" t="s">
        <v>32</v>
      </c>
      <c r="C437" s="21" t="s">
        <v>47</v>
      </c>
      <c r="D437" s="20" t="s">
        <v>42</v>
      </c>
      <c r="E437" s="3">
        <v>55600000</v>
      </c>
      <c r="F437" s="19">
        <v>43833</v>
      </c>
      <c r="G437" s="3">
        <v>55600000</v>
      </c>
      <c r="H437" s="2">
        <v>5.0000000000000001E-3</v>
      </c>
      <c r="I437" s="19">
        <v>44166</v>
      </c>
      <c r="J437" s="19">
        <v>44196</v>
      </c>
      <c r="K437" s="3">
        <f t="shared" si="28"/>
        <v>31</v>
      </c>
      <c r="L437" s="3">
        <f t="shared" si="29"/>
        <v>23546</v>
      </c>
      <c r="M437" s="3">
        <v>55600000</v>
      </c>
    </row>
    <row r="438" spans="1:13" s="18" customFormat="1" hidden="1" outlineLevel="2">
      <c r="A438" s="19" t="s">
        <v>40</v>
      </c>
      <c r="B438" s="20" t="s">
        <v>218</v>
      </c>
      <c r="C438" s="21" t="s">
        <v>27</v>
      </c>
      <c r="D438" s="20" t="s">
        <v>28</v>
      </c>
      <c r="E438" s="3">
        <v>6450000</v>
      </c>
      <c r="F438" s="19">
        <v>44165</v>
      </c>
      <c r="G438" s="3">
        <v>6450000</v>
      </c>
      <c r="H438" s="2">
        <v>5.0000000000000001E-3</v>
      </c>
      <c r="I438" s="19">
        <v>44166</v>
      </c>
      <c r="J438" s="19">
        <v>44196</v>
      </c>
      <c r="K438" s="3">
        <f t="shared" si="28"/>
        <v>31</v>
      </c>
      <c r="L438" s="3">
        <f t="shared" si="29"/>
        <v>2732</v>
      </c>
      <c r="M438" s="3">
        <v>6450000</v>
      </c>
    </row>
    <row r="439" spans="1:13" s="18" customFormat="1" hidden="1" outlineLevel="2">
      <c r="A439" s="19" t="s">
        <v>40</v>
      </c>
      <c r="B439" s="20" t="s">
        <v>217</v>
      </c>
      <c r="C439" s="21" t="s">
        <v>57</v>
      </c>
      <c r="D439" s="20" t="s">
        <v>56</v>
      </c>
      <c r="E439" s="3">
        <v>31466520</v>
      </c>
      <c r="F439" s="19">
        <v>44189</v>
      </c>
      <c r="G439" s="3">
        <v>31466520</v>
      </c>
      <c r="H439" s="2">
        <v>5.0000000000000001E-3</v>
      </c>
      <c r="I439" s="19">
        <v>44189</v>
      </c>
      <c r="J439" s="19">
        <v>44196</v>
      </c>
      <c r="K439" s="3">
        <f t="shared" si="28"/>
        <v>8</v>
      </c>
      <c r="L439" s="3">
        <f t="shared" si="29"/>
        <v>3439</v>
      </c>
      <c r="M439" s="3">
        <v>31466520</v>
      </c>
    </row>
    <row r="440" spans="1:13" s="18" customFormat="1" hidden="1" outlineLevel="2">
      <c r="A440" s="19" t="s">
        <v>40</v>
      </c>
      <c r="B440" s="20" t="s">
        <v>216</v>
      </c>
      <c r="C440" s="21" t="s">
        <v>43</v>
      </c>
      <c r="D440" s="20" t="s">
        <v>44</v>
      </c>
      <c r="E440" s="3">
        <v>14338200</v>
      </c>
      <c r="F440" s="19">
        <v>44174</v>
      </c>
      <c r="G440" s="3">
        <v>14338200</v>
      </c>
      <c r="H440" s="2">
        <v>5.0000000000000001E-3</v>
      </c>
      <c r="I440" s="19">
        <v>44174</v>
      </c>
      <c r="J440" s="19">
        <v>44196</v>
      </c>
      <c r="K440" s="3">
        <f t="shared" si="28"/>
        <v>23</v>
      </c>
      <c r="L440" s="3">
        <f t="shared" si="29"/>
        <v>4505</v>
      </c>
      <c r="M440" s="3">
        <v>14338200</v>
      </c>
    </row>
    <row r="441" spans="1:13" s="18" customFormat="1" hidden="1" outlineLevel="2">
      <c r="A441" s="19" t="s">
        <v>40</v>
      </c>
      <c r="B441" s="20" t="s">
        <v>215</v>
      </c>
      <c r="C441" s="21" t="s">
        <v>43</v>
      </c>
      <c r="D441" s="20" t="s">
        <v>44</v>
      </c>
      <c r="E441" s="3">
        <v>4977000</v>
      </c>
      <c r="F441" s="19">
        <v>44174</v>
      </c>
      <c r="G441" s="3">
        <v>4977000</v>
      </c>
      <c r="H441" s="2">
        <v>5.0000000000000001E-3</v>
      </c>
      <c r="I441" s="19">
        <v>44174</v>
      </c>
      <c r="J441" s="19">
        <v>44196</v>
      </c>
      <c r="K441" s="3">
        <f t="shared" si="28"/>
        <v>23</v>
      </c>
      <c r="L441" s="3">
        <f t="shared" si="29"/>
        <v>1564</v>
      </c>
      <c r="M441" s="3">
        <v>4977000</v>
      </c>
    </row>
    <row r="442" spans="1:13" s="18" customFormat="1" hidden="1" outlineLevel="2">
      <c r="A442" s="19" t="s">
        <v>40</v>
      </c>
      <c r="B442" s="20" t="s">
        <v>212</v>
      </c>
      <c r="C442" s="21" t="s">
        <v>227</v>
      </c>
      <c r="D442" s="20" t="s">
        <v>226</v>
      </c>
      <c r="E442" s="3">
        <v>40000000</v>
      </c>
      <c r="F442" s="19">
        <v>44193</v>
      </c>
      <c r="G442" s="3">
        <v>40000000</v>
      </c>
      <c r="H442" s="2">
        <v>5.0000000000000001E-3</v>
      </c>
      <c r="I442" s="19">
        <v>44193</v>
      </c>
      <c r="J442" s="19">
        <v>44196</v>
      </c>
      <c r="K442" s="3">
        <f t="shared" si="28"/>
        <v>4</v>
      </c>
      <c r="L442" s="3">
        <f t="shared" si="29"/>
        <v>2186</v>
      </c>
      <c r="M442" s="3">
        <v>40000000</v>
      </c>
    </row>
    <row r="443" spans="1:13" s="18" customFormat="1" hidden="1" outlineLevel="2">
      <c r="A443" s="19" t="s">
        <v>40</v>
      </c>
      <c r="B443" s="20" t="s">
        <v>211</v>
      </c>
      <c r="C443" s="21" t="s">
        <v>27</v>
      </c>
      <c r="D443" s="20" t="s">
        <v>28</v>
      </c>
      <c r="E443" s="3">
        <v>8890000</v>
      </c>
      <c r="F443" s="19">
        <v>44175</v>
      </c>
      <c r="G443" s="3">
        <v>8890000</v>
      </c>
      <c r="H443" s="2">
        <v>5.0000000000000001E-3</v>
      </c>
      <c r="I443" s="19">
        <v>44175</v>
      </c>
      <c r="J443" s="19">
        <v>44196</v>
      </c>
      <c r="K443" s="3">
        <f t="shared" si="28"/>
        <v>22</v>
      </c>
      <c r="L443" s="3">
        <f t="shared" si="29"/>
        <v>2672</v>
      </c>
      <c r="M443" s="3">
        <v>8890000</v>
      </c>
    </row>
    <row r="444" spans="1:13" s="18" customFormat="1" hidden="1" outlineLevel="2">
      <c r="A444" s="19" t="s">
        <v>40</v>
      </c>
      <c r="B444" s="20" t="s">
        <v>210</v>
      </c>
      <c r="C444" s="21" t="s">
        <v>27</v>
      </c>
      <c r="D444" s="20" t="s">
        <v>28</v>
      </c>
      <c r="E444" s="3">
        <v>4020000</v>
      </c>
      <c r="F444" s="19">
        <v>44196</v>
      </c>
      <c r="G444" s="3">
        <v>4020000</v>
      </c>
      <c r="H444" s="2">
        <v>5.0000000000000001E-3</v>
      </c>
      <c r="I444" s="19">
        <v>44196</v>
      </c>
      <c r="J444" s="19">
        <v>44196</v>
      </c>
      <c r="K444" s="3">
        <f t="shared" si="28"/>
        <v>1</v>
      </c>
      <c r="L444" s="3">
        <f t="shared" si="29"/>
        <v>55</v>
      </c>
      <c r="M444" s="3">
        <v>4020000</v>
      </c>
    </row>
    <row r="445" spans="1:13" s="18" customFormat="1" hidden="1" outlineLevel="2">
      <c r="A445" s="19" t="s">
        <v>40</v>
      </c>
      <c r="B445" s="20" t="s">
        <v>209</v>
      </c>
      <c r="C445" s="21" t="s">
        <v>47</v>
      </c>
      <c r="D445" s="20" t="s">
        <v>42</v>
      </c>
      <c r="E445" s="3">
        <v>86700000</v>
      </c>
      <c r="F445" s="19">
        <v>44169</v>
      </c>
      <c r="G445" s="3">
        <v>86700000</v>
      </c>
      <c r="H445" s="2">
        <v>5.0000000000000001E-3</v>
      </c>
      <c r="I445" s="19">
        <v>44169</v>
      </c>
      <c r="J445" s="19">
        <v>44196</v>
      </c>
      <c r="K445" s="3">
        <f t="shared" si="28"/>
        <v>28</v>
      </c>
      <c r="L445" s="3">
        <f t="shared" si="29"/>
        <v>33164</v>
      </c>
      <c r="M445" s="3">
        <v>86700000</v>
      </c>
    </row>
    <row r="446" spans="1:13" s="18" customFormat="1" hidden="1" outlineLevel="2">
      <c r="A446" s="19" t="s">
        <v>40</v>
      </c>
      <c r="B446" s="20" t="s">
        <v>48</v>
      </c>
      <c r="C446" s="21" t="s">
        <v>47</v>
      </c>
      <c r="D446" s="20" t="s">
        <v>42</v>
      </c>
      <c r="E446" s="3">
        <v>28400000</v>
      </c>
      <c r="F446" s="19">
        <v>43833</v>
      </c>
      <c r="G446" s="3">
        <v>28400000</v>
      </c>
      <c r="H446" s="2">
        <v>5.0000000000000001E-3</v>
      </c>
      <c r="I446" s="19">
        <v>44166</v>
      </c>
      <c r="J446" s="19">
        <v>44196</v>
      </c>
      <c r="K446" s="3">
        <f t="shared" ref="K446:K448" si="30">J446-I446+1</f>
        <v>31</v>
      </c>
      <c r="L446" s="3">
        <f t="shared" ref="L446:L448" si="31">ROUND(G446*H446*K446/366,0)</f>
        <v>12027</v>
      </c>
      <c r="M446" s="3">
        <v>28400000</v>
      </c>
    </row>
    <row r="447" spans="1:13" s="18" customFormat="1" hidden="1" outlineLevel="2">
      <c r="A447" s="19" t="s">
        <v>40</v>
      </c>
      <c r="B447" s="20" t="s">
        <v>59</v>
      </c>
      <c r="C447" s="21" t="s">
        <v>43</v>
      </c>
      <c r="D447" s="20" t="s">
        <v>44</v>
      </c>
      <c r="E447" s="3">
        <v>5452560</v>
      </c>
      <c r="F447" s="19">
        <v>43873</v>
      </c>
      <c r="G447" s="3">
        <v>5452560</v>
      </c>
      <c r="H447" s="2">
        <v>5.0000000000000001E-3</v>
      </c>
      <c r="I447" s="19">
        <v>44166</v>
      </c>
      <c r="J447" s="19">
        <v>44196</v>
      </c>
      <c r="K447" s="3">
        <f t="shared" si="30"/>
        <v>31</v>
      </c>
      <c r="L447" s="3">
        <f t="shared" si="31"/>
        <v>2309</v>
      </c>
      <c r="M447" s="3">
        <v>5452560</v>
      </c>
    </row>
    <row r="448" spans="1:13" s="18" customFormat="1" hidden="1" outlineLevel="2">
      <c r="A448" s="19" t="s">
        <v>40</v>
      </c>
      <c r="B448" s="20" t="s">
        <v>58</v>
      </c>
      <c r="C448" s="21" t="s">
        <v>43</v>
      </c>
      <c r="D448" s="20" t="s">
        <v>44</v>
      </c>
      <c r="E448" s="3">
        <v>7270080</v>
      </c>
      <c r="F448" s="19">
        <v>43873</v>
      </c>
      <c r="G448" s="3">
        <v>7270080</v>
      </c>
      <c r="H448" s="2">
        <v>5.0000000000000001E-3</v>
      </c>
      <c r="I448" s="19">
        <v>44166</v>
      </c>
      <c r="J448" s="19">
        <v>44196</v>
      </c>
      <c r="K448" s="3">
        <f t="shared" si="30"/>
        <v>31</v>
      </c>
      <c r="L448" s="3">
        <f t="shared" si="31"/>
        <v>3079</v>
      </c>
      <c r="M448" s="3">
        <v>7270080</v>
      </c>
    </row>
    <row r="449" spans="1:13" s="18" customFormat="1" ht="13.5" hidden="1" outlineLevel="1" collapsed="1">
      <c r="A449" s="22" t="s">
        <v>49</v>
      </c>
      <c r="B449" s="23"/>
      <c r="C449" s="24"/>
      <c r="D449" s="23"/>
      <c r="E449" s="25">
        <f>SUBTOTAL(9,E382:E448)</f>
        <v>0</v>
      </c>
      <c r="F449" s="26"/>
      <c r="G449" s="25"/>
      <c r="H449" s="27"/>
      <c r="I449" s="26"/>
      <c r="J449" s="26"/>
      <c r="K449" s="25"/>
      <c r="L449" s="25">
        <f>SUBTOTAL(9,L382:L448)</f>
        <v>0</v>
      </c>
      <c r="M449" s="25">
        <f>SUBTOTAL(9,M382:M448)</f>
        <v>0</v>
      </c>
    </row>
    <row r="450" spans="1:13" s="18" customFormat="1" hidden="1" outlineLevel="2">
      <c r="A450" s="19" t="s">
        <v>119</v>
      </c>
      <c r="B450" s="20" t="s">
        <v>16</v>
      </c>
      <c r="C450" s="21" t="s">
        <v>97</v>
      </c>
      <c r="D450" s="20" t="s">
        <v>96</v>
      </c>
      <c r="E450" s="3">
        <v>20000000</v>
      </c>
      <c r="F450" s="19">
        <v>43985</v>
      </c>
      <c r="G450" s="3">
        <v>20000000</v>
      </c>
      <c r="H450" s="2">
        <v>5.0000000000000001E-3</v>
      </c>
      <c r="I450" s="19">
        <v>44166</v>
      </c>
      <c r="J450" s="19">
        <v>44196</v>
      </c>
      <c r="K450" s="3">
        <f>J450-I450+1</f>
        <v>31</v>
      </c>
      <c r="L450" s="3">
        <f>ROUND(G450*H450*K450/366,0)</f>
        <v>8470</v>
      </c>
      <c r="M450" s="3">
        <v>20000000</v>
      </c>
    </row>
    <row r="451" spans="1:13" s="18" customFormat="1" hidden="1" outlineLevel="2">
      <c r="A451" s="19" t="s">
        <v>119</v>
      </c>
      <c r="B451" s="20" t="s">
        <v>23</v>
      </c>
      <c r="C451" s="21" t="s">
        <v>97</v>
      </c>
      <c r="D451" s="20" t="s">
        <v>96</v>
      </c>
      <c r="E451" s="3">
        <v>13800000</v>
      </c>
      <c r="F451" s="19">
        <v>44034</v>
      </c>
      <c r="G451" s="3">
        <v>13800000</v>
      </c>
      <c r="H451" s="2">
        <v>5.0000000000000001E-3</v>
      </c>
      <c r="I451" s="19">
        <v>44166</v>
      </c>
      <c r="J451" s="19">
        <v>44196</v>
      </c>
      <c r="K451" s="3">
        <f>J451-I451+1</f>
        <v>31</v>
      </c>
      <c r="L451" s="3">
        <f>ROUND(G451*H451*K451/366,0)</f>
        <v>5844</v>
      </c>
      <c r="M451" s="3">
        <v>13800000</v>
      </c>
    </row>
    <row r="452" spans="1:13" s="18" customFormat="1" hidden="1" outlineLevel="2">
      <c r="A452" s="19" t="s">
        <v>119</v>
      </c>
      <c r="B452" s="20" t="s">
        <v>29</v>
      </c>
      <c r="C452" s="21" t="s">
        <v>97</v>
      </c>
      <c r="D452" s="20" t="s">
        <v>96</v>
      </c>
      <c r="E452" s="3">
        <v>25000000</v>
      </c>
      <c r="F452" s="19">
        <v>44102</v>
      </c>
      <c r="G452" s="3">
        <v>25000000</v>
      </c>
      <c r="H452" s="2">
        <v>5.0000000000000001E-3</v>
      </c>
      <c r="I452" s="19">
        <v>44166</v>
      </c>
      <c r="J452" s="19">
        <v>44196</v>
      </c>
      <c r="K452" s="3">
        <f>J452-I452+1</f>
        <v>31</v>
      </c>
      <c r="L452" s="3">
        <f>ROUND(G452*H452*K452/366,0)</f>
        <v>10587</v>
      </c>
      <c r="M452" s="3">
        <v>25000000</v>
      </c>
    </row>
    <row r="453" spans="1:13" s="18" customFormat="1" hidden="1" outlineLevel="2">
      <c r="A453" s="19" t="s">
        <v>119</v>
      </c>
      <c r="B453" s="20" t="s">
        <v>30</v>
      </c>
      <c r="C453" s="21" t="s">
        <v>97</v>
      </c>
      <c r="D453" s="20" t="s">
        <v>96</v>
      </c>
      <c r="E453" s="3">
        <v>5600000</v>
      </c>
      <c r="F453" s="19">
        <v>44103</v>
      </c>
      <c r="G453" s="3">
        <v>5600000</v>
      </c>
      <c r="H453" s="2">
        <v>5.0000000000000001E-3</v>
      </c>
      <c r="I453" s="19">
        <v>44166</v>
      </c>
      <c r="J453" s="19">
        <v>44196</v>
      </c>
      <c r="K453" s="3">
        <f>J453-I453+1</f>
        <v>31</v>
      </c>
      <c r="L453" s="3">
        <f>ROUND(G453*H453*K453/366,0)</f>
        <v>2372</v>
      </c>
      <c r="M453" s="3">
        <v>5600000</v>
      </c>
    </row>
    <row r="454" spans="1:13" s="18" customFormat="1" ht="13.5" hidden="1" outlineLevel="1" collapsed="1">
      <c r="A454" s="22" t="s">
        <v>118</v>
      </c>
      <c r="B454" s="23"/>
      <c r="C454" s="24"/>
      <c r="D454" s="23"/>
      <c r="E454" s="25">
        <f>SUBTOTAL(9,E450:E453)</f>
        <v>0</v>
      </c>
      <c r="F454" s="26"/>
      <c r="G454" s="25"/>
      <c r="H454" s="27"/>
      <c r="I454" s="26"/>
      <c r="J454" s="26"/>
      <c r="K454" s="25"/>
      <c r="L454" s="25">
        <f>SUBTOTAL(9,L450:L453)</f>
        <v>0</v>
      </c>
      <c r="M454" s="25">
        <f>SUBTOTAL(9,M450:M453)</f>
        <v>0</v>
      </c>
    </row>
    <row r="455" spans="1:13" s="18" customFormat="1" hidden="1" outlineLevel="2">
      <c r="A455" s="19" t="s">
        <v>63</v>
      </c>
      <c r="B455" s="20" t="s">
        <v>16</v>
      </c>
      <c r="C455" s="21" t="s">
        <v>21</v>
      </c>
      <c r="D455" s="20" t="s">
        <v>22</v>
      </c>
      <c r="E455" s="3">
        <v>72000000</v>
      </c>
      <c r="F455" s="19">
        <v>43917</v>
      </c>
      <c r="G455" s="3">
        <v>72000000</v>
      </c>
      <c r="H455" s="2">
        <v>5.0000000000000001E-3</v>
      </c>
      <c r="I455" s="19">
        <v>44166</v>
      </c>
      <c r="J455" s="19">
        <v>44196</v>
      </c>
      <c r="K455" s="3">
        <f t="shared" ref="K455:K465" si="32">J455-I455+1</f>
        <v>31</v>
      </c>
      <c r="L455" s="3">
        <f t="shared" ref="L455:L465" si="33">ROUND(G455*H455*K455/366,0)</f>
        <v>30492</v>
      </c>
      <c r="M455" s="3">
        <v>72000000</v>
      </c>
    </row>
    <row r="456" spans="1:13" s="18" customFormat="1" hidden="1" outlineLevel="2">
      <c r="A456" s="19" t="s">
        <v>63</v>
      </c>
      <c r="B456" s="20" t="s">
        <v>23</v>
      </c>
      <c r="C456" s="21" t="s">
        <v>21</v>
      </c>
      <c r="D456" s="20" t="s">
        <v>22</v>
      </c>
      <c r="E456" s="3">
        <v>144000000</v>
      </c>
      <c r="F456" s="19">
        <v>44018</v>
      </c>
      <c r="G456" s="3">
        <v>144000000</v>
      </c>
      <c r="H456" s="2">
        <v>5.0000000000000001E-3</v>
      </c>
      <c r="I456" s="19">
        <v>44166</v>
      </c>
      <c r="J456" s="19">
        <v>44196</v>
      </c>
      <c r="K456" s="3">
        <f t="shared" si="32"/>
        <v>31</v>
      </c>
      <c r="L456" s="3">
        <f t="shared" si="33"/>
        <v>60984</v>
      </c>
      <c r="M456" s="3">
        <v>144000000</v>
      </c>
    </row>
    <row r="457" spans="1:13" s="18" customFormat="1" hidden="1" outlineLevel="2">
      <c r="A457" s="19" t="s">
        <v>63</v>
      </c>
      <c r="B457" s="20" t="s">
        <v>29</v>
      </c>
      <c r="C457" s="21" t="s">
        <v>185</v>
      </c>
      <c r="D457" s="20" t="s">
        <v>184</v>
      </c>
      <c r="E457" s="3">
        <v>6820000</v>
      </c>
      <c r="F457" s="19">
        <v>44092</v>
      </c>
      <c r="G457" s="3">
        <v>6592666</v>
      </c>
      <c r="H457" s="2">
        <v>5.0000000000000001E-3</v>
      </c>
      <c r="I457" s="19">
        <v>44166</v>
      </c>
      <c r="J457" s="19">
        <v>44179</v>
      </c>
      <c r="K457" s="3">
        <f t="shared" si="32"/>
        <v>14</v>
      </c>
      <c r="L457" s="3">
        <f t="shared" si="33"/>
        <v>1261</v>
      </c>
      <c r="M457" s="3">
        <v>6478999</v>
      </c>
    </row>
    <row r="458" spans="1:13" s="18" customFormat="1" hidden="1" outlineLevel="2">
      <c r="A458" s="19" t="s">
        <v>63</v>
      </c>
      <c r="B458" s="20" t="s">
        <v>29</v>
      </c>
      <c r="C458" s="21" t="s">
        <v>185</v>
      </c>
      <c r="D458" s="20"/>
      <c r="E458" s="3"/>
      <c r="F458" s="19"/>
      <c r="G458" s="3">
        <v>6478999</v>
      </c>
      <c r="H458" s="2">
        <v>5.0000000000000001E-3</v>
      </c>
      <c r="I458" s="19">
        <v>44180</v>
      </c>
      <c r="J458" s="19">
        <v>44196</v>
      </c>
      <c r="K458" s="3">
        <f t="shared" si="32"/>
        <v>17</v>
      </c>
      <c r="L458" s="3">
        <f t="shared" si="33"/>
        <v>1505</v>
      </c>
      <c r="M458" s="3"/>
    </row>
    <row r="459" spans="1:13" s="18" customFormat="1" hidden="1" outlineLevel="2">
      <c r="A459" s="19" t="s">
        <v>63</v>
      </c>
      <c r="B459" s="20" t="s">
        <v>30</v>
      </c>
      <c r="C459" s="21" t="s">
        <v>185</v>
      </c>
      <c r="D459" s="20" t="s">
        <v>184</v>
      </c>
      <c r="E459" s="3">
        <v>17380000</v>
      </c>
      <c r="F459" s="19">
        <v>44092</v>
      </c>
      <c r="G459" s="3">
        <v>16414444</v>
      </c>
      <c r="H459" s="2">
        <v>5.0000000000000001E-3</v>
      </c>
      <c r="I459" s="19">
        <v>44166</v>
      </c>
      <c r="J459" s="19">
        <v>44179</v>
      </c>
      <c r="K459" s="3">
        <f t="shared" si="32"/>
        <v>14</v>
      </c>
      <c r="L459" s="3">
        <f t="shared" si="33"/>
        <v>3139</v>
      </c>
      <c r="M459" s="3">
        <v>15931666</v>
      </c>
    </row>
    <row r="460" spans="1:13" s="18" customFormat="1" hidden="1" outlineLevel="2">
      <c r="A460" s="19" t="s">
        <v>63</v>
      </c>
      <c r="B460" s="20" t="s">
        <v>30</v>
      </c>
      <c r="C460" s="21" t="s">
        <v>185</v>
      </c>
      <c r="D460" s="20"/>
      <c r="E460" s="3"/>
      <c r="F460" s="19"/>
      <c r="G460" s="3">
        <v>15931666</v>
      </c>
      <c r="H460" s="2">
        <v>5.0000000000000001E-3</v>
      </c>
      <c r="I460" s="19">
        <v>44180</v>
      </c>
      <c r="J460" s="19">
        <v>44196</v>
      </c>
      <c r="K460" s="3">
        <f t="shared" si="32"/>
        <v>17</v>
      </c>
      <c r="L460" s="3">
        <f t="shared" si="33"/>
        <v>3700</v>
      </c>
      <c r="M460" s="3"/>
    </row>
    <row r="461" spans="1:13" s="18" customFormat="1" hidden="1" outlineLevel="2">
      <c r="A461" s="19" t="s">
        <v>63</v>
      </c>
      <c r="B461" s="20" t="s">
        <v>31</v>
      </c>
      <c r="C461" s="21" t="s">
        <v>21</v>
      </c>
      <c r="D461" s="20" t="s">
        <v>22</v>
      </c>
      <c r="E461" s="3">
        <v>41000000</v>
      </c>
      <c r="F461" s="19">
        <v>44140</v>
      </c>
      <c r="G461" s="3">
        <v>41000000</v>
      </c>
      <c r="H461" s="2">
        <v>5.0000000000000001E-3</v>
      </c>
      <c r="I461" s="19">
        <v>44166</v>
      </c>
      <c r="J461" s="19">
        <v>44196</v>
      </c>
      <c r="K461" s="3">
        <f t="shared" si="32"/>
        <v>31</v>
      </c>
      <c r="L461" s="3">
        <f t="shared" si="33"/>
        <v>17363</v>
      </c>
      <c r="M461" s="3">
        <v>41000000</v>
      </c>
    </row>
    <row r="462" spans="1:13" s="18" customFormat="1" hidden="1" outlineLevel="2">
      <c r="A462" s="19" t="s">
        <v>63</v>
      </c>
      <c r="B462" s="20" t="s">
        <v>32</v>
      </c>
      <c r="C462" s="21" t="s">
        <v>185</v>
      </c>
      <c r="D462" s="20" t="s">
        <v>184</v>
      </c>
      <c r="E462" s="3">
        <v>3220000</v>
      </c>
      <c r="F462" s="19">
        <v>44161</v>
      </c>
      <c r="G462" s="3">
        <v>3220000</v>
      </c>
      <c r="H462" s="2">
        <v>5.0000000000000001E-3</v>
      </c>
      <c r="I462" s="19">
        <v>44166</v>
      </c>
      <c r="J462" s="19">
        <v>44179</v>
      </c>
      <c r="K462" s="3">
        <f t="shared" si="32"/>
        <v>14</v>
      </c>
      <c r="L462" s="3">
        <f t="shared" si="33"/>
        <v>616</v>
      </c>
      <c r="M462" s="3">
        <v>3164483</v>
      </c>
    </row>
    <row r="463" spans="1:13" s="18" customFormat="1" hidden="1" outlineLevel="2">
      <c r="A463" s="19" t="s">
        <v>63</v>
      </c>
      <c r="B463" s="20" t="s">
        <v>32</v>
      </c>
      <c r="C463" s="21" t="s">
        <v>185</v>
      </c>
      <c r="D463" s="20"/>
      <c r="E463" s="3"/>
      <c r="F463" s="19"/>
      <c r="G463" s="3">
        <v>3164483</v>
      </c>
      <c r="H463" s="2">
        <v>5.0000000000000001E-3</v>
      </c>
      <c r="I463" s="19">
        <v>44180</v>
      </c>
      <c r="J463" s="19">
        <v>44196</v>
      </c>
      <c r="K463" s="3">
        <f t="shared" si="32"/>
        <v>17</v>
      </c>
      <c r="L463" s="3">
        <f t="shared" si="33"/>
        <v>735</v>
      </c>
      <c r="M463" s="3"/>
    </row>
    <row r="464" spans="1:13" s="18" customFormat="1" hidden="1" outlineLevel="2">
      <c r="A464" s="19" t="s">
        <v>63</v>
      </c>
      <c r="B464" s="20" t="s">
        <v>48</v>
      </c>
      <c r="C464" s="21" t="s">
        <v>21</v>
      </c>
      <c r="D464" s="20" t="s">
        <v>22</v>
      </c>
      <c r="E464" s="3">
        <v>50000000</v>
      </c>
      <c r="F464" s="19">
        <v>44189</v>
      </c>
      <c r="G464" s="3">
        <v>50000000</v>
      </c>
      <c r="H464" s="2">
        <v>5.0000000000000001E-3</v>
      </c>
      <c r="I464" s="19">
        <v>44189</v>
      </c>
      <c r="J464" s="19">
        <v>44196</v>
      </c>
      <c r="K464" s="3">
        <f t="shared" si="32"/>
        <v>8</v>
      </c>
      <c r="L464" s="3">
        <f t="shared" si="33"/>
        <v>5464</v>
      </c>
      <c r="M464" s="3">
        <v>50000000</v>
      </c>
    </row>
    <row r="465" spans="1:13" s="18" customFormat="1" hidden="1" outlineLevel="2">
      <c r="A465" s="19" t="s">
        <v>63</v>
      </c>
      <c r="B465" s="20" t="s">
        <v>59</v>
      </c>
      <c r="C465" s="21" t="s">
        <v>21</v>
      </c>
      <c r="D465" s="20" t="s">
        <v>22</v>
      </c>
      <c r="E465" s="3">
        <v>15000000</v>
      </c>
      <c r="F465" s="19">
        <v>44189</v>
      </c>
      <c r="G465" s="3">
        <v>15000000</v>
      </c>
      <c r="H465" s="2">
        <v>5.0000000000000001E-3</v>
      </c>
      <c r="I465" s="19">
        <v>44189</v>
      </c>
      <c r="J465" s="19">
        <v>44196</v>
      </c>
      <c r="K465" s="3">
        <f t="shared" si="32"/>
        <v>8</v>
      </c>
      <c r="L465" s="3">
        <f t="shared" si="33"/>
        <v>1639</v>
      </c>
      <c r="M465" s="3">
        <v>15000000</v>
      </c>
    </row>
    <row r="466" spans="1:13" s="18" customFormat="1" ht="13.5" hidden="1" outlineLevel="1" collapsed="1">
      <c r="A466" s="22" t="s">
        <v>62</v>
      </c>
      <c r="B466" s="23"/>
      <c r="C466" s="24"/>
      <c r="D466" s="23"/>
      <c r="E466" s="25">
        <f>SUBTOTAL(9,E455:E465)</f>
        <v>0</v>
      </c>
      <c r="F466" s="26"/>
      <c r="G466" s="25"/>
      <c r="H466" s="27"/>
      <c r="I466" s="26"/>
      <c r="J466" s="26"/>
      <c r="K466" s="25"/>
      <c r="L466" s="25">
        <f>SUBTOTAL(9,L455:L465)</f>
        <v>0</v>
      </c>
      <c r="M466" s="25">
        <f>SUBTOTAL(9,M455:M465)</f>
        <v>0</v>
      </c>
    </row>
    <row r="467" spans="1:13" s="18" customFormat="1" hidden="1" outlineLevel="2">
      <c r="A467" s="19" t="s">
        <v>50</v>
      </c>
      <c r="B467" s="20" t="s">
        <v>16</v>
      </c>
      <c r="C467" s="21" t="s">
        <v>21</v>
      </c>
      <c r="D467" s="20" t="s">
        <v>22</v>
      </c>
      <c r="E467" s="3">
        <v>190000000</v>
      </c>
      <c r="F467" s="19">
        <v>43797</v>
      </c>
      <c r="G467" s="3">
        <v>190000000</v>
      </c>
      <c r="H467" s="2">
        <v>5.0000000000000001E-3</v>
      </c>
      <c r="I467" s="19">
        <v>44166</v>
      </c>
      <c r="J467" s="19">
        <v>44196</v>
      </c>
      <c r="K467" s="3">
        <f t="shared" ref="K467:K490" si="34">J467-I467+1</f>
        <v>31</v>
      </c>
      <c r="L467" s="3">
        <f t="shared" ref="L467:L490" si="35">ROUND(G467*H467*K467/366,0)</f>
        <v>80464</v>
      </c>
      <c r="M467" s="3">
        <v>190000000</v>
      </c>
    </row>
    <row r="468" spans="1:13" s="18" customFormat="1" hidden="1" outlineLevel="2">
      <c r="A468" s="19" t="s">
        <v>50</v>
      </c>
      <c r="B468" s="20" t="s">
        <v>61</v>
      </c>
      <c r="C468" s="21" t="s">
        <v>57</v>
      </c>
      <c r="D468" s="20" t="s">
        <v>56</v>
      </c>
      <c r="E468" s="3">
        <v>1310400</v>
      </c>
      <c r="F468" s="19">
        <v>44043</v>
      </c>
      <c r="G468" s="3">
        <v>1215100</v>
      </c>
      <c r="H468" s="2">
        <v>5.0000000000000001E-3</v>
      </c>
      <c r="I468" s="19">
        <v>44166</v>
      </c>
      <c r="J468" s="19">
        <v>44179</v>
      </c>
      <c r="K468" s="3">
        <f t="shared" si="34"/>
        <v>14</v>
      </c>
      <c r="L468" s="3">
        <f t="shared" si="35"/>
        <v>232</v>
      </c>
      <c r="M468" s="3">
        <v>1191275</v>
      </c>
    </row>
    <row r="469" spans="1:13" s="18" customFormat="1" hidden="1" outlineLevel="2">
      <c r="A469" s="19" t="s">
        <v>50</v>
      </c>
      <c r="B469" s="20" t="s">
        <v>61</v>
      </c>
      <c r="C469" s="21" t="s">
        <v>57</v>
      </c>
      <c r="D469" s="20"/>
      <c r="E469" s="3"/>
      <c r="F469" s="19"/>
      <c r="G469" s="3">
        <v>1191275</v>
      </c>
      <c r="H469" s="2">
        <v>5.0000000000000001E-3</v>
      </c>
      <c r="I469" s="19">
        <v>44180</v>
      </c>
      <c r="J469" s="19">
        <v>44196</v>
      </c>
      <c r="K469" s="3">
        <f t="shared" si="34"/>
        <v>17</v>
      </c>
      <c r="L469" s="3">
        <f t="shared" si="35"/>
        <v>277</v>
      </c>
      <c r="M469" s="3"/>
    </row>
    <row r="470" spans="1:13" s="18" customFormat="1" hidden="1" outlineLevel="2">
      <c r="A470" s="19" t="s">
        <v>50</v>
      </c>
      <c r="B470" s="20" t="s">
        <v>60</v>
      </c>
      <c r="C470" s="21" t="s">
        <v>69</v>
      </c>
      <c r="D470" s="20" t="s">
        <v>68</v>
      </c>
      <c r="E470" s="3">
        <v>201600000</v>
      </c>
      <c r="F470" s="19">
        <v>44028</v>
      </c>
      <c r="G470" s="3">
        <v>201600000</v>
      </c>
      <c r="H470" s="2">
        <v>3.0000000000000001E-3</v>
      </c>
      <c r="I470" s="19">
        <v>44166</v>
      </c>
      <c r="J470" s="19">
        <v>44196</v>
      </c>
      <c r="K470" s="3">
        <f t="shared" si="34"/>
        <v>31</v>
      </c>
      <c r="L470" s="3">
        <f t="shared" si="35"/>
        <v>51226</v>
      </c>
      <c r="M470" s="3">
        <v>201600000</v>
      </c>
    </row>
    <row r="471" spans="1:13" s="18" customFormat="1" hidden="1" outlineLevel="2">
      <c r="A471" s="19" t="s">
        <v>50</v>
      </c>
      <c r="B471" s="20" t="s">
        <v>66</v>
      </c>
      <c r="C471" s="21" t="s">
        <v>117</v>
      </c>
      <c r="D471" s="20" t="s">
        <v>116</v>
      </c>
      <c r="E471" s="3">
        <v>67678400</v>
      </c>
      <c r="F471" s="19">
        <v>44041</v>
      </c>
      <c r="G471" s="3">
        <v>67678400</v>
      </c>
      <c r="H471" s="2">
        <v>5.0000000000000001E-3</v>
      </c>
      <c r="I471" s="19">
        <v>44166</v>
      </c>
      <c r="J471" s="19">
        <v>44196</v>
      </c>
      <c r="K471" s="3">
        <f t="shared" si="34"/>
        <v>31</v>
      </c>
      <c r="L471" s="3">
        <f t="shared" si="35"/>
        <v>28662</v>
      </c>
      <c r="M471" s="3">
        <v>67678400</v>
      </c>
    </row>
    <row r="472" spans="1:13" s="18" customFormat="1" hidden="1" outlineLevel="2">
      <c r="A472" s="19" t="s">
        <v>50</v>
      </c>
      <c r="B472" s="20" t="s">
        <v>65</v>
      </c>
      <c r="C472" s="21" t="s">
        <v>117</v>
      </c>
      <c r="D472" s="20" t="s">
        <v>116</v>
      </c>
      <c r="E472" s="3">
        <v>56400000</v>
      </c>
      <c r="F472" s="19">
        <v>44060</v>
      </c>
      <c r="G472" s="3">
        <v>56400000</v>
      </c>
      <c r="H472" s="2">
        <v>5.0000000000000001E-3</v>
      </c>
      <c r="I472" s="19">
        <v>44166</v>
      </c>
      <c r="J472" s="19">
        <v>44196</v>
      </c>
      <c r="K472" s="3">
        <f t="shared" si="34"/>
        <v>31</v>
      </c>
      <c r="L472" s="3">
        <f t="shared" si="35"/>
        <v>23885</v>
      </c>
      <c r="M472" s="3">
        <v>56400000</v>
      </c>
    </row>
    <row r="473" spans="1:13" s="18" customFormat="1" hidden="1" outlineLevel="2">
      <c r="A473" s="19" t="s">
        <v>50</v>
      </c>
      <c r="B473" s="20" t="s">
        <v>64</v>
      </c>
      <c r="C473" s="21" t="s">
        <v>117</v>
      </c>
      <c r="D473" s="20" t="s">
        <v>116</v>
      </c>
      <c r="E473" s="3">
        <v>56400000</v>
      </c>
      <c r="F473" s="19">
        <v>44089</v>
      </c>
      <c r="G473" s="3">
        <v>56400000</v>
      </c>
      <c r="H473" s="2">
        <v>5.0000000000000001E-3</v>
      </c>
      <c r="I473" s="19">
        <v>44166</v>
      </c>
      <c r="J473" s="19">
        <v>44196</v>
      </c>
      <c r="K473" s="3">
        <f t="shared" si="34"/>
        <v>31</v>
      </c>
      <c r="L473" s="3">
        <f t="shared" si="35"/>
        <v>23885</v>
      </c>
      <c r="M473" s="3">
        <v>56400000</v>
      </c>
    </row>
    <row r="474" spans="1:13" s="18" customFormat="1" hidden="1" outlineLevel="2">
      <c r="A474" s="19" t="s">
        <v>50</v>
      </c>
      <c r="B474" s="20" t="s">
        <v>85</v>
      </c>
      <c r="C474" s="21" t="s">
        <v>117</v>
      </c>
      <c r="D474" s="20" t="s">
        <v>116</v>
      </c>
      <c r="E474" s="3">
        <v>56400000</v>
      </c>
      <c r="F474" s="19">
        <v>44119</v>
      </c>
      <c r="G474" s="3">
        <v>56400000</v>
      </c>
      <c r="H474" s="2">
        <v>5.0000000000000001E-3</v>
      </c>
      <c r="I474" s="19">
        <v>44166</v>
      </c>
      <c r="J474" s="19">
        <v>44196</v>
      </c>
      <c r="K474" s="3">
        <f t="shared" si="34"/>
        <v>31</v>
      </c>
      <c r="L474" s="3">
        <f t="shared" si="35"/>
        <v>23885</v>
      </c>
      <c r="M474" s="3">
        <v>56400000</v>
      </c>
    </row>
    <row r="475" spans="1:13" s="18" customFormat="1" hidden="1" outlineLevel="2">
      <c r="A475" s="19" t="s">
        <v>50</v>
      </c>
      <c r="B475" s="20" t="s">
        <v>84</v>
      </c>
      <c r="C475" s="21" t="s">
        <v>57</v>
      </c>
      <c r="D475" s="20" t="s">
        <v>56</v>
      </c>
      <c r="E475" s="3">
        <v>1169666</v>
      </c>
      <c r="F475" s="19">
        <v>44134</v>
      </c>
      <c r="G475" s="3">
        <v>1147172</v>
      </c>
      <c r="H475" s="2">
        <v>5.0000000000000001E-3</v>
      </c>
      <c r="I475" s="19">
        <v>44166</v>
      </c>
      <c r="J475" s="19">
        <v>44179</v>
      </c>
      <c r="K475" s="3">
        <f t="shared" si="34"/>
        <v>14</v>
      </c>
      <c r="L475" s="3">
        <f t="shared" si="35"/>
        <v>219</v>
      </c>
      <c r="M475" s="3">
        <v>1124678</v>
      </c>
    </row>
    <row r="476" spans="1:13" s="18" customFormat="1" hidden="1" outlineLevel="2">
      <c r="A476" s="19" t="s">
        <v>50</v>
      </c>
      <c r="B476" s="20" t="s">
        <v>84</v>
      </c>
      <c r="C476" s="21" t="s">
        <v>57</v>
      </c>
      <c r="D476" s="20"/>
      <c r="E476" s="3"/>
      <c r="F476" s="19"/>
      <c r="G476" s="3">
        <v>1124678</v>
      </c>
      <c r="H476" s="2">
        <v>5.0000000000000001E-3</v>
      </c>
      <c r="I476" s="19">
        <v>44180</v>
      </c>
      <c r="J476" s="19">
        <v>44196</v>
      </c>
      <c r="K476" s="3">
        <f t="shared" si="34"/>
        <v>17</v>
      </c>
      <c r="L476" s="3">
        <f t="shared" si="35"/>
        <v>261</v>
      </c>
      <c r="M476" s="3"/>
    </row>
    <row r="477" spans="1:13" s="18" customFormat="1" hidden="1" outlineLevel="2">
      <c r="A477" s="19" t="s">
        <v>50</v>
      </c>
      <c r="B477" s="20" t="s">
        <v>83</v>
      </c>
      <c r="C477" s="21" t="s">
        <v>117</v>
      </c>
      <c r="D477" s="20" t="s">
        <v>116</v>
      </c>
      <c r="E477" s="3">
        <v>56400000</v>
      </c>
      <c r="F477" s="19">
        <v>44151</v>
      </c>
      <c r="G477" s="3">
        <v>56400000</v>
      </c>
      <c r="H477" s="2">
        <v>5.0000000000000001E-3</v>
      </c>
      <c r="I477" s="19">
        <v>44166</v>
      </c>
      <c r="J477" s="19">
        <v>44196</v>
      </c>
      <c r="K477" s="3">
        <f t="shared" si="34"/>
        <v>31</v>
      </c>
      <c r="L477" s="3">
        <f t="shared" si="35"/>
        <v>23885</v>
      </c>
      <c r="M477" s="3">
        <v>56400000</v>
      </c>
    </row>
    <row r="478" spans="1:13" s="18" customFormat="1" hidden="1" outlineLevel="2">
      <c r="A478" s="19" t="s">
        <v>50</v>
      </c>
      <c r="B478" s="20" t="s">
        <v>102</v>
      </c>
      <c r="C478" s="21" t="s">
        <v>227</v>
      </c>
      <c r="D478" s="20" t="s">
        <v>226</v>
      </c>
      <c r="E478" s="3">
        <v>2230000</v>
      </c>
      <c r="F478" s="19">
        <v>44138</v>
      </c>
      <c r="G478" s="3">
        <v>2230000</v>
      </c>
      <c r="H478" s="2">
        <v>5.0000000000000001E-3</v>
      </c>
      <c r="I478" s="19">
        <v>44166</v>
      </c>
      <c r="J478" s="19">
        <v>44196</v>
      </c>
      <c r="K478" s="3">
        <f t="shared" si="34"/>
        <v>31</v>
      </c>
      <c r="L478" s="3">
        <f t="shared" si="35"/>
        <v>944</v>
      </c>
      <c r="M478" s="3">
        <v>2230000</v>
      </c>
    </row>
    <row r="479" spans="1:13" s="18" customFormat="1" hidden="1" outlineLevel="2">
      <c r="A479" s="19" t="s">
        <v>50</v>
      </c>
      <c r="B479" s="20" t="s">
        <v>101</v>
      </c>
      <c r="C479" s="21" t="s">
        <v>117</v>
      </c>
      <c r="D479" s="20" t="s">
        <v>116</v>
      </c>
      <c r="E479" s="3">
        <v>112800000</v>
      </c>
      <c r="F479" s="19">
        <v>44180</v>
      </c>
      <c r="G479" s="3">
        <v>112800000</v>
      </c>
      <c r="H479" s="2">
        <v>5.0000000000000001E-3</v>
      </c>
      <c r="I479" s="19">
        <v>44180</v>
      </c>
      <c r="J479" s="19">
        <v>44196</v>
      </c>
      <c r="K479" s="3">
        <f t="shared" si="34"/>
        <v>17</v>
      </c>
      <c r="L479" s="3">
        <f t="shared" si="35"/>
        <v>26197</v>
      </c>
      <c r="M479" s="3">
        <v>112800000</v>
      </c>
    </row>
    <row r="480" spans="1:13" s="18" customFormat="1" hidden="1" outlineLevel="2">
      <c r="A480" s="19" t="s">
        <v>50</v>
      </c>
      <c r="B480" s="20" t="s">
        <v>23</v>
      </c>
      <c r="C480" s="21" t="s">
        <v>21</v>
      </c>
      <c r="D480" s="20" t="s">
        <v>22</v>
      </c>
      <c r="E480" s="3">
        <v>37000000</v>
      </c>
      <c r="F480" s="19">
        <v>43829</v>
      </c>
      <c r="G480" s="3">
        <v>37000000</v>
      </c>
      <c r="H480" s="2">
        <v>5.0000000000000001E-3</v>
      </c>
      <c r="I480" s="19">
        <v>44166</v>
      </c>
      <c r="J480" s="19">
        <v>44196</v>
      </c>
      <c r="K480" s="3">
        <f t="shared" si="34"/>
        <v>31</v>
      </c>
      <c r="L480" s="3">
        <f t="shared" si="35"/>
        <v>15669</v>
      </c>
      <c r="M480" s="3">
        <v>37000000</v>
      </c>
    </row>
    <row r="481" spans="1:16" s="18" customFormat="1" hidden="1" outlineLevel="2">
      <c r="A481" s="19" t="s">
        <v>50</v>
      </c>
      <c r="B481" s="20" t="s">
        <v>100</v>
      </c>
      <c r="C481" s="21" t="s">
        <v>117</v>
      </c>
      <c r="D481" s="20" t="s">
        <v>116</v>
      </c>
      <c r="E481" s="3">
        <v>3667200</v>
      </c>
      <c r="F481" s="19">
        <v>44180</v>
      </c>
      <c r="G481" s="3">
        <v>3667200</v>
      </c>
      <c r="H481" s="2">
        <v>5.0000000000000001E-3</v>
      </c>
      <c r="I481" s="19">
        <v>44180</v>
      </c>
      <c r="J481" s="19">
        <v>44196</v>
      </c>
      <c r="K481" s="3">
        <f t="shared" si="34"/>
        <v>17</v>
      </c>
      <c r="L481" s="3">
        <f t="shared" si="35"/>
        <v>852</v>
      </c>
      <c r="M481" s="3">
        <v>3667200</v>
      </c>
    </row>
    <row r="482" spans="1:16" s="18" customFormat="1" hidden="1" outlineLevel="2">
      <c r="A482" s="19" t="s">
        <v>50</v>
      </c>
      <c r="B482" s="20" t="s">
        <v>99</v>
      </c>
      <c r="C482" s="21" t="s">
        <v>250</v>
      </c>
      <c r="D482" s="20" t="s">
        <v>251</v>
      </c>
      <c r="E482" s="3">
        <v>30870000</v>
      </c>
      <c r="F482" s="19">
        <v>44175</v>
      </c>
      <c r="G482" s="3">
        <v>30870000</v>
      </c>
      <c r="H482" s="2">
        <v>5.0000000000000001E-3</v>
      </c>
      <c r="I482" s="19">
        <v>44175</v>
      </c>
      <c r="J482" s="19">
        <v>44196</v>
      </c>
      <c r="K482" s="3">
        <f t="shared" si="34"/>
        <v>22</v>
      </c>
      <c r="L482" s="3">
        <f t="shared" si="35"/>
        <v>9278</v>
      </c>
      <c r="M482" s="3">
        <v>30870000</v>
      </c>
    </row>
    <row r="483" spans="1:16" s="18" customFormat="1" hidden="1" outlineLevel="2">
      <c r="A483" s="19" t="s">
        <v>50</v>
      </c>
      <c r="B483" s="20" t="s">
        <v>29</v>
      </c>
      <c r="C483" s="21" t="s">
        <v>57</v>
      </c>
      <c r="D483" s="20" t="s">
        <v>56</v>
      </c>
      <c r="E483" s="3">
        <v>17276700</v>
      </c>
      <c r="F483" s="19">
        <v>43878</v>
      </c>
      <c r="G483" s="3">
        <v>14685195</v>
      </c>
      <c r="H483" s="2">
        <v>5.0000000000000001E-3</v>
      </c>
      <c r="I483" s="19">
        <v>44166</v>
      </c>
      <c r="J483" s="19">
        <v>44179</v>
      </c>
      <c r="K483" s="3">
        <f t="shared" si="34"/>
        <v>14</v>
      </c>
      <c r="L483" s="3">
        <f t="shared" si="35"/>
        <v>2809</v>
      </c>
      <c r="M483" s="3">
        <v>14397250</v>
      </c>
    </row>
    <row r="484" spans="1:16" s="18" customFormat="1" hidden="1" outlineLevel="2">
      <c r="A484" s="19" t="s">
        <v>50</v>
      </c>
      <c r="B484" s="20" t="s">
        <v>29</v>
      </c>
      <c r="C484" s="21" t="s">
        <v>57</v>
      </c>
      <c r="D484" s="20"/>
      <c r="E484" s="3"/>
      <c r="F484" s="19"/>
      <c r="G484" s="3">
        <v>14397250</v>
      </c>
      <c r="H484" s="2">
        <v>5.0000000000000001E-3</v>
      </c>
      <c r="I484" s="19">
        <v>44180</v>
      </c>
      <c r="J484" s="19">
        <v>44196</v>
      </c>
      <c r="K484" s="3">
        <f t="shared" si="34"/>
        <v>17</v>
      </c>
      <c r="L484" s="3">
        <f t="shared" si="35"/>
        <v>3344</v>
      </c>
      <c r="M484" s="3"/>
    </row>
    <row r="485" spans="1:16" s="18" customFormat="1" hidden="1" outlineLevel="2">
      <c r="A485" s="19" t="s">
        <v>50</v>
      </c>
      <c r="B485" s="20" t="s">
        <v>30</v>
      </c>
      <c r="C485" s="21" t="s">
        <v>21</v>
      </c>
      <c r="D485" s="20" t="s">
        <v>22</v>
      </c>
      <c r="E485" s="3">
        <v>73000000</v>
      </c>
      <c r="F485" s="19">
        <v>43896</v>
      </c>
      <c r="G485" s="3">
        <v>73000000</v>
      </c>
      <c r="H485" s="2">
        <v>5.0000000000000001E-3</v>
      </c>
      <c r="I485" s="19">
        <v>44166</v>
      </c>
      <c r="J485" s="19">
        <v>44196</v>
      </c>
      <c r="K485" s="3">
        <f t="shared" si="34"/>
        <v>31</v>
      </c>
      <c r="L485" s="3">
        <f t="shared" si="35"/>
        <v>30915</v>
      </c>
      <c r="M485" s="3">
        <v>73000000</v>
      </c>
    </row>
    <row r="486" spans="1:16" s="18" customFormat="1" hidden="1" outlineLevel="2">
      <c r="A486" s="19" t="s">
        <v>50</v>
      </c>
      <c r="B486" s="20" t="s">
        <v>31</v>
      </c>
      <c r="C486" s="21" t="s">
        <v>57</v>
      </c>
      <c r="D486" s="20" t="s">
        <v>56</v>
      </c>
      <c r="E486" s="3">
        <v>19997321</v>
      </c>
      <c r="F486" s="19">
        <v>43948</v>
      </c>
      <c r="G486" s="3">
        <v>19997321</v>
      </c>
      <c r="H486" s="2">
        <v>5.0000000000000001E-3</v>
      </c>
      <c r="I486" s="19">
        <v>44166</v>
      </c>
      <c r="J486" s="19">
        <v>44196</v>
      </c>
      <c r="K486" s="3">
        <f t="shared" si="34"/>
        <v>31</v>
      </c>
      <c r="L486" s="3">
        <f t="shared" si="35"/>
        <v>8469</v>
      </c>
      <c r="M486" s="3">
        <v>19997321</v>
      </c>
    </row>
    <row r="487" spans="1:16" s="18" customFormat="1" hidden="1" outlineLevel="2">
      <c r="A487" s="19" t="s">
        <v>50</v>
      </c>
      <c r="B487" s="20" t="s">
        <v>32</v>
      </c>
      <c r="C487" s="21" t="s">
        <v>69</v>
      </c>
      <c r="D487" s="20" t="s">
        <v>68</v>
      </c>
      <c r="E487" s="3">
        <v>242400000</v>
      </c>
      <c r="F487" s="19">
        <v>43930</v>
      </c>
      <c r="G487" s="3">
        <v>242400000</v>
      </c>
      <c r="H487" s="2">
        <v>3.0000000000000001E-3</v>
      </c>
      <c r="I487" s="19">
        <v>44166</v>
      </c>
      <c r="J487" s="19">
        <v>44196</v>
      </c>
      <c r="K487" s="3">
        <f t="shared" si="34"/>
        <v>31</v>
      </c>
      <c r="L487" s="3">
        <f t="shared" si="35"/>
        <v>61593</v>
      </c>
      <c r="M487" s="3">
        <v>242400000</v>
      </c>
    </row>
    <row r="488" spans="1:16" s="18" customFormat="1" hidden="1" outlineLevel="2">
      <c r="A488" s="19" t="s">
        <v>50</v>
      </c>
      <c r="B488" s="20" t="s">
        <v>48</v>
      </c>
      <c r="C488" s="21" t="s">
        <v>69</v>
      </c>
      <c r="D488" s="20" t="s">
        <v>68</v>
      </c>
      <c r="E488" s="3">
        <v>156000000</v>
      </c>
      <c r="F488" s="19">
        <v>43958</v>
      </c>
      <c r="G488" s="3">
        <v>156000000</v>
      </c>
      <c r="H488" s="2">
        <v>3.0000000000000001E-3</v>
      </c>
      <c r="I488" s="19">
        <v>44166</v>
      </c>
      <c r="J488" s="19">
        <v>44196</v>
      </c>
      <c r="K488" s="3">
        <f t="shared" si="34"/>
        <v>31</v>
      </c>
      <c r="L488" s="3">
        <f t="shared" si="35"/>
        <v>39639</v>
      </c>
      <c r="M488" s="3">
        <v>156000000</v>
      </c>
    </row>
    <row r="489" spans="1:16" s="18" customFormat="1" hidden="1" outlineLevel="2">
      <c r="A489" s="19" t="s">
        <v>50</v>
      </c>
      <c r="B489" s="20" t="s">
        <v>59</v>
      </c>
      <c r="C489" s="21" t="s">
        <v>117</v>
      </c>
      <c r="D489" s="20" t="s">
        <v>116</v>
      </c>
      <c r="E489" s="3">
        <v>33840000</v>
      </c>
      <c r="F489" s="19">
        <v>43986</v>
      </c>
      <c r="G489" s="3">
        <v>33840000</v>
      </c>
      <c r="H489" s="2">
        <v>5.0000000000000001E-3</v>
      </c>
      <c r="I489" s="19">
        <v>44166</v>
      </c>
      <c r="J489" s="19">
        <v>44196</v>
      </c>
      <c r="K489" s="3">
        <f t="shared" si="34"/>
        <v>31</v>
      </c>
      <c r="L489" s="3">
        <f t="shared" si="35"/>
        <v>14331</v>
      </c>
      <c r="M489" s="3">
        <v>33840000</v>
      </c>
    </row>
    <row r="490" spans="1:16" s="18" customFormat="1" hidden="1" outlineLevel="2">
      <c r="A490" s="19" t="s">
        <v>50</v>
      </c>
      <c r="B490" s="20" t="s">
        <v>58</v>
      </c>
      <c r="C490" s="21" t="s">
        <v>117</v>
      </c>
      <c r="D490" s="20" t="s">
        <v>116</v>
      </c>
      <c r="E490" s="3">
        <v>134396612</v>
      </c>
      <c r="F490" s="19">
        <v>43986</v>
      </c>
      <c r="G490" s="3">
        <v>134396612</v>
      </c>
      <c r="H490" s="2">
        <v>5.0000000000000001E-3</v>
      </c>
      <c r="I490" s="19">
        <v>44166</v>
      </c>
      <c r="J490" s="19">
        <v>44196</v>
      </c>
      <c r="K490" s="3">
        <f t="shared" si="34"/>
        <v>31</v>
      </c>
      <c r="L490" s="3">
        <f t="shared" si="35"/>
        <v>56917</v>
      </c>
      <c r="M490" s="3">
        <v>134396612</v>
      </c>
    </row>
    <row r="491" spans="1:16" s="18" customFormat="1" ht="13.5" outlineLevel="1" collapsed="1">
      <c r="A491" s="22" t="s">
        <v>51</v>
      </c>
      <c r="B491" s="23"/>
      <c r="C491" s="24"/>
      <c r="D491" s="23"/>
      <c r="E491" s="25">
        <f>SUBTOTAL(9,E467:E490)</f>
        <v>0</v>
      </c>
      <c r="F491" s="26"/>
      <c r="G491" s="25"/>
      <c r="H491" s="27"/>
      <c r="I491" s="26"/>
      <c r="J491" s="26"/>
      <c r="K491" s="25"/>
      <c r="L491" s="25">
        <f>SUBTOTAL(9,L467:L490)</f>
        <v>0</v>
      </c>
      <c r="M491" s="25">
        <f>SUBTOTAL(9,M467:M490)</f>
        <v>0</v>
      </c>
    </row>
    <row r="492" spans="1:16" s="34" customFormat="1" ht="13.5" outlineLevel="1">
      <c r="A492" s="28"/>
      <c r="B492" s="29"/>
      <c r="C492" s="30"/>
      <c r="D492" s="29"/>
      <c r="E492" s="31"/>
      <c r="F492" s="32"/>
      <c r="G492" s="31"/>
      <c r="H492" s="33"/>
      <c r="I492" s="32"/>
      <c r="J492" s="32"/>
      <c r="K492" s="31"/>
      <c r="L492" s="31"/>
      <c r="M492" s="31"/>
    </row>
    <row r="493" spans="1:16" s="18" customFormat="1" ht="13.5">
      <c r="A493" s="26" t="s">
        <v>52</v>
      </c>
      <c r="B493" s="23"/>
      <c r="C493" s="24"/>
      <c r="D493" s="23"/>
      <c r="E493" s="25">
        <f>SUBTOTAL(9,E4:E490)</f>
        <v>489452000</v>
      </c>
      <c r="F493" s="26"/>
      <c r="G493" s="25"/>
      <c r="H493" s="27"/>
      <c r="I493" s="26"/>
      <c r="J493" s="26"/>
      <c r="K493" s="25"/>
      <c r="L493" s="25">
        <f>SUBTOTAL(9,L4:L490)</f>
        <v>184289</v>
      </c>
      <c r="M493" s="25">
        <f>SUBTOTAL(9,M4:M490)</f>
        <v>432791703</v>
      </c>
    </row>
    <row r="494" spans="1:16" s="18" customForma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</row>
    <row r="495" spans="1:16">
      <c r="A495" s="35" t="s">
        <v>53</v>
      </c>
      <c r="B495" s="35"/>
      <c r="E495" s="36" t="s">
        <v>55</v>
      </c>
      <c r="G495" s="6"/>
      <c r="H495" s="38" t="s">
        <v>54</v>
      </c>
      <c r="I495" s="37"/>
    </row>
    <row r="496" spans="1:16" s="18" customForma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</row>
    <row r="497" spans="1:16" s="18" customForma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</row>
    <row r="498" spans="1:16" s="18" customForma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</row>
    <row r="499" spans="1:16" s="18" customForma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</row>
    <row r="500" spans="1:16" s="18" customForma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</row>
    <row r="501" spans="1:16" s="18" customForma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</row>
    <row r="502" spans="1:16" s="18" customForma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</row>
    <row r="503" spans="1:16" s="18" customForma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</row>
    <row r="504" spans="1:16" s="18" customForma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</row>
    <row r="505" spans="1:16" s="18" customForma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</row>
    <row r="506" spans="1:16" s="18" customForma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</row>
    <row r="507" spans="1:16" s="18" customForma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</row>
    <row r="508" spans="1:16" s="18" customForma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</row>
    <row r="509" spans="1:16" s="18" customForma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</row>
    <row r="510" spans="1:16" s="18" customForma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</row>
    <row r="511" spans="1:16" s="18" customForma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</row>
    <row r="512" spans="1:16" s="18" customForma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</row>
    <row r="513" spans="1:16" s="18" customForma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</row>
    <row r="514" spans="1:16" s="18" customForma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</row>
    <row r="515" spans="1:16" s="18" customForma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</row>
    <row r="516" spans="1:16" s="18" customForma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</row>
    <row r="517" spans="1:16" s="18" customForma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</row>
    <row r="518" spans="1:16" s="18" customForma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</row>
    <row r="519" spans="1:16" s="18" customForma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</row>
    <row r="520" spans="1:16" s="18" customForma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</row>
    <row r="521" spans="1:16" s="18" customForma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</row>
    <row r="522" spans="1:16" s="18" customForma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</row>
    <row r="523" spans="1:16" s="18" customForma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</row>
    <row r="524" spans="1:16" s="18" customForma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</row>
    <row r="525" spans="1:16" s="18" customForma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</row>
    <row r="526" spans="1:16" s="18" customForma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</row>
    <row r="527" spans="1:16" s="18" customForma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</row>
    <row r="528" spans="1:16" s="18" customForma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</row>
    <row r="529" spans="1:16" s="18" customForma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</row>
    <row r="530" spans="1:16" s="18" customForma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</row>
    <row r="531" spans="1:16" s="18" customForma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</row>
    <row r="532" spans="1:16" s="18" customForma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</row>
    <row r="533" spans="1:16" s="18" customForma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</row>
    <row r="534" spans="1:16" s="18" customForma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</row>
    <row r="535" spans="1:16" s="18" customForma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</row>
    <row r="536" spans="1:16" s="18" customForma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</row>
    <row r="537" spans="1:16" s="18" customForma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</row>
    <row r="538" spans="1:16" s="18" customForma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</row>
    <row r="539" spans="1:16" s="18" customForma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</row>
    <row r="540" spans="1:16" s="18" customForma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</row>
    <row r="541" spans="1:16" s="18" customForma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</row>
    <row r="542" spans="1:16" s="18" customForma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</row>
    <row r="543" spans="1:16" s="18" customForma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</row>
    <row r="544" spans="1:16" s="18" customForma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</row>
    <row r="545" spans="1:16" s="18" customForma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</row>
    <row r="546" spans="1:16" s="18" customForma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</row>
    <row r="547" spans="1:16" s="18" customForma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</row>
    <row r="548" spans="1:16" s="18" customForma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</row>
    <row r="549" spans="1:16" s="18" customForma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</row>
    <row r="550" spans="1:16" s="18" customForma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</row>
    <row r="551" spans="1:16" s="18" customForma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</row>
    <row r="552" spans="1:16" s="18" customForma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</row>
    <row r="553" spans="1:16" s="18" customForma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</row>
    <row r="554" spans="1:16" s="18" customForma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</row>
    <row r="555" spans="1:16" s="18" customForma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s="18" customForma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</row>
    <row r="557" spans="1:16" s="18" customForma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</row>
    <row r="558" spans="1:16" s="18" customForma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</row>
    <row r="559" spans="1:16" s="18" customForma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</row>
    <row r="560" spans="1:16" s="18" customForma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</row>
    <row r="561" spans="1:16" s="18" customForma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</row>
    <row r="562" spans="1:16" s="18" customForma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</row>
    <row r="563" spans="1:16" s="18" customForma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</row>
    <row r="564" spans="1:16" s="18" customForma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</row>
    <row r="565" spans="1:16" s="18" customForma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</row>
    <row r="566" spans="1:16" s="18" customForma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</row>
    <row r="567" spans="1:16" s="18" customForma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</row>
    <row r="568" spans="1:16" s="18" customForma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</row>
    <row r="569" spans="1:16" s="18" customForma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</row>
    <row r="570" spans="1:16" s="18" customForma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</row>
    <row r="571" spans="1:16" s="18" customForma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</row>
    <row r="572" spans="1:16" s="18" customForma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</row>
    <row r="573" spans="1:16" s="18" customForma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</row>
    <row r="574" spans="1:16" s="18" customForma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</row>
    <row r="575" spans="1:16" s="18" customForma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</row>
    <row r="576" spans="1:16" s="18" customForma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</row>
    <row r="577" spans="1:16" s="18" customForma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</row>
    <row r="578" spans="1:16" s="18" customForma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</row>
    <row r="579" spans="1:16" s="18" customForma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</row>
    <row r="580" spans="1:16" s="18" customForma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</row>
    <row r="581" spans="1:16" s="18" customForma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</row>
    <row r="582" spans="1:16" s="18" customForma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</row>
    <row r="583" spans="1:16" s="18" customForma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</row>
    <row r="584" spans="1:16" s="18" customForma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</row>
    <row r="585" spans="1:16" s="18" customForma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</row>
    <row r="586" spans="1:16" s="18" customForma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</row>
    <row r="587" spans="1:16" s="18" customForma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</row>
    <row r="588" spans="1:16" s="18" customForma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</row>
    <row r="589" spans="1:16" s="18" customForma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</row>
    <row r="590" spans="1:16" s="18" customForma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</row>
    <row r="591" spans="1:16" s="18" customForma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</row>
    <row r="592" spans="1:16" s="18" customForma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</row>
    <row r="593" spans="1:16" s="18" customForma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</row>
    <row r="594" spans="1:16" s="18" customForma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</row>
    <row r="595" spans="1:16" s="18" customForma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</row>
    <row r="596" spans="1:16" s="18" customForma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</row>
    <row r="597" spans="1:16" s="18" customForma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</row>
    <row r="598" spans="1:16" s="18" customForma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</row>
    <row r="599" spans="1:16" s="18" customForma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</row>
    <row r="600" spans="1:16" s="18" customForma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</row>
    <row r="601" spans="1:16" s="18" customForma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</row>
    <row r="602" spans="1:16" s="18" customForma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</row>
    <row r="603" spans="1:16" s="18" customForma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</row>
    <row r="604" spans="1:16" s="18" customForma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</row>
    <row r="605" spans="1:16" s="18" customForma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</row>
    <row r="606" spans="1:16" s="18" customForma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</row>
    <row r="607" spans="1:16" s="18" customForma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</row>
    <row r="608" spans="1:16" s="18" customForma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</row>
    <row r="609" spans="1:16" s="18" customForma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</row>
    <row r="610" spans="1:16" s="18" customForma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</row>
    <row r="611" spans="1:16" s="18" customForma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</row>
    <row r="612" spans="1:16" s="18" customForma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</row>
    <row r="613" spans="1:16" s="18" customForma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</row>
    <row r="614" spans="1:16" s="18" customForma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</row>
    <row r="615" spans="1:16" s="18" customForma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</row>
    <row r="616" spans="1:16" s="18" customForma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</row>
    <row r="617" spans="1:16" s="18" customForma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</row>
    <row r="618" spans="1:16" s="18" customForma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</row>
    <row r="619" spans="1:16" s="18" customForma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</row>
    <row r="620" spans="1:16" s="18" customForma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</row>
    <row r="621" spans="1:16" s="18" customForma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</row>
    <row r="622" spans="1:16" s="18" customForma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</row>
    <row r="623" spans="1:16" s="18" customForma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</row>
    <row r="624" spans="1:16" s="18" customForma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</row>
    <row r="625" spans="1:16" s="18" customForma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</row>
    <row r="626" spans="1:16" s="18" customForma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</row>
    <row r="627" spans="1:16" s="18" customForma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</row>
    <row r="628" spans="1:16" s="18" customForma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</row>
    <row r="629" spans="1:16" s="18" customForma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</row>
    <row r="630" spans="1:16" s="18" customForma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</row>
    <row r="631" spans="1:16" s="18" customForma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</row>
    <row r="632" spans="1:16" s="18" customForma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</row>
    <row r="633" spans="1:16" s="18" customForma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</row>
    <row r="634" spans="1:16" s="18" customForma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</row>
    <row r="635" spans="1:16" s="18" customForma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</row>
    <row r="636" spans="1:16" s="18" customForma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</row>
    <row r="637" spans="1:16" s="18" customForma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</row>
    <row r="638" spans="1:16" s="18" customForma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</row>
    <row r="639" spans="1:16" s="18" customForma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</row>
    <row r="640" spans="1:16" s="18" customForma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</row>
    <row r="641" spans="1:16" s="18" customForma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</row>
    <row r="642" spans="1:16" s="18" customForma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</row>
    <row r="643" spans="1:16" s="18" customForma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</row>
    <row r="644" spans="1:16" s="18" customForma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</row>
    <row r="645" spans="1:16" s="18" customForma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</row>
    <row r="646" spans="1:16" s="18" customForma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</row>
    <row r="647" spans="1:16" s="18" customForma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</row>
    <row r="648" spans="1:16" s="18" customForma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</row>
    <row r="649" spans="1:16" s="18" customForma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</row>
    <row r="650" spans="1:16" s="18" customForma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</row>
    <row r="651" spans="1:16" s="18" customForma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</row>
    <row r="652" spans="1:16" s="18" customForma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</row>
    <row r="653" spans="1:16" s="18" customForma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</row>
    <row r="654" spans="1:16" s="18" customForma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</row>
    <row r="655" spans="1:16" s="18" customForma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</row>
    <row r="656" spans="1:16" s="18" customForma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</row>
    <row r="657" spans="1:16" s="18" customForma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</row>
    <row r="658" spans="1:16" s="18" customForma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</row>
    <row r="659" spans="1:16" s="18" customForma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</row>
    <row r="660" spans="1:16" s="18" customForma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</row>
    <row r="661" spans="1:16" s="18" customForma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</row>
    <row r="662" spans="1:16" s="18" customForma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</row>
    <row r="663" spans="1:16" s="18" customForma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</row>
    <row r="664" spans="1:16" s="18" customForma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</row>
    <row r="665" spans="1:16" s="18" customForma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</row>
    <row r="666" spans="1:16" s="18" customForma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</row>
    <row r="667" spans="1:16" s="18" customForma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</row>
    <row r="668" spans="1:16" s="18" customForma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</row>
    <row r="669" spans="1:16" s="18" customForma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</row>
    <row r="670" spans="1:16" s="18" customForma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</row>
    <row r="671" spans="1:16" s="18" customForma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</row>
    <row r="672" spans="1:16" s="18" customForma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</row>
    <row r="673" spans="1:16" s="18" customForma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</row>
    <row r="674" spans="1:16" s="18" customForma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</row>
    <row r="675" spans="1:16" s="18" customForma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</row>
    <row r="676" spans="1:16" s="18" customForma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</row>
    <row r="677" spans="1:16" s="18" customForma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</row>
    <row r="678" spans="1:16" s="18" customForma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</row>
    <row r="679" spans="1:16" s="18" customForma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</row>
    <row r="680" spans="1:16" s="18" customForma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</row>
    <row r="681" spans="1:16" s="18" customForma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</row>
    <row r="682" spans="1:16" s="18" customForma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</row>
    <row r="683" spans="1:16" s="18" customForma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</row>
    <row r="684" spans="1:16" s="18" customForma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</row>
    <row r="685" spans="1:16" s="18" customForma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</row>
    <row r="686" spans="1:16" s="18" customForma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</row>
    <row r="687" spans="1:16" s="18" customForma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</row>
    <row r="688" spans="1:16" s="18" customForma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</row>
    <row r="689" spans="1:16" s="18" customForma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</row>
    <row r="690" spans="1:16" s="18" customForma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</row>
    <row r="691" spans="1:16" s="18" customForma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</row>
    <row r="692" spans="1:16" s="18" customForma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</row>
    <row r="693" spans="1:16" s="18" customForma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</row>
    <row r="694" spans="1:16" s="18" customForma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</row>
    <row r="695" spans="1:16" s="18" customForma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</row>
    <row r="696" spans="1:16" s="18" customForma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</row>
    <row r="697" spans="1:16" s="18" customForma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</row>
    <row r="698" spans="1:16" s="18" customForma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</row>
    <row r="699" spans="1:16" s="18" customForma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</row>
    <row r="700" spans="1:16" s="18" customForma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</row>
    <row r="701" spans="1:16" s="18" customForma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</row>
    <row r="702" spans="1:16" s="18" customForma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</row>
    <row r="703" spans="1:16" s="18" customForma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</row>
    <row r="704" spans="1:16" s="18" customForma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</row>
    <row r="705" spans="1:16" s="18" customForma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</row>
    <row r="706" spans="1:16" s="18" customForma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</row>
    <row r="707" spans="1:16" s="18" customForma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</row>
    <row r="708" spans="1:16" s="18" customForma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</row>
    <row r="709" spans="1:16" s="18" customForma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</row>
    <row r="710" spans="1:16" s="18" customForma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</row>
    <row r="711" spans="1:16" s="18" customForma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</row>
    <row r="712" spans="1:16" s="18" customForma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</row>
    <row r="713" spans="1:16" s="18" customForma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</row>
    <row r="714" spans="1:16" s="18" customForma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</row>
    <row r="715" spans="1:16" s="18" customForma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</row>
    <row r="716" spans="1:16" s="18" customForma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</row>
    <row r="717" spans="1:16" s="18" customForma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</row>
    <row r="718" spans="1:16" s="18" customForma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</row>
    <row r="719" spans="1:16" s="18" customForma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</row>
    <row r="720" spans="1:16" s="18" customForma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</row>
    <row r="721" spans="1:16" s="18" customForma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</row>
    <row r="722" spans="1:16" s="18" customForma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</row>
    <row r="723" spans="1:16" s="18" customForma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</row>
    <row r="724" spans="1:16" s="18" customForma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</row>
    <row r="725" spans="1:16" s="18" customForma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</row>
    <row r="726" spans="1:16" s="18" customForma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</row>
    <row r="727" spans="1:16" s="18" customForma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</row>
    <row r="728" spans="1:16" s="18" customForma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</row>
    <row r="729" spans="1:16" s="18" customForma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</row>
    <row r="730" spans="1:16" s="18" customForma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</row>
    <row r="731" spans="1:16" s="18" customForma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</row>
    <row r="732" spans="1:16" s="18" customForma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</row>
    <row r="733" spans="1:16" s="18" customForma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</row>
    <row r="734" spans="1:16" s="18" customForma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</row>
    <row r="735" spans="1:16" s="18" customForma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</row>
    <row r="736" spans="1:16" s="18" customForma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</row>
    <row r="737" spans="1:16" s="18" customForma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</row>
    <row r="738" spans="1:16" s="18" customForma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</row>
    <row r="739" spans="1:16" s="18" customForma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</row>
    <row r="740" spans="1:16" s="18" customForma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</row>
    <row r="741" spans="1:16" s="18" customForma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</row>
    <row r="742" spans="1:16" s="18" customForma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</row>
    <row r="743" spans="1:16" s="18" customForma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</row>
    <row r="744" spans="1:16" s="18" customForma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</row>
    <row r="745" spans="1:16" s="18" customForma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</row>
    <row r="746" spans="1:16" s="18" customForma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</row>
    <row r="747" spans="1:16" s="18" customForma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</row>
    <row r="748" spans="1:16" s="18" customForma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</row>
    <row r="749" spans="1:16" s="18" customForma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</row>
    <row r="750" spans="1:16" s="18" customForma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</row>
    <row r="751" spans="1:16" s="18" customForma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</row>
    <row r="752" spans="1:16" s="18" customForma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</row>
    <row r="753" spans="1:16" s="18" customForma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</row>
    <row r="754" spans="1:16" s="18" customForma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</row>
    <row r="755" spans="1:16" s="18" customForma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</row>
    <row r="756" spans="1:16" s="18" customForma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</row>
    <row r="757" spans="1:16" s="18" customForma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</row>
    <row r="758" spans="1:16" s="18" customForma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</row>
    <row r="759" spans="1:16" s="18" customForma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</row>
    <row r="760" spans="1:16" s="18" customForma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</row>
    <row r="761" spans="1:16" s="18" customForma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</row>
    <row r="762" spans="1:16" s="18" customForma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</row>
    <row r="763" spans="1:16" s="18" customForma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</row>
    <row r="764" spans="1:16" s="18" customForma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</row>
    <row r="765" spans="1:16" s="18" customForma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</row>
    <row r="766" spans="1:16" s="18" customForma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</row>
    <row r="767" spans="1:16" s="18" customForma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</row>
    <row r="768" spans="1:16" s="18" customForma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</row>
    <row r="769" spans="1:16" s="18" customForma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</row>
    <row r="770" spans="1:16" s="18" customForma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</row>
    <row r="771" spans="1:16" s="18" customForma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</row>
    <row r="772" spans="1:16" s="18" customForma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</row>
    <row r="773" spans="1:16" s="18" customForma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</row>
    <row r="774" spans="1:16" s="18" customForma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</row>
    <row r="775" spans="1:16" s="18" customForma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</row>
    <row r="776" spans="1:16" s="18" customForma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</row>
    <row r="777" spans="1:16" s="18" customForma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</row>
    <row r="778" spans="1:16" s="18" customForma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</row>
    <row r="779" spans="1:16" s="18" customForma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</row>
    <row r="780" spans="1:16" s="18" customForma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</row>
    <row r="781" spans="1:16" s="18" customForma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</row>
    <row r="782" spans="1:16" s="18" customForma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</row>
    <row r="783" spans="1:16" s="18" customForma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</row>
    <row r="784" spans="1:16" s="18" customForma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</row>
    <row r="785" spans="1:16" s="18" customForma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</row>
    <row r="786" spans="1:16" s="18" customForma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</row>
    <row r="787" spans="1:16" s="18" customForma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</row>
    <row r="788" spans="1:16" s="18" customForma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</row>
    <row r="789" spans="1:16" s="18" customForma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</row>
    <row r="790" spans="1:16" s="18" customForma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</row>
    <row r="791" spans="1:16" s="18" customForma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</row>
    <row r="792" spans="1:16" s="18" customForma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</row>
    <row r="793" spans="1:16" s="18" customForma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</row>
    <row r="794" spans="1:16" s="18" customForma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</row>
    <row r="795" spans="1:16" s="18" customForma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</row>
    <row r="796" spans="1:16" s="18" customForma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</row>
    <row r="797" spans="1:16" s="18" customForma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</row>
    <row r="798" spans="1:16" s="18" customForma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</row>
    <row r="799" spans="1:16" s="18" customForma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</row>
    <row r="800" spans="1:16" s="18" customForma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</row>
    <row r="801" spans="1:16" s="18" customForma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</row>
    <row r="802" spans="1:16" s="18" customForma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</row>
    <row r="803" spans="1:16" s="18" customForma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</row>
    <row r="804" spans="1:16" s="18" customForma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</row>
    <row r="805" spans="1:16" s="18" customForma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</row>
    <row r="806" spans="1:16" s="18" customForma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</row>
    <row r="807" spans="1:16" s="18" customForma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</row>
    <row r="808" spans="1:16" s="18" customForma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</row>
    <row r="809" spans="1:16" s="18" customForma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</row>
    <row r="810" spans="1:16" s="18" customForma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</row>
    <row r="811" spans="1:16" s="18" customForma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</row>
    <row r="812" spans="1:16" s="18" customForma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</row>
    <row r="813" spans="1:16" s="18" customForma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</row>
    <row r="814" spans="1:16" s="18" customForma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</row>
    <row r="815" spans="1:16" s="18" customForma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</row>
    <row r="816" spans="1:16" s="18" customForma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</row>
    <row r="817" spans="1:16" s="18" customForma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</row>
    <row r="818" spans="1:16" s="18" customForma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</row>
    <row r="819" spans="1:16" s="18" customForma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</row>
    <row r="820" spans="1:16" s="18" customForma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</row>
    <row r="821" spans="1:16" s="18" customForma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</row>
    <row r="822" spans="1:16" s="18" customForma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</row>
    <row r="823" spans="1:16" s="18" customForma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</row>
    <row r="824" spans="1:16" s="18" customForma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</row>
    <row r="825" spans="1:16" s="18" customForma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</row>
    <row r="826" spans="1:16" s="18" customForma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</row>
    <row r="827" spans="1:16" s="18" customForma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</row>
    <row r="828" spans="1:16" s="18" customForma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</row>
    <row r="829" spans="1:16" s="18" customForma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</row>
    <row r="830" spans="1:16" s="18" customForma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</row>
    <row r="831" spans="1:16" s="18" customForma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</row>
    <row r="832" spans="1:16" s="18" customForma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</row>
    <row r="833" spans="1:16" s="18" customForma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</row>
    <row r="834" spans="1:16" s="18" customForma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</row>
    <row r="835" spans="1:16" s="18" customForma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</row>
    <row r="836" spans="1:16" s="18" customForma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</row>
    <row r="837" spans="1:16" s="18" customForma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</row>
    <row r="838" spans="1:16" s="18" customForma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</row>
    <row r="839" spans="1:16" s="18" customForma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</row>
    <row r="840" spans="1:16" s="18" customForma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</row>
    <row r="841" spans="1:16" s="18" customForma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</row>
    <row r="842" spans="1:16" s="18" customForma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</row>
    <row r="843" spans="1:16" s="18" customForma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</row>
    <row r="844" spans="1:16" s="18" customForma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</row>
  </sheetData>
  <autoFilter ref="A3:M490" xr:uid="{00000000-0009-0000-0000-000000000000}">
    <filterColumn colId="2">
      <filters>
        <filter val="長亨精密(股)公司"/>
      </filters>
    </filterColumn>
  </autoFilter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C3C20-5B23-4AB1-ADEA-44DE883525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17</vt:i4>
      </vt:variant>
    </vt:vector>
  </HeadingPairs>
  <TitlesOfParts>
    <vt:vector size="29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'10月'!Print_Area</vt:lpstr>
      <vt:lpstr>'11月'!Print_Area</vt:lpstr>
      <vt:lpstr>'12月'!Print_Area</vt:lpstr>
      <vt:lpstr>'8月'!Print_Area</vt:lpstr>
      <vt:lpstr>'9月'!Print_Area</vt:lpstr>
      <vt:lpstr>'10月'!Print_Titles</vt:lpstr>
      <vt:lpstr>'11月'!Print_Titles</vt:lpstr>
      <vt:lpstr>'12月'!Print_Titles</vt:lpstr>
      <vt:lpstr>'1月'!Print_Titles</vt:lpstr>
      <vt:lpstr>'2月'!Print_Titles</vt:lpstr>
      <vt:lpstr>'3月'!Print_Titles</vt:lpstr>
      <vt:lpstr>'4月'!Print_Titles</vt:lpstr>
      <vt:lpstr>'5月'!Print_Titles</vt:lpstr>
      <vt:lpstr>'6月'!Print_Titles</vt:lpstr>
      <vt:lpstr>'7月'!Print_Titles</vt:lpstr>
      <vt:lpstr>'8月'!Print_Titles</vt:lpstr>
      <vt:lpstr>'9月'!Print_Titles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趙美華</dc:creator>
  <cp:lastModifiedBy>Eric Chang</cp:lastModifiedBy>
  <dcterms:created xsi:type="dcterms:W3CDTF">2024-04-19T07:41:18Z</dcterms:created>
  <dcterms:modified xsi:type="dcterms:W3CDTF">2026-03-20T07:27:40Z</dcterms:modified>
</cp:coreProperties>
</file>