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nehsueh\Desktop\政策性貸款融資後查核\根留台灣申請委辦手續費\"/>
    </mc:Choice>
  </mc:AlternateContent>
  <xr:revisionPtr revIDLastSave="0" documentId="13_ncr:1_{D08C8D4E-B5B6-4767-9BB3-B3DEE8083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月" sheetId="1" r:id="rId1"/>
    <sheet name="11月" sheetId="2" r:id="rId2"/>
    <sheet name="12月" sheetId="3" r:id="rId3"/>
  </sheets>
  <definedNames>
    <definedName name="_xlnm._FilterDatabase" localSheetId="0" hidden="1">'10月'!$A$3:$M$3</definedName>
    <definedName name="_xlnm._FilterDatabase" localSheetId="1" hidden="1">'11月'!$A$3:$M$6</definedName>
    <definedName name="_xlnm._FilterDatabase" localSheetId="2" hidden="1">'12月'!$A$3:$M$22</definedName>
    <definedName name="_xlnm.Print_Titles" localSheetId="0">'10月'!$1:$3</definedName>
    <definedName name="_xlnm.Print_Titles" localSheetId="1">'11月'!$1:$3</definedName>
    <definedName name="_xlnm.Print_Titles" localSheetId="2">'12月'!$1:$3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L4" i="3"/>
  <c r="L6" i="3" s="1"/>
  <c r="K5" i="3"/>
  <c r="L5" i="3"/>
  <c r="E6" i="3"/>
  <c r="E25" i="3" s="1"/>
  <c r="M6" i="3"/>
  <c r="K7" i="3"/>
  <c r="L7" i="3"/>
  <c r="L10" i="3" s="1"/>
  <c r="K8" i="3"/>
  <c r="L8" i="3"/>
  <c r="K9" i="3"/>
  <c r="L9" i="3"/>
  <c r="E10" i="3"/>
  <c r="M10" i="3"/>
  <c r="K11" i="3"/>
  <c r="L11" i="3"/>
  <c r="L13" i="3" s="1"/>
  <c r="K12" i="3"/>
  <c r="L12" i="3"/>
  <c r="E13" i="3"/>
  <c r="M13" i="3"/>
  <c r="K14" i="3"/>
  <c r="L14" i="3"/>
  <c r="K15" i="3"/>
  <c r="L15" i="3"/>
  <c r="E16" i="3"/>
  <c r="L16" i="3"/>
  <c r="M16" i="3"/>
  <c r="K17" i="3"/>
  <c r="L17" i="3" s="1"/>
  <c r="L20" i="3" s="1"/>
  <c r="K18" i="3"/>
  <c r="L18" i="3"/>
  <c r="K19" i="3"/>
  <c r="L19" i="3"/>
  <c r="E20" i="3"/>
  <c r="M20" i="3"/>
  <c r="K21" i="3"/>
  <c r="L21" i="3"/>
  <c r="K22" i="3"/>
  <c r="L22" i="3"/>
  <c r="E23" i="3"/>
  <c r="L23" i="3"/>
  <c r="M23" i="3"/>
  <c r="M25" i="3"/>
  <c r="K4" i="2"/>
  <c r="L4" i="2" s="1"/>
  <c r="E5" i="2"/>
  <c r="M5" i="2"/>
  <c r="K6" i="2"/>
  <c r="L6" i="2"/>
  <c r="L7" i="2" s="1"/>
  <c r="E7" i="2"/>
  <c r="M7" i="2"/>
  <c r="E9" i="2"/>
  <c r="M9" i="2"/>
  <c r="L25" i="3" l="1"/>
  <c r="L5" i="2"/>
  <c r="L9" i="2"/>
  <c r="M6" i="1"/>
  <c r="K4" i="1"/>
  <c r="L4" i="1" s="1"/>
  <c r="L6" i="1" s="1"/>
</calcChain>
</file>

<file path=xl/sharedStrings.xml><?xml version="1.0" encoding="utf-8"?>
<sst xmlns="http://schemas.openxmlformats.org/spreadsheetml/2006/main" count="133" uniqueCount="48">
  <si>
    <t>申請月份:</t>
    <phoneticPr fontId="2" type="noConversion"/>
  </si>
  <si>
    <t>單位：元</t>
    <phoneticPr fontId="1" type="noConversion"/>
  </si>
  <si>
    <t>銀行代號
及名稱</t>
    <phoneticPr fontId="2" type="noConversion"/>
  </si>
  <si>
    <t>編號</t>
    <phoneticPr fontId="2" type="noConversion"/>
  </si>
  <si>
    <t>借款人姓名</t>
    <phoneticPr fontId="2" type="noConversion"/>
  </si>
  <si>
    <t>統一編號</t>
    <phoneticPr fontId="2" type="noConversion"/>
  </si>
  <si>
    <t>原貸金額</t>
    <phoneticPr fontId="2" type="noConversion"/>
  </si>
  <si>
    <t>初貸日期</t>
    <phoneticPr fontId="2" type="noConversion"/>
  </si>
  <si>
    <t>實際
貸款餘額</t>
    <phoneticPr fontId="2" type="noConversion"/>
  </si>
  <si>
    <t>年利率</t>
    <phoneticPr fontId="2" type="noConversion"/>
  </si>
  <si>
    <t>起日</t>
    <phoneticPr fontId="2" type="noConversion"/>
  </si>
  <si>
    <t>迄日</t>
    <phoneticPr fontId="2" type="noConversion"/>
  </si>
  <si>
    <t>實際貸
放天數</t>
    <phoneticPr fontId="2" type="noConversion"/>
  </si>
  <si>
    <t>手續費
金額</t>
    <phoneticPr fontId="2" type="noConversion"/>
  </si>
  <si>
    <t>月底
餘額</t>
    <phoneticPr fontId="2" type="noConversion"/>
  </si>
  <si>
    <t>009_彰化銀行</t>
  </si>
  <si>
    <t>1</t>
  </si>
  <si>
    <t>華美光學科技(股)公司</t>
  </si>
  <si>
    <t>69314511</t>
  </si>
  <si>
    <t>合計</t>
  </si>
  <si>
    <t>經辦：</t>
    <phoneticPr fontId="1" type="noConversion"/>
  </si>
  <si>
    <t>協(副)理：</t>
    <phoneticPr fontId="1" type="noConversion"/>
  </si>
  <si>
    <t>襄理：</t>
    <phoneticPr fontId="1" type="noConversion"/>
  </si>
  <si>
    <t>總計</t>
  </si>
  <si>
    <t>822_中國信託 合計</t>
  </si>
  <si>
    <t>76025826</t>
  </si>
  <si>
    <t>易華電子(股)公司</t>
  </si>
  <si>
    <t>822_中國信託</t>
  </si>
  <si>
    <t>009_彰化銀行 合計</t>
  </si>
  <si>
    <t>2</t>
  </si>
  <si>
    <t>808_玉山銀行 合計</t>
  </si>
  <si>
    <t>65445701</t>
  </si>
  <si>
    <t>大瓏企業(股)公司</t>
  </si>
  <si>
    <t>3</t>
  </si>
  <si>
    <t>808_玉山銀行</t>
  </si>
  <si>
    <t>23677285</t>
  </si>
  <si>
    <t>巨輪興業(股)公司</t>
  </si>
  <si>
    <t>70647919</t>
  </si>
  <si>
    <t>台灣精銳(股)公司</t>
  </si>
  <si>
    <t>013_國泰世華 合計</t>
  </si>
  <si>
    <t>22540430</t>
  </si>
  <si>
    <t>長亨精密(股)公司</t>
  </si>
  <si>
    <t>013_國泰世華</t>
  </si>
  <si>
    <t>012_台北富邦 合計</t>
  </si>
  <si>
    <t>012_台北富邦</t>
  </si>
  <si>
    <t>008_華南銀行 合計</t>
  </si>
  <si>
    <t>長亨精密電子(股)公司</t>
  </si>
  <si>
    <t>008_華南銀行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</si>
</sst>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76" fontId="0" fillId="0" borderId="0">
      <alignment vertical="center"/>
    </xf>
  </cellStyleXfs>
  <cellXfs count="38">
    <xf numFmtId="176" fontId="0" fillId="0" borderId="0" xfId="0">
      <alignment vertical="center"/>
    </xf>
    <xf numFmtId="176" fontId="3" fillId="0" borderId="2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shrinkToFit="1"/>
    </xf>
    <xf numFmtId="177" fontId="3" fillId="0" borderId="3" xfId="0" applyNumberFormat="1" applyFont="1" applyBorder="1" applyAlignment="1">
      <alignment horizontal="right" vertical="center" shrinkToFit="1"/>
    </xf>
    <xf numFmtId="0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>
      <alignment vertical="center"/>
    </xf>
    <xf numFmtId="176" fontId="3" fillId="0" borderId="0" xfId="0" applyFont="1" applyAlignment="1">
      <alignment vertical="center" shrinkToFit="1"/>
    </xf>
    <xf numFmtId="176" fontId="3" fillId="0" borderId="1" xfId="0" applyFont="1" applyBorder="1" applyAlignment="1">
      <alignment horizontal="right" vertical="center"/>
    </xf>
    <xf numFmtId="58" fontId="4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vertical="center" shrinkToFit="1"/>
    </xf>
    <xf numFmtId="177" fontId="3" fillId="0" borderId="0" xfId="0" applyNumberFormat="1" applyFont="1" applyAlignment="1">
      <alignment horizontal="right" vertical="center" shrinkToFit="1"/>
    </xf>
    <xf numFmtId="176" fontId="3" fillId="0" borderId="0" xfId="0" applyFont="1" applyAlignment="1">
      <alignment horizontal="center" vertical="center" shrinkToFit="1"/>
    </xf>
    <xf numFmtId="178" fontId="3" fillId="0" borderId="0" xfId="0" applyNumberFormat="1" applyFont="1" applyAlignment="1">
      <alignment vertical="center" shrinkToFi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shrinkToFit="1"/>
    </xf>
    <xf numFmtId="177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 shrinkToFit="1"/>
    </xf>
    <xf numFmtId="178" fontId="3" fillId="0" borderId="2" xfId="0" applyNumberFormat="1" applyFont="1" applyBorder="1" applyAlignment="1">
      <alignment horizontal="center" vertical="center" wrapText="1" shrinkToFit="1"/>
    </xf>
    <xf numFmtId="176" fontId="3" fillId="0" borderId="0" xfId="0" applyFont="1" applyAlignment="1">
      <alignment horizontal="center" vertical="center" wrapText="1"/>
    </xf>
    <xf numFmtId="176" fontId="3" fillId="0" borderId="3" xfId="0" applyFont="1" applyBorder="1" applyAlignment="1">
      <alignment horizontal="center" vertical="center" shrinkToFit="1"/>
    </xf>
    <xf numFmtId="49" fontId="3" fillId="0" borderId="3" xfId="0" applyNumberFormat="1" applyFont="1" applyBorder="1" applyAlignment="1">
      <alignment horizontal="center" vertical="center" shrinkToFit="1"/>
    </xf>
    <xf numFmtId="176" fontId="3" fillId="0" borderId="3" xfId="0" applyFont="1" applyBorder="1" applyAlignment="1">
      <alignment horizontal="left" vertical="center" shrinkToFit="1"/>
    </xf>
    <xf numFmtId="176" fontId="3" fillId="0" borderId="0" xfId="0" applyFont="1">
      <alignment vertical="center"/>
    </xf>
    <xf numFmtId="176" fontId="3" fillId="0" borderId="0" xfId="0" applyFont="1" applyAlignment="1">
      <alignment horizontal="right" vertical="center"/>
    </xf>
    <xf numFmtId="176" fontId="3" fillId="0" borderId="0" xfId="0" applyFont="1" applyAlignment="1">
      <alignment horizontal="center" vertical="center"/>
    </xf>
    <xf numFmtId="176" fontId="4" fillId="2" borderId="3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 shrinkToFit="1"/>
    </xf>
    <xf numFmtId="176" fontId="4" fillId="2" borderId="3" xfId="0" applyFont="1" applyFill="1" applyBorder="1" applyAlignment="1">
      <alignment horizontal="left" vertical="center" shrinkToFit="1"/>
    </xf>
    <xf numFmtId="177" fontId="4" fillId="2" borderId="3" xfId="0" applyNumberFormat="1" applyFont="1" applyFill="1" applyBorder="1" applyAlignment="1">
      <alignment horizontal="right" vertical="center" shrinkToFit="1"/>
    </xf>
    <xf numFmtId="176" fontId="4" fillId="2" borderId="3" xfId="0" applyFont="1" applyFill="1" applyBorder="1" applyAlignment="1">
      <alignment horizontal="center" vertical="center" shrinkToFit="1"/>
    </xf>
    <xf numFmtId="178" fontId="4" fillId="2" borderId="3" xfId="0" applyNumberFormat="1" applyFont="1" applyFill="1" applyBorder="1" applyAlignment="1">
      <alignment horizontal="center" vertical="center" shrinkToFit="1"/>
    </xf>
    <xf numFmtId="176" fontId="4" fillId="3" borderId="3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 shrinkToFit="1"/>
    </xf>
    <xf numFmtId="176" fontId="4" fillId="3" borderId="3" xfId="0" applyFont="1" applyFill="1" applyBorder="1" applyAlignment="1">
      <alignment horizontal="left" vertical="center" shrinkToFit="1"/>
    </xf>
    <xf numFmtId="177" fontId="4" fillId="3" borderId="3" xfId="0" applyNumberFormat="1" applyFont="1" applyFill="1" applyBorder="1" applyAlignment="1">
      <alignment horizontal="right" vertical="center" shrinkToFit="1"/>
    </xf>
    <xf numFmtId="176" fontId="4" fillId="3" borderId="3" xfId="0" applyFont="1" applyFill="1" applyBorder="1" applyAlignment="1">
      <alignment horizontal="center" vertical="center" shrinkToFit="1"/>
    </xf>
    <xf numFmtId="178" fontId="4" fillId="3" borderId="3" xfId="0" applyNumberFormat="1" applyFont="1" applyFill="1" applyBorder="1" applyAlignment="1">
      <alignment horizontal="center" vertical="center" shrinkToFit="1"/>
    </xf>
    <xf numFmtId="176" fontId="3" fillId="3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FFFF00"/>
  </sheetPr>
  <dimension ref="A1:P824"/>
  <sheetViews>
    <sheetView tabSelected="1" zoomScaleNormal="100" workbookViewId="0">
      <selection activeCell="H13" sqref="H13"/>
    </sheetView>
  </sheetViews>
  <sheetFormatPr defaultColWidth="5.375" defaultRowHeight="13.5"/>
  <cols>
    <col min="1" max="1" width="12" style="6" bestFit="1" customWidth="1"/>
    <col min="2" max="2" width="8.375" style="6" bestFit="1" customWidth="1"/>
    <col min="3" max="3" width="17.875" style="6" bestFit="1" customWidth="1"/>
    <col min="4" max="4" width="12" style="6" bestFit="1" customWidth="1"/>
    <col min="5" max="5" width="12" style="10" bestFit="1" customWidth="1"/>
    <col min="6" max="6" width="12" style="11" bestFit="1" customWidth="1"/>
    <col min="7" max="7" width="12" style="10" bestFit="1" customWidth="1"/>
    <col min="8" max="8" width="10.375" style="12" bestFit="1" customWidth="1"/>
    <col min="9" max="10" width="9.75" style="6" bestFit="1" customWidth="1"/>
    <col min="11" max="11" width="10.375" style="6" bestFit="1" customWidth="1"/>
    <col min="12" max="12" width="10.375" style="10" bestFit="1" customWidth="1"/>
    <col min="13" max="13" width="10.875" style="6" bestFit="1" customWidth="1"/>
    <col min="14" max="16384" width="5.375" style="6"/>
  </cols>
  <sheetData>
    <row r="1" spans="1:16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6">
      <c r="B2" s="7" t="s">
        <v>0</v>
      </c>
      <c r="C2" s="8">
        <v>43769</v>
      </c>
      <c r="D2" s="9"/>
      <c r="L2" s="10" t="s">
        <v>1</v>
      </c>
    </row>
    <row r="3" spans="1:16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6" s="18" customFormat="1">
      <c r="A4" s="19" t="s">
        <v>15</v>
      </c>
      <c r="B4" s="20" t="s">
        <v>16</v>
      </c>
      <c r="C4" s="21" t="s">
        <v>17</v>
      </c>
      <c r="D4" s="20" t="s">
        <v>18</v>
      </c>
      <c r="E4" s="3">
        <v>38000000</v>
      </c>
      <c r="F4" s="19">
        <v>43762</v>
      </c>
      <c r="G4" s="3">
        <v>38000000</v>
      </c>
      <c r="H4" s="2">
        <v>5.0000000000000001E-3</v>
      </c>
      <c r="I4" s="19">
        <v>43762</v>
      </c>
      <c r="J4" s="19">
        <v>43769</v>
      </c>
      <c r="K4" s="3">
        <f>J4-I4+1</f>
        <v>8</v>
      </c>
      <c r="L4" s="3">
        <f>ROUND(G4*H4*K4/365,0)</f>
        <v>4164</v>
      </c>
      <c r="M4" s="3">
        <v>38000000</v>
      </c>
    </row>
    <row r="5" spans="1:16" s="18" customFormat="1">
      <c r="A5" s="19"/>
      <c r="B5" s="20"/>
      <c r="C5" s="21"/>
      <c r="D5" s="20"/>
      <c r="E5" s="3"/>
      <c r="F5" s="19"/>
      <c r="G5" s="3"/>
      <c r="H5" s="2"/>
      <c r="I5" s="19"/>
      <c r="J5" s="19"/>
      <c r="K5" s="3"/>
      <c r="L5" s="3"/>
      <c r="M5" s="3"/>
    </row>
    <row r="6" spans="1:16" s="18" customFormat="1">
      <c r="A6" s="19"/>
      <c r="B6" s="20"/>
      <c r="C6" s="21" t="s">
        <v>19</v>
      </c>
      <c r="D6" s="20"/>
      <c r="E6" s="3">
        <v>38000000</v>
      </c>
      <c r="F6" s="19"/>
      <c r="G6" s="3"/>
      <c r="H6" s="2"/>
      <c r="I6" s="19"/>
      <c r="J6" s="19"/>
      <c r="K6" s="3"/>
      <c r="L6" s="3">
        <f>SUBTOTAL(9,L3:L5)</f>
        <v>4164</v>
      </c>
      <c r="M6" s="3">
        <f>SUBTOTAL(9,M3:M5)</f>
        <v>38000000</v>
      </c>
    </row>
    <row r="7" spans="1:16" s="18" customForma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>
      <c r="A8" s="22" t="s">
        <v>21</v>
      </c>
      <c r="B8" s="22"/>
      <c r="E8" s="23" t="s">
        <v>22</v>
      </c>
      <c r="G8" s="6"/>
      <c r="I8" s="24" t="s">
        <v>20</v>
      </c>
    </row>
    <row r="9" spans="1:16" s="18" customForma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s="18" customForma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 s="18" customForma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s="18" customForma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s="18" customForma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s="18" customForma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s="18" customForma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s="18" customForma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s="18" customForma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s="18" customForma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s="18" customForma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s="18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s="18" customForma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s="18" customForma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 s="18" customForma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 s="18" customForma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 s="18" customForma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s="18" customForma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 s="18" customForma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 s="18" customForma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 s="18" customForma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s="18" customForma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s="18" customForma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s="18" customForma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 s="18" customForma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8" customForma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s="18" customForma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s="18" customForma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18" customForma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s="18" customForma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s="18" customForma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18" customForma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8" customForma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s="18" customForma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s="18" customForma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s="18" customForma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s="18" customForma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s="18" customForma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s="18" customForma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s="18" customForma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s="18" customForma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s="18" customForma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s="18" customForma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s="18" customForma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s="18" customForma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s="18" customForma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s="18" customForma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s="18" customForma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8" customForma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s="18" customForma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s="18" customForma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s="18" customForma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 s="18" customForma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s="18" customForma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 s="18" customForma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 s="18" customForma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 s="18" customForma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 s="18" customForma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 s="18" customForma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 s="18" customForma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 s="18" customForma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 s="18" customForma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 s="18" customForma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 s="18" customForma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 s="18" customForma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 s="18" customForma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1:16" s="18" customForma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1:16" s="18" customForma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1:16" s="18" customForma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16" s="18" customForma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1:16" s="18" customForma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1:16" s="18" customForma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1:16" s="18" customForma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16" s="18" customForma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1:16" s="18" customForma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1:16" s="18" customForma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1:16" s="18" customForma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1:16" s="18" customForma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1:16" s="18" customForma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1:16" s="18" customForma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1:16" s="18" customForma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1:16" s="18" customForma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1:16" s="18" customForma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1:16" s="18" customForma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1:16" s="18" customForma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16" s="18" customForma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1:16" s="18" customForma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s="18" customForma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16" s="18" customForma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s="18" customForma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1:16" s="18" customForma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s="18" customForma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s="18" customForma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s="18" customForma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s="18" customForma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s="18" customForma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s="18" customForma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s="18" customForma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s="18" customForma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s="18" customForma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s="18" customForma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s="18" customForma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s="18" customForma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s="18" customForma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s="18" customForma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s="18" customForma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s="18" customForma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s="18" customForma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s="18" customForma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s="18" customForma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s="18" customForma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s="18" customForma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s="18" customForma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s="18" customForma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s="18" customForma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s="18" customForma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s="18" customForma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s="18" customForma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s="18" customForma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1:16" s="18" customForma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1:16" s="18" customForma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s="18" customForma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1:16" s="18" customForma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1:16" s="18" customForma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1:16" s="18" customForma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1:16" s="18" customForma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1:16" s="18" customForma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1:16" s="18" customForma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1:16" s="18" customForma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1:16" s="18" customForma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1:16" s="18" customForma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1:16" s="18" customForma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1:16" s="18" customForma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1:16" s="18" customForma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1:16" s="18" customForma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1:16" s="18" customForma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1:16" s="18" customForma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1:16" s="18" customForma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s="18" customForma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1:16" s="18" customForma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s="18" customForma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1:16" s="18" customForma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1:16" s="18" customForma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1:16" s="18" customForma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1:16" s="18" customForma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1:16" s="18" customForma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1:16" s="18" customForma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1:16" s="18" customForma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s="18" customForma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s="18" customForma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s="18" customForma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s="18" customForma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1:16" s="18" customForma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s="18" customForma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1:16" s="18" customForma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1:16" s="18" customForma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1:16" s="18" customForma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s="18" customForma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1:16" s="18" customForma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1:16" s="18" customForma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1:16" s="18" customForma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s="18" customForma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1:16" s="18" customForma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1:16" s="18" customForma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s="18" customForma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1:16" s="18" customForma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1:16" s="18" customForma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1:16" s="18" customForma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1:16" s="18" customForma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1:16" s="18" customForma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1:16" s="18" customForma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s="18" customForma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1:16" s="18" customForma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1:16" s="18" customForma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1:16" s="18" customForma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s="18" customForma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1:16" s="18" customForma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1:16" s="18" customForma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1:16" s="18" customForma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s="18" customForma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1:16" s="18" customForma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1:16" s="18" customForma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s="18" customForma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1:16" s="18" customForma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1:16" s="18" customForma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1:16" s="18" customForma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1:16" s="18" customForma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1:16" s="18" customForma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s="18" customForma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s="18" customForma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s="18" customForma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s="18" customForma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s="18" customForma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1:16" s="18" customForma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s="18" customForma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1:16" s="18" customForma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1:16" s="18" customForma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1:16" s="18" customForma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1:16" s="18" customForma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s="18" customForma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1:16" s="18" customForma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1:16" s="18" customForma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1:16" s="18" customForma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s="18" customForma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s="18" customForma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s="18" customForma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s="18" customForma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s="18" customForma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s="18" customForma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s="18" customForma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s="18" customForma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s="18" customForma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s="18" customForma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s="18" customForma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s="18" customForma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s="18" customForma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s="18" customForma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s="18" customForma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s="18" customForma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s="18" customForma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s="18" customForma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s="18" customForma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s="18" customForma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s="18" customForma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s="18" customForma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s="18" customForma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s="18" customForma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s="18" customForma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s="18" customForma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s="18" customForma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s="18" customForma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s="18" customForma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s="18" customForma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s="18" customForma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s="18" customForma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s="18" customForma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s="18" customForma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s="18" customForma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s="18" customForma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s="18" customForma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s="18" customForma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s="18" customForma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s="18" customForma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s="18" customForma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s="18" customForma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s="18" customForma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s="18" customForma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s="18" customForma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s="18" customForma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s="18" customForma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s="18" customForma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s="18" customForma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s="18" customForma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s="18" customForma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s="18" customForma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s="18" customForma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s="18" customForma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s="18" customForma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s="18" customForma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s="18" customForma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s="18" customForma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s="18" customForma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s="18" customForma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s="18" customForma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s="18" customForma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s="18" customForma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s="18" customForma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s="18" customForma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s="18" customForma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s="18" customForma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s="18" customForma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s="18" customForma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s="18" customForma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s="18" customForma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s="18" customForma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s="18" customForma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s="18" customForma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s="18" customForma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s="18" customForma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s="18" customForma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s="18" customForma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s="18" customForma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s="18" customForma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s="18" customForma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s="18" customForma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s="18" customForma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s="18" customForma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s="18" customForma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s="18" customForma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s="18" customForma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s="18" customForma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s="18" customForma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s="18" customForma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s="18" customForma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s="18" customForma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s="18" customForma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s="18" customForma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s="18" customForma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s="18" customForma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s="18" customForma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s="18" customForma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s="18" customForma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s="18" customForma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s="18" customForma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s="18" customForma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s="18" customForma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s="18" customForma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s="18" customForma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s="18" customForma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s="18" customForma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s="18" customForma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s="18" customForma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s="18" customForma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s="18" customForma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s="18" customForma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s="18" customForma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s="18" customForma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s="18" customForma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s="18" customForma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s="18" customForma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s="18" customForma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s="18" customForma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s="18" customForma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s="18" customForma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s="18" customForma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s="18" customForma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s="18" customForma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s="18" customForma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s="18" customForma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s="18" customForma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spans="1:16" s="18" customForma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spans="1:16" s="18" customForma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spans="1:16" s="18" customForma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spans="1:16" s="18" customForma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s="18" customForma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spans="1:16" s="18" customForma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s="18" customForma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spans="1:16" s="18" customForma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spans="1:16" s="18" customForma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spans="1:16" s="18" customForma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spans="1:16" s="18" customForma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spans="1:16" s="18" customForma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spans="1:16" s="18" customForma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spans="1:16" s="18" customForma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s="18" customForma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spans="1:16" s="18" customForma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spans="1:16" s="18" customForma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spans="1:16" s="18" customForma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spans="1:16" s="18" customForma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pans="1:16" s="18" customForma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pans="1:16" s="18" customForma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pans="1:16" s="18" customForma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s="18" customForma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s="18" customForma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s="18" customForma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s="18" customForma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s="18" customForma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pans="1:16" s="18" customForma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pans="1:16" s="18" customForma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s="18" customForma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pans="1:16" s="18" customForma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pans="1:16" s="18" customForma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s="18" customForma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spans="1:16" s="18" customForma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spans="1:16" s="18" customForma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spans="1:16" s="18" customForma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spans="1:16" s="18" customForma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spans="1:16" s="18" customForma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s="18" customForma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pans="1:16" s="18" customForma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spans="1:16" s="18" customForma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spans="1:16" s="18" customForma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spans="1:16" s="18" customForma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s="18" customForma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spans="1:16" s="18" customForma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pans="1:16" s="18" customForma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pans="1:16" s="18" customForma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s="18" customForma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pans="1:16" s="18" customForma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pans="1:16" s="18" customForma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spans="1:16" s="18" customForma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spans="1:16" s="18" customForma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spans="1:16" s="18" customForma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spans="1:16" s="18" customForma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pans="1:16" s="18" customForma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pans="1:16" s="18" customForma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pans="1:16" s="18" customForma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pans="1:16" s="18" customForma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pans="1:16" s="18" customForma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pans="1:16" s="18" customForma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spans="1:16" s="18" customForma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spans="1:16" s="18" customForma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spans="1:16" s="18" customForma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spans="1:16" s="18" customForma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spans="1:16" s="18" customForma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spans="1:16" s="18" customForma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spans="1:16" s="18" customForma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spans="1:16" s="18" customForma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spans="1:16" s="18" customForma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spans="1:16" s="18" customForma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spans="1:16" s="18" customForma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spans="1:16" s="18" customForma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spans="1:16" s="18" customForma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spans="1:16" s="18" customForma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spans="1:16" s="18" customForma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spans="1:16" s="18" customForma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spans="1:16" s="18" customForma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spans="1:16" s="18" customForma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spans="1:16" s="18" customForma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spans="1:16" s="18" customForma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spans="1:16" s="18" customForma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spans="1:16" s="18" customForma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spans="1:16" s="18" customForma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spans="1:16" s="18" customForma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spans="1:16" s="18" customForma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spans="1:16" s="18" customForma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spans="1:16" s="18" customForma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spans="1:16" s="18" customForma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spans="1:16" s="18" customForma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spans="1:16" s="18" customForma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spans="1:16" s="18" customForma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spans="1:16" s="18" customForma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spans="1:16" s="18" customForma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spans="1:16" s="18" customForma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spans="1:16" s="18" customForma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spans="1:16" s="18" customForma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spans="1:16" s="18" customForma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s="18" customForma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spans="1:16" s="18" customForma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spans="1:16" s="18" customForma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spans="1:16" s="18" customForma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spans="1:16" s="18" customForma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spans="1:16" s="18" customForma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spans="1:16" s="18" customForma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spans="1:16" s="18" customForma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spans="1:16" s="18" customForma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spans="1:16" s="18" customForma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spans="1:16" s="18" customForma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spans="1:16" s="18" customForma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spans="1:16" s="18" customForma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spans="1:16" s="18" customForma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spans="1:16" s="18" customForma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spans="1:16" s="18" customForma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spans="1:16" s="18" customForma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spans="1:16" s="18" customForma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spans="1:16" s="18" customForma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spans="1:16" s="18" customForma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spans="1:16" s="18" customForma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spans="1:16" s="18" customForma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spans="1:16" s="18" customForma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spans="1:16" s="18" customForma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spans="1:16" s="18" customForma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spans="1:16" s="18" customForma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spans="1:16" s="18" customForma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spans="1:16" s="18" customForma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spans="1:16" s="18" customForma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spans="1:16" s="18" customForma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spans="1:16" s="18" customForma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spans="1:16" s="18" customForma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spans="1:16" s="18" customForma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spans="1:16" s="18" customForma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spans="1:16" s="18" customForma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spans="1:16" s="18" customForma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spans="1:16" s="18" customForma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spans="1:16" s="18" customForma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spans="1:16" s="18" customForma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spans="1:16" s="18" customForma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spans="1:16" s="18" customForma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spans="1:16" s="18" customForma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spans="1:16" s="18" customForma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spans="1:16" s="18" customForma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spans="1:16" s="18" customForma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spans="1:16" s="18" customForma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spans="1:16" s="18" customForma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spans="1:16" s="18" customForma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spans="1:16" s="18" customForma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spans="1:16" s="18" customForma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s="18" customForma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spans="1:16" s="18" customForma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spans="1:16" s="18" customForma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spans="1:16" s="18" customForma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spans="1:16" s="18" customForma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spans="1:16" s="18" customForma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spans="1:16" s="18" customForma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spans="1:16" s="18" customForma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spans="1:16" s="18" customForma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spans="1:16" s="18" customForma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spans="1:16" s="18" customForma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spans="1:16" s="18" customForma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spans="1:16" s="18" customForma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spans="1:16" s="18" customForma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spans="1:16" s="18" customForma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spans="1:16" s="18" customForma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spans="1:16" s="18" customForma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spans="1:16" s="18" customForma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spans="1:16" s="18" customForma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spans="1:16" s="18" customForma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spans="1:16" s="18" customForma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spans="1:16" s="18" customForma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spans="1:16" s="18" customForma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spans="1:16" s="18" customForma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spans="1:16" s="18" customForma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spans="1:16" s="18" customForma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spans="1:16" s="18" customForma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spans="1:16" s="18" customForma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spans="1:16" s="18" customForma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spans="1:16" s="18" customForma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spans="1:16" s="18" customForma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spans="1:16" s="18" customForma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spans="1:16" s="18" customForma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spans="1:16" s="18" customForma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spans="1:16" s="18" customForma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spans="1:16" s="18" customForma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spans="1:16" s="18" customForma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spans="1:16" s="18" customForma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spans="1:16" s="18" customForma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spans="1:16" s="18" customForma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spans="1:16" s="18" customForma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spans="1:16" s="18" customForma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spans="1:16" s="18" customForma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spans="1:16" s="18" customForma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spans="1:16" s="18" customForma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spans="1:16" s="18" customForma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spans="1:16" s="18" customForma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spans="1:16" s="18" customForma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spans="1:16" s="18" customForma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spans="1:16" s="18" customForma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spans="1:16" s="18" customForma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spans="1:16" s="18" customForma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spans="1:16" s="18" customForma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spans="1:16" s="18" customForma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spans="1:16" s="18" customForma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spans="1:16" s="18" customForma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spans="1:16" s="18" customForma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spans="1:16" s="18" customForma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spans="1:16" s="18" customForma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spans="1:16" s="18" customForma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spans="1:16" s="18" customForma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spans="1:16" s="18" customForma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spans="1:16" s="18" customForma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spans="1:16" s="18" customForma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spans="1:16" s="18" customForma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spans="1:16" s="18" customForma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spans="1:16" s="18" customForma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spans="1:16" s="18" customForma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spans="1:16" s="18" customForma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spans="1:16" s="18" customForma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spans="1:16" s="18" customForma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spans="1:16" s="18" customForma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spans="1:16" s="18" customForma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spans="1:16" s="18" customForma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spans="1:16" s="18" customForma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spans="1:16" s="18" customForma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spans="1:16" s="18" customForma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spans="1:16" s="18" customForma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spans="1:16" s="18" customForma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spans="1:16" s="18" customForma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spans="1:16" s="18" customForma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spans="1:16" s="18" customForma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spans="1:16" s="18" customForma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spans="1:16" s="18" customForma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spans="1:16" s="18" customForma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spans="1:16" s="18" customForma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spans="1:16" s="18" customForma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spans="1:16" s="18" customForma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spans="1:16" s="18" customForma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spans="1:16" s="18" customForma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spans="1:16" s="18" customForma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spans="1:16" s="18" customForma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spans="1:16" s="18" customForma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spans="1:16" s="18" customForma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spans="1:16" s="18" customForma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spans="1:16" s="18" customForma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spans="1:16" s="18" customForma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spans="1:16" s="18" customForma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spans="1:16" s="18" customForma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spans="1:16" s="18" customForma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spans="1:16" s="18" customForma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spans="1:16" s="18" customForma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spans="1:16" s="18" customForma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spans="1:16" s="18" customForma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spans="1:16" s="18" customForma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spans="1:16" s="18" customForma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spans="1:16" s="18" customForma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spans="1:16" s="18" customForma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spans="1:16" s="18" customForma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spans="1:16" s="18" customForma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spans="1:16" s="18" customForma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spans="1:16" s="18" customForma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spans="1:16" s="18" customForma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spans="1:16" s="18" customForma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spans="1:16" s="18" customForma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spans="1:16" s="18" customForma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spans="1:16" s="18" customForma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spans="1:16" s="18" customForma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spans="1:16" s="18" customForma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spans="1:16" s="18" customForma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spans="1:16" s="18" customForma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spans="1:16" s="18" customForma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spans="1:16" s="18" customForma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spans="1:16" s="18" customForma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spans="1:16" s="18" customForma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spans="1:16" s="18" customForma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spans="1:16" s="18" customForma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spans="1:16" s="18" customForma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spans="1:16" s="18" customForma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spans="1:16" s="18" customForma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spans="1:16" s="18" customForma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spans="1:16" s="18" customForma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spans="1:16" s="18" customForma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spans="1:16" s="18" customForma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spans="1:16" s="18" customForma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spans="1:16" s="18" customForma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spans="1:16" s="18" customForma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spans="1:16" s="18" customForma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spans="1:16" s="18" customForma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spans="1:16" s="18" customForma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spans="1:16" s="18" customForma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spans="1:16" s="18" customForma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spans="1:16" s="18" customForma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spans="1:16" s="18" customForma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spans="1:16" s="18" customForma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spans="1:16" s="18" customForma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spans="1:16" s="18" customForma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spans="1:16" s="18" customForma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spans="1:16" s="18" customForma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spans="1:16" s="18" customForma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spans="1:16" s="18" customForma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spans="1:16" s="18" customForma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spans="1:16" s="18" customForma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spans="1:16" s="18" customForma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spans="1:16" s="18" customForma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spans="1:16" s="18" customForma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spans="1:16" s="18" customForma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spans="1:16" s="18" customForma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spans="1:16" s="18" customForma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spans="1:16" s="18" customForma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spans="1:16" s="18" customForma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spans="1:16" s="18" customForma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spans="1:16" s="18" customForma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spans="1:16" s="18" customForma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spans="1:16" s="18" customForma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spans="1:16" s="18" customForma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spans="1:16" s="18" customForma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spans="1:16" s="18" customForma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spans="1:16" s="18" customForma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spans="1:16" s="18" customForma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spans="1:16" s="18" customForma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spans="1:16" s="18" customForma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spans="1:16" s="18" customForma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spans="1:16" s="18" customForma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spans="1:16" s="18" customForma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spans="1:16" s="18" customForma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spans="1:16" s="18" customForma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spans="1:16" s="18" customForma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spans="1:16" s="18" customForma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spans="1:16" s="18" customForma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spans="1:16" s="18" customForma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spans="1:16" s="18" customForma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spans="1:16" s="18" customForma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spans="1:16" s="18" customForma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spans="1:16" s="18" customForma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spans="1:16" s="18" customForma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spans="1:16" s="18" customForma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spans="1:16" s="18" customForma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spans="1:16" s="18" customForma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spans="1:16" s="18" customForma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spans="1:16" s="18" customForma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spans="1:16" s="18" customForma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spans="1:16" s="18" customForma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spans="1:16" s="18" customForma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spans="1:16" s="18" customForma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spans="1:16" s="18" customForma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spans="1:16" s="18" customForma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spans="1:16" s="18" customForma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spans="1:16" s="18" customForma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spans="1:16" s="18" customForma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spans="1:16" s="18" customForma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spans="1:16" s="18" customForma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spans="1:16" s="18" customForma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spans="1:16" s="18" customForma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spans="1:16" s="18" customForma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spans="1:16" s="18" customForma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spans="1:16" s="18" customForma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spans="1:16" s="18" customForma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spans="1:16" s="18" customForma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spans="1:16" s="18" customForma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spans="1:16" s="18" customForma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s="18" customForma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spans="1:16" s="18" customForma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spans="1:16" s="18" customForma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spans="1:16" s="18" customForma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s="18" customForma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spans="1:16" s="18" customForma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spans="1:16" s="18" customForma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spans="1:16" s="18" customForma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spans="1:16" s="18" customForma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spans="1:16" s="18" customForma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spans="1:16" s="18" customForma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spans="1:16" s="18" customForma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spans="1:16" s="18" customForma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spans="1:16" s="18" customForma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spans="1:16" s="18" customForma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spans="1:16" s="18" customForma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spans="1:16" s="18" customForma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spans="1:16" s="18" customForma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spans="1:16" s="18" customForma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spans="1:16" s="18" customForma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spans="1:16" s="18" customForma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spans="1:16" s="18" customForma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spans="1:16" s="18" customForma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spans="1:16" s="18" customForma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spans="1:16" s="18" customForma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spans="1:16" s="18" customForma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spans="1:16" s="18" customForma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spans="1:16" s="18" customForma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spans="1:16" s="18" customForma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spans="1:16" s="18" customForma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s="18" customForma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spans="1:16" s="18" customForma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spans="1:16" s="18" customForma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spans="1:16" s="18" customForma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s="18" customForma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s="18" customForma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s="18" customForma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s="18" customForma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spans="1:16" s="18" customForma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spans="1:16" s="18" customForma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spans="1:16" s="18" customForma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spans="1:16" s="18" customForma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spans="1:16" s="18" customForma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  <row r="740" spans="1:16" s="18" customForma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</row>
    <row r="741" spans="1:16" s="18" customForma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</row>
    <row r="742" spans="1:16" s="18" customForma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</row>
    <row r="743" spans="1:16" s="18" customForma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</row>
    <row r="744" spans="1:16" s="18" customForma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</row>
    <row r="745" spans="1:16" s="18" customForma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</row>
    <row r="746" spans="1:16" s="18" customForma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spans="1:16" s="18" customForma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</row>
    <row r="748" spans="1:16" s="18" customForma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</row>
    <row r="749" spans="1:16" s="18" customForma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</row>
    <row r="750" spans="1:16" s="18" customForma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</row>
    <row r="751" spans="1:16" s="18" customForma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spans="1:16" s="18" customForma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</row>
    <row r="753" spans="1:16" s="18" customForma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</row>
    <row r="754" spans="1:16" s="18" customForma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</row>
    <row r="755" spans="1:16" s="18" customForma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</row>
    <row r="756" spans="1:16" s="18" customForma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</row>
    <row r="757" spans="1:16" s="18" customForma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</row>
    <row r="758" spans="1:16" s="18" customForma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</row>
    <row r="759" spans="1:16" s="18" customForma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</row>
    <row r="760" spans="1:16" s="18" customForma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</row>
    <row r="761" spans="1:16" s="18" customForma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</row>
    <row r="762" spans="1:16" s="18" customForma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</row>
    <row r="763" spans="1:16" s="18" customForma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</row>
    <row r="764" spans="1:16" s="18" customForma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</row>
    <row r="765" spans="1:16" s="18" customForma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</row>
    <row r="766" spans="1:16" s="18" customForma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</row>
    <row r="767" spans="1:16" s="18" customForma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</row>
    <row r="768" spans="1:16" s="18" customForma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</row>
    <row r="769" spans="1:16" s="18" customForma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</row>
    <row r="770" spans="1:16" s="18" customForma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</row>
    <row r="771" spans="1:16" s="18" customForma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s="18" customForma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s="18" customForma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s="18" customForma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s="18" customForma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</row>
    <row r="776" spans="1:16" s="18" customForma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spans="1:16" s="18" customForma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</row>
    <row r="778" spans="1:16" s="18" customForma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</row>
    <row r="779" spans="1:16" s="18" customForma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</row>
    <row r="780" spans="1:16" s="18" customForma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</row>
    <row r="781" spans="1:16" s="18" customForma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spans="1:16" s="18" customForma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</row>
    <row r="783" spans="1:16" s="18" customForma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</row>
    <row r="784" spans="1:16" s="18" customForma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</row>
    <row r="785" spans="1:16" s="18" customForma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</row>
    <row r="786" spans="1:16" s="18" customForma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</row>
    <row r="787" spans="1:16" s="18" customForma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</row>
    <row r="788" spans="1:16" s="18" customForma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</row>
    <row r="789" spans="1:16" s="18" customForma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</row>
    <row r="790" spans="1:16" s="18" customForma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</row>
    <row r="791" spans="1:16" s="18" customForma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</row>
    <row r="792" spans="1:16" s="18" customForma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</row>
    <row r="793" spans="1:16" s="18" customForma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</row>
    <row r="794" spans="1:16" s="18" customForma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</row>
    <row r="795" spans="1:16" s="18" customForma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</row>
    <row r="796" spans="1:16" s="18" customForma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spans="1:16" s="18" customForma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</row>
    <row r="798" spans="1:16" s="18" customForma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</row>
    <row r="799" spans="1:16" s="18" customForma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</row>
    <row r="800" spans="1:16" s="18" customForma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</row>
    <row r="801" spans="1:16" s="18" customForma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</row>
    <row r="802" spans="1:16" s="18" customForma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spans="1:16" s="18" customForma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</row>
    <row r="804" spans="1:16" s="18" customForma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</row>
    <row r="805" spans="1:16" s="18" customForma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</row>
    <row r="806" spans="1:16" s="18" customForma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</row>
    <row r="807" spans="1:16" s="18" customForma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</row>
    <row r="808" spans="1:16" s="18" customForma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</row>
    <row r="809" spans="1:16" s="18" customForma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</row>
    <row r="810" spans="1:16" s="18" customForma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</row>
    <row r="811" spans="1:16" s="18" customForma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</row>
    <row r="812" spans="1:16" s="18" customForma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</row>
    <row r="813" spans="1:16" s="18" customForma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</row>
    <row r="814" spans="1:16" s="18" customForma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</row>
    <row r="815" spans="1:16" s="18" customForma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</row>
    <row r="816" spans="1:16" s="18" customForma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</row>
    <row r="817" spans="1:16" s="18" customForma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</row>
    <row r="818" spans="1:16" s="18" customForma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</row>
    <row r="819" spans="1:16" s="18" customForma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</row>
    <row r="820" spans="1:16" s="18" customForma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</row>
    <row r="821" spans="1:16" s="18" customForma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</row>
    <row r="822" spans="1:16" s="18" customForma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</row>
    <row r="823" spans="1:16" s="18" customForma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</row>
    <row r="824" spans="1:16" s="18" customForma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</row>
  </sheetData>
  <autoFilter ref="A3:M3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9A8B-A589-4F19-9D18-C681BBBDC590}">
  <sheetPr>
    <tabColor rgb="FFFFFF00"/>
  </sheetPr>
  <dimension ref="A1:P826"/>
  <sheetViews>
    <sheetView zoomScale="107" zoomScaleNormal="107" workbookViewId="0">
      <selection activeCell="E23" sqref="E23"/>
    </sheetView>
  </sheetViews>
  <sheetFormatPr defaultColWidth="5.375" defaultRowHeight="13.5" outlineLevelRow="2"/>
  <cols>
    <col min="1" max="1" width="16" style="6" bestFit="1" customWidth="1"/>
    <col min="2" max="2" width="8.375" style="6" bestFit="1" customWidth="1"/>
    <col min="3" max="3" width="17.875" style="6" bestFit="1" customWidth="1"/>
    <col min="4" max="4" width="12" style="6" bestFit="1" customWidth="1"/>
    <col min="5" max="5" width="12.125" style="10" bestFit="1" customWidth="1"/>
    <col min="6" max="6" width="12" style="11" bestFit="1" customWidth="1"/>
    <col min="7" max="7" width="12" style="10" bestFit="1" customWidth="1"/>
    <col min="8" max="8" width="10.375" style="12" bestFit="1" customWidth="1"/>
    <col min="9" max="10" width="9.75" style="6" bestFit="1" customWidth="1"/>
    <col min="11" max="11" width="10.375" style="6" bestFit="1" customWidth="1"/>
    <col min="12" max="12" width="10.375" style="10" bestFit="1" customWidth="1"/>
    <col min="13" max="13" width="12.125" style="6" bestFit="1" customWidth="1"/>
    <col min="14" max="16384" width="5.375" style="6"/>
  </cols>
  <sheetData>
    <row r="1" spans="1:16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6">
      <c r="B2" s="7" t="s">
        <v>0</v>
      </c>
      <c r="C2" s="8">
        <v>43799</v>
      </c>
      <c r="D2" s="9"/>
      <c r="L2" s="10" t="s">
        <v>1</v>
      </c>
    </row>
    <row r="3" spans="1:16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6" s="18" customFormat="1" outlineLevel="2">
      <c r="A4" s="19" t="s">
        <v>15</v>
      </c>
      <c r="B4" s="20" t="s">
        <v>16</v>
      </c>
      <c r="C4" s="21" t="s">
        <v>17</v>
      </c>
      <c r="D4" s="20" t="s">
        <v>18</v>
      </c>
      <c r="E4" s="3">
        <v>38000000</v>
      </c>
      <c r="F4" s="19">
        <v>43762</v>
      </c>
      <c r="G4" s="3">
        <v>38000000</v>
      </c>
      <c r="H4" s="2">
        <v>5.0000000000000001E-3</v>
      </c>
      <c r="I4" s="19">
        <v>43770</v>
      </c>
      <c r="J4" s="19">
        <v>43799</v>
      </c>
      <c r="K4" s="3">
        <f>J4-I4+1</f>
        <v>30</v>
      </c>
      <c r="L4" s="3">
        <f>ROUND(G4*H4*K4/365,0)</f>
        <v>15616</v>
      </c>
      <c r="M4" s="3">
        <v>38000000</v>
      </c>
    </row>
    <row r="5" spans="1:16" s="18" customFormat="1" outlineLevel="1">
      <c r="A5" s="25" t="s">
        <v>28</v>
      </c>
      <c r="B5" s="26"/>
      <c r="C5" s="27"/>
      <c r="D5" s="26"/>
      <c r="E5" s="28">
        <f>SUBTOTAL(9,E4:E4)</f>
        <v>38000000</v>
      </c>
      <c r="F5" s="29"/>
      <c r="G5" s="28"/>
      <c r="H5" s="30"/>
      <c r="I5" s="29"/>
      <c r="J5" s="29"/>
      <c r="K5" s="28"/>
      <c r="L5" s="28">
        <f>SUBTOTAL(9,L4:L4)</f>
        <v>15616</v>
      </c>
      <c r="M5" s="28">
        <f>SUBTOTAL(9,M4:M4)</f>
        <v>38000000</v>
      </c>
    </row>
    <row r="6" spans="1:16" s="18" customFormat="1" outlineLevel="2">
      <c r="A6" s="19" t="s">
        <v>27</v>
      </c>
      <c r="B6" s="20" t="s">
        <v>16</v>
      </c>
      <c r="C6" s="21" t="s">
        <v>26</v>
      </c>
      <c r="D6" s="20" t="s">
        <v>25</v>
      </c>
      <c r="E6" s="3">
        <v>190000000</v>
      </c>
      <c r="F6" s="19">
        <v>43797</v>
      </c>
      <c r="G6" s="3">
        <v>190000000</v>
      </c>
      <c r="H6" s="2">
        <v>5.0000000000000001E-3</v>
      </c>
      <c r="I6" s="19">
        <v>43797</v>
      </c>
      <c r="J6" s="19">
        <v>43799</v>
      </c>
      <c r="K6" s="3">
        <f>J6-I6+1</f>
        <v>3</v>
      </c>
      <c r="L6" s="3">
        <f>ROUND(G6*H6*K6/365,0)</f>
        <v>7808</v>
      </c>
      <c r="M6" s="3">
        <v>190000000</v>
      </c>
    </row>
    <row r="7" spans="1:16" s="18" customFormat="1" outlineLevel="1">
      <c r="A7" s="25" t="s">
        <v>24</v>
      </c>
      <c r="B7" s="26"/>
      <c r="C7" s="27"/>
      <c r="D7" s="26"/>
      <c r="E7" s="28">
        <f>SUBTOTAL(9,E6:E6)</f>
        <v>190000000</v>
      </c>
      <c r="F7" s="29"/>
      <c r="G7" s="28"/>
      <c r="H7" s="30"/>
      <c r="I7" s="29"/>
      <c r="J7" s="29"/>
      <c r="K7" s="28"/>
      <c r="L7" s="28">
        <f>SUBTOTAL(9,L6:L6)</f>
        <v>7808</v>
      </c>
      <c r="M7" s="28">
        <f>SUBTOTAL(9,M6:M6)</f>
        <v>190000000</v>
      </c>
    </row>
    <row r="8" spans="1:16" s="37" customFormat="1" outlineLevel="1">
      <c r="A8" s="31"/>
      <c r="B8" s="32"/>
      <c r="C8" s="33"/>
      <c r="D8" s="32"/>
      <c r="E8" s="34"/>
      <c r="F8" s="35"/>
      <c r="G8" s="34"/>
      <c r="H8" s="36"/>
      <c r="I8" s="35"/>
      <c r="J8" s="35"/>
      <c r="K8" s="34"/>
      <c r="L8" s="34"/>
      <c r="M8" s="34"/>
    </row>
    <row r="9" spans="1:16" s="18" customFormat="1">
      <c r="A9" s="29" t="s">
        <v>23</v>
      </c>
      <c r="B9" s="26"/>
      <c r="C9" s="27"/>
      <c r="D9" s="26"/>
      <c r="E9" s="28">
        <f>SUBTOTAL(9,E4:E6)</f>
        <v>228000000</v>
      </c>
      <c r="F9" s="29"/>
      <c r="G9" s="28"/>
      <c r="H9" s="30"/>
      <c r="I9" s="29"/>
      <c r="J9" s="29"/>
      <c r="K9" s="28"/>
      <c r="L9" s="28">
        <f>SUBTOTAL(9,L4:L6)</f>
        <v>23424</v>
      </c>
      <c r="M9" s="28">
        <f>SUBTOTAL(9,M4:M6)</f>
        <v>228000000</v>
      </c>
    </row>
    <row r="10" spans="1:16" s="18" customForma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>
      <c r="A11" s="22" t="s">
        <v>21</v>
      </c>
      <c r="B11" s="22"/>
      <c r="E11" s="23" t="s">
        <v>22</v>
      </c>
      <c r="G11" s="6"/>
      <c r="I11" s="24" t="s">
        <v>20</v>
      </c>
    </row>
    <row r="12" spans="1:16" s="18" customForma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s="18" customForma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s="18" customForma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1:16" s="18" customForma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6" s="18" customForma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s="18" customForma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s="18" customForma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s="18" customForma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s="18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s="18" customForma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s="18" customForma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 s="18" customForma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 s="18" customForma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16" s="18" customForma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s="18" customForma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 s="18" customForma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 s="18" customForma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 s="18" customForma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s="18" customForma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s="18" customForma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s="18" customForma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 s="18" customForma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8" customForma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s="18" customForma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s="18" customForma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18" customForma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s="18" customForma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s="18" customForma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18" customForma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8" customForma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s="18" customForma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s="18" customForma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s="18" customForma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s="18" customForma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s="18" customForma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s="18" customForma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s="18" customForma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s="18" customForma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s="18" customForma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s="18" customForma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s="18" customForma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s="18" customForma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s="18" customForma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s="18" customForma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s="18" customForma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8" customForma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s="18" customForma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s="18" customForma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s="18" customForma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 s="18" customForma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s="18" customForma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 s="18" customForma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 s="18" customForma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 s="18" customForma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 s="18" customForma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 s="18" customForma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 s="18" customForma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 s="18" customForma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 s="18" customForma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 s="18" customForma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 s="18" customForma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 s="18" customForma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 s="18" customForma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1:16" s="18" customForma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1:16" s="18" customForma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1:16" s="18" customForma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16" s="18" customForma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1:16" s="18" customForma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1:16" s="18" customForma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1:16" s="18" customForma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16" s="18" customForma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1:16" s="18" customForma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1:16" s="18" customForma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1:16" s="18" customForma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1:16" s="18" customForma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1:16" s="18" customForma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1:16" s="18" customForma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1:16" s="18" customForma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1:16" s="18" customForma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1:16" s="18" customForma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1:16" s="18" customForma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1:16" s="18" customForma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16" s="18" customForma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1:16" s="18" customForma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s="18" customForma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16" s="18" customForma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s="18" customForma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1:16" s="18" customForma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s="18" customForma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s="18" customForma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s="18" customForma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s="18" customForma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s="18" customForma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s="18" customForma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s="18" customForma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s="18" customForma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s="18" customForma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s="18" customForma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s="18" customForma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s="18" customForma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s="18" customForma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s="18" customForma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s="18" customForma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s="18" customForma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s="18" customForma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s="18" customForma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s="18" customForma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s="18" customForma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s="18" customForma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s="18" customForma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s="18" customForma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s="18" customForma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s="18" customForma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s="18" customForma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s="18" customForma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s="18" customForma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1:16" s="18" customForma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1:16" s="18" customForma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s="18" customForma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1:16" s="18" customForma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1:16" s="18" customForma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1:16" s="18" customForma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1:16" s="18" customForma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1:16" s="18" customForma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1:16" s="18" customForma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1:16" s="18" customForma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1:16" s="18" customForma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1:16" s="18" customForma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1:16" s="18" customForma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1:16" s="18" customForma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1:16" s="18" customForma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1:16" s="18" customForma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1:16" s="18" customForma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1:16" s="18" customForma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1:16" s="18" customForma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s="18" customForma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1:16" s="18" customForma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s="18" customForma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1:16" s="18" customForma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1:16" s="18" customForma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1:16" s="18" customForma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1:16" s="18" customForma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1:16" s="18" customForma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1:16" s="18" customForma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1:16" s="18" customForma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s="18" customForma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s="18" customForma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s="18" customForma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s="18" customForma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1:16" s="18" customForma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s="18" customForma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1:16" s="18" customForma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1:16" s="18" customForma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1:16" s="18" customForma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s="18" customForma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1:16" s="18" customForma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1:16" s="18" customForma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1:16" s="18" customForma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s="18" customForma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1:16" s="18" customForma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1:16" s="18" customForma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s="18" customForma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1:16" s="18" customForma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1:16" s="18" customForma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1:16" s="18" customForma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1:16" s="18" customForma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1:16" s="18" customForma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1:16" s="18" customForma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s="18" customForma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1:16" s="18" customForma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1:16" s="18" customForma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1:16" s="18" customForma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s="18" customForma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1:16" s="18" customForma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1:16" s="18" customForma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1:16" s="18" customForma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s="18" customForma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1:16" s="18" customForma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1:16" s="18" customForma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s="18" customForma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1:16" s="18" customForma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1:16" s="18" customForma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1:16" s="18" customForma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1:16" s="18" customForma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1:16" s="18" customForma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s="18" customForma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s="18" customForma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s="18" customForma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s="18" customForma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s="18" customForma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1:16" s="18" customForma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s="18" customForma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1:16" s="18" customForma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1:16" s="18" customForma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1:16" s="18" customForma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1:16" s="18" customForma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s="18" customForma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1:16" s="18" customForma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1:16" s="18" customForma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1:16" s="18" customForma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s="18" customForma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s="18" customForma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s="18" customForma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s="18" customForma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s="18" customForma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s="18" customForma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s="18" customForma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s="18" customForma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s="18" customForma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s="18" customForma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s="18" customForma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s="18" customForma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s="18" customForma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s="18" customForma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s="18" customForma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s="18" customForma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s="18" customForma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s="18" customForma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s="18" customForma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s="18" customForma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s="18" customForma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s="18" customForma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s="18" customForma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s="18" customForma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s="18" customForma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s="18" customForma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s="18" customForma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s="18" customForma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s="18" customForma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s="18" customForma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s="18" customForma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s="18" customForma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s="18" customForma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s="18" customForma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s="18" customForma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s="18" customForma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s="18" customForma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s="18" customForma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s="18" customForma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s="18" customForma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s="18" customForma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s="18" customForma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s="18" customForma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s="18" customForma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s="18" customForma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s="18" customForma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s="18" customForma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s="18" customForma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s="18" customForma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s="18" customForma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s="18" customForma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s="18" customForma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s="18" customForma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s="18" customForma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s="18" customForma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s="18" customForma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s="18" customForma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s="18" customForma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s="18" customForma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s="18" customForma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s="18" customForma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s="18" customForma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s="18" customForma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s="18" customForma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s="18" customForma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s="18" customForma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s="18" customForma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s="18" customForma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s="18" customForma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s="18" customForma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s="18" customForma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s="18" customForma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s="18" customForma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s="18" customForma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s="18" customForma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s="18" customForma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s="18" customForma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s="18" customForma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s="18" customForma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s="18" customForma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s="18" customForma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s="18" customForma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s="18" customForma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s="18" customForma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s="18" customForma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s="18" customForma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s="18" customForma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s="18" customForma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s="18" customForma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s="18" customForma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s="18" customForma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s="18" customForma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s="18" customForma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s="18" customForma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s="18" customForma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s="18" customForma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s="18" customForma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s="18" customForma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s="18" customForma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s="18" customForma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s="18" customForma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s="18" customForma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s="18" customForma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s="18" customForma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s="18" customForma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s="18" customForma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s="18" customForma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s="18" customForma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s="18" customForma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s="18" customForma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s="18" customForma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s="18" customForma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s="18" customForma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s="18" customForma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s="18" customForma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s="18" customForma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s="18" customForma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s="18" customForma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s="18" customForma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s="18" customForma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s="18" customForma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s="18" customForma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s="18" customForma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s="18" customForma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s="18" customForma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s="18" customForma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s="18" customForma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spans="1:16" s="18" customForma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spans="1:16" s="18" customForma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spans="1:16" s="18" customForma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spans="1:16" s="18" customForma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s="18" customForma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spans="1:16" s="18" customForma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s="18" customForma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spans="1:16" s="18" customForma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spans="1:16" s="18" customForma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spans="1:16" s="18" customForma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spans="1:16" s="18" customForma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spans="1:16" s="18" customForma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spans="1:16" s="18" customForma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spans="1:16" s="18" customForma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s="18" customForma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spans="1:16" s="18" customForma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spans="1:16" s="18" customForma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spans="1:16" s="18" customForma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spans="1:16" s="18" customForma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pans="1:16" s="18" customForma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pans="1:16" s="18" customForma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pans="1:16" s="18" customForma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s="18" customForma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s="18" customForma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s="18" customForma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s="18" customForma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s="18" customForma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pans="1:16" s="18" customForma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pans="1:16" s="18" customForma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s="18" customForma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pans="1:16" s="18" customForma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pans="1:16" s="18" customForma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s="18" customForma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spans="1:16" s="18" customForma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spans="1:16" s="18" customForma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spans="1:16" s="18" customForma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spans="1:16" s="18" customForma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spans="1:16" s="18" customForma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s="18" customForma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pans="1:16" s="18" customForma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spans="1:16" s="18" customForma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spans="1:16" s="18" customForma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spans="1:16" s="18" customForma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s="18" customForma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spans="1:16" s="18" customForma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pans="1:16" s="18" customForma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pans="1:16" s="18" customForma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s="18" customForma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pans="1:16" s="18" customForma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pans="1:16" s="18" customForma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spans="1:16" s="18" customForma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spans="1:16" s="18" customForma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spans="1:16" s="18" customForma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spans="1:16" s="18" customForma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pans="1:16" s="18" customForma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pans="1:16" s="18" customForma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pans="1:16" s="18" customForma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pans="1:16" s="18" customForma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pans="1:16" s="18" customForma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pans="1:16" s="18" customForma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spans="1:16" s="18" customForma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spans="1:16" s="18" customForma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spans="1:16" s="18" customForma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spans="1:16" s="18" customForma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spans="1:16" s="18" customForma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spans="1:16" s="18" customForma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spans="1:16" s="18" customForma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spans="1:16" s="18" customForma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spans="1:16" s="18" customForma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spans="1:16" s="18" customForma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spans="1:16" s="18" customForma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spans="1:16" s="18" customForma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spans="1:16" s="18" customForma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spans="1:16" s="18" customForma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spans="1:16" s="18" customForma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spans="1:16" s="18" customForma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spans="1:16" s="18" customForma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spans="1:16" s="18" customForma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spans="1:16" s="18" customForma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spans="1:16" s="18" customForma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spans="1:16" s="18" customForma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spans="1:16" s="18" customForma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spans="1:16" s="18" customForma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spans="1:16" s="18" customForma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spans="1:16" s="18" customForma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spans="1:16" s="18" customForma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spans="1:16" s="18" customForma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spans="1:16" s="18" customForma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spans="1:16" s="18" customForma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spans="1:16" s="18" customForma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spans="1:16" s="18" customForma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spans="1:16" s="18" customForma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spans="1:16" s="18" customForma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spans="1:16" s="18" customForma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spans="1:16" s="18" customForma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spans="1:16" s="18" customForma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spans="1:16" s="18" customForma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s="18" customForma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spans="1:16" s="18" customForma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spans="1:16" s="18" customForma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spans="1:16" s="18" customForma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spans="1:16" s="18" customForma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spans="1:16" s="18" customForma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spans="1:16" s="18" customForma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spans="1:16" s="18" customForma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spans="1:16" s="18" customForma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spans="1:16" s="18" customForma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spans="1:16" s="18" customForma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spans="1:16" s="18" customForma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spans="1:16" s="18" customForma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spans="1:16" s="18" customForma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spans="1:16" s="18" customForma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spans="1:16" s="18" customForma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spans="1:16" s="18" customForma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spans="1:16" s="18" customForma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spans="1:16" s="18" customForma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spans="1:16" s="18" customForma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spans="1:16" s="18" customForma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spans="1:16" s="18" customForma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spans="1:16" s="18" customForma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spans="1:16" s="18" customForma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spans="1:16" s="18" customForma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spans="1:16" s="18" customForma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spans="1:16" s="18" customForma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spans="1:16" s="18" customForma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spans="1:16" s="18" customForma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spans="1:16" s="18" customForma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spans="1:16" s="18" customForma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spans="1:16" s="18" customForma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spans="1:16" s="18" customForma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spans="1:16" s="18" customForma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spans="1:16" s="18" customForma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spans="1:16" s="18" customForma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spans="1:16" s="18" customForma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spans="1:16" s="18" customForma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spans="1:16" s="18" customForma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spans="1:16" s="18" customForma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spans="1:16" s="18" customForma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spans="1:16" s="18" customForma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spans="1:16" s="18" customForma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spans="1:16" s="18" customForma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spans="1:16" s="18" customForma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spans="1:16" s="18" customForma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spans="1:16" s="18" customForma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spans="1:16" s="18" customForma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spans="1:16" s="18" customForma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spans="1:16" s="18" customForma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s="18" customForma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spans="1:16" s="18" customForma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spans="1:16" s="18" customForma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spans="1:16" s="18" customForma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spans="1:16" s="18" customForma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spans="1:16" s="18" customForma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spans="1:16" s="18" customForma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spans="1:16" s="18" customForma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spans="1:16" s="18" customForma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spans="1:16" s="18" customForma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spans="1:16" s="18" customForma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spans="1:16" s="18" customForma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spans="1:16" s="18" customForma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spans="1:16" s="18" customForma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spans="1:16" s="18" customForma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spans="1:16" s="18" customForma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spans="1:16" s="18" customForma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spans="1:16" s="18" customForma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spans="1:16" s="18" customForma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spans="1:16" s="18" customForma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spans="1:16" s="18" customForma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spans="1:16" s="18" customForma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spans="1:16" s="18" customForma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spans="1:16" s="18" customForma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spans="1:16" s="18" customForma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spans="1:16" s="18" customForma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spans="1:16" s="18" customForma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spans="1:16" s="18" customForma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spans="1:16" s="18" customForma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spans="1:16" s="18" customForma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spans="1:16" s="18" customForma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spans="1:16" s="18" customForma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spans="1:16" s="18" customForma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spans="1:16" s="18" customForma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spans="1:16" s="18" customForma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spans="1:16" s="18" customForma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spans="1:16" s="18" customForma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spans="1:16" s="18" customForma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spans="1:16" s="18" customForma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spans="1:16" s="18" customForma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spans="1:16" s="18" customForma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spans="1:16" s="18" customForma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spans="1:16" s="18" customForma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spans="1:16" s="18" customForma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spans="1:16" s="18" customForma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spans="1:16" s="18" customForma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spans="1:16" s="18" customForma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spans="1:16" s="18" customForma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spans="1:16" s="18" customForma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spans="1:16" s="18" customForma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spans="1:16" s="18" customForma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spans="1:16" s="18" customForma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spans="1:16" s="18" customForma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spans="1:16" s="18" customForma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spans="1:16" s="18" customForma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spans="1:16" s="18" customForma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spans="1:16" s="18" customForma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spans="1:16" s="18" customForma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spans="1:16" s="18" customForma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spans="1:16" s="18" customForma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spans="1:16" s="18" customForma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spans="1:16" s="18" customForma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spans="1:16" s="18" customForma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spans="1:16" s="18" customForma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spans="1:16" s="18" customForma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spans="1:16" s="18" customForma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spans="1:16" s="18" customForma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spans="1:16" s="18" customForma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spans="1:16" s="18" customForma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spans="1:16" s="18" customForma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spans="1:16" s="18" customForma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spans="1:16" s="18" customForma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spans="1:16" s="18" customForma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spans="1:16" s="18" customForma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spans="1:16" s="18" customForma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spans="1:16" s="18" customForma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spans="1:16" s="18" customForma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spans="1:16" s="18" customForma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spans="1:16" s="18" customForma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spans="1:16" s="18" customForma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spans="1:16" s="18" customForma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spans="1:16" s="18" customForma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spans="1:16" s="18" customForma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spans="1:16" s="18" customForma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spans="1:16" s="18" customForma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spans="1:16" s="18" customForma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spans="1:16" s="18" customForma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spans="1:16" s="18" customForma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spans="1:16" s="18" customForma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spans="1:16" s="18" customForma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spans="1:16" s="18" customForma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spans="1:16" s="18" customForma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spans="1:16" s="18" customForma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spans="1:16" s="18" customForma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spans="1:16" s="18" customForma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spans="1:16" s="18" customForma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spans="1:16" s="18" customForma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spans="1:16" s="18" customForma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spans="1:16" s="18" customForma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spans="1:16" s="18" customForma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spans="1:16" s="18" customForma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spans="1:16" s="18" customForma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spans="1:16" s="18" customForma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spans="1:16" s="18" customForma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spans="1:16" s="18" customForma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spans="1:16" s="18" customForma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spans="1:16" s="18" customForma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spans="1:16" s="18" customForma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spans="1:16" s="18" customForma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spans="1:16" s="18" customForma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spans="1:16" s="18" customForma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spans="1:16" s="18" customForma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spans="1:16" s="18" customForma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spans="1:16" s="18" customForma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spans="1:16" s="18" customForma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spans="1:16" s="18" customForma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spans="1:16" s="18" customForma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spans="1:16" s="18" customForma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spans="1:16" s="18" customForma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spans="1:16" s="18" customForma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spans="1:16" s="18" customForma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spans="1:16" s="18" customForma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spans="1:16" s="18" customForma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spans="1:16" s="18" customForma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spans="1:16" s="18" customForma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spans="1:16" s="18" customForma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spans="1:16" s="18" customForma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spans="1:16" s="18" customForma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spans="1:16" s="18" customForma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spans="1:16" s="18" customForma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spans="1:16" s="18" customForma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spans="1:16" s="18" customForma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spans="1:16" s="18" customForma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spans="1:16" s="18" customForma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spans="1:16" s="18" customForma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spans="1:16" s="18" customForma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spans="1:16" s="18" customForma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spans="1:16" s="18" customForma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spans="1:16" s="18" customForma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spans="1:16" s="18" customForma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spans="1:16" s="18" customForma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spans="1:16" s="18" customForma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spans="1:16" s="18" customForma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spans="1:16" s="18" customForma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spans="1:16" s="18" customForma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spans="1:16" s="18" customForma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spans="1:16" s="18" customForma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spans="1:16" s="18" customForma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spans="1:16" s="18" customForma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spans="1:16" s="18" customForma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spans="1:16" s="18" customForma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spans="1:16" s="18" customForma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spans="1:16" s="18" customForma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spans="1:16" s="18" customForma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spans="1:16" s="18" customForma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spans="1:16" s="18" customForma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spans="1:16" s="18" customForma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spans="1:16" s="18" customForma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spans="1:16" s="18" customForma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spans="1:16" s="18" customForma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spans="1:16" s="18" customForma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spans="1:16" s="18" customForma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spans="1:16" s="18" customForma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spans="1:16" s="18" customForma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spans="1:16" s="18" customForma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spans="1:16" s="18" customForma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spans="1:16" s="18" customForma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spans="1:16" s="18" customForma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spans="1:16" s="18" customForma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spans="1:16" s="18" customForma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spans="1:16" s="18" customForma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spans="1:16" s="18" customForma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spans="1:16" s="18" customForma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spans="1:16" s="18" customForma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spans="1:16" s="18" customForma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spans="1:16" s="18" customForma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spans="1:16" s="18" customForma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spans="1:16" s="18" customForma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spans="1:16" s="18" customForma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spans="1:16" s="18" customForma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spans="1:16" s="18" customForma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spans="1:16" s="18" customForma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spans="1:16" s="18" customForma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spans="1:16" s="18" customForma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spans="1:16" s="18" customForma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spans="1:16" s="18" customForma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spans="1:16" s="18" customForma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spans="1:16" s="18" customForma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spans="1:16" s="18" customForma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spans="1:16" s="18" customForma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spans="1:16" s="18" customForma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spans="1:16" s="18" customForma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spans="1:16" s="18" customForma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spans="1:16" s="18" customForma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spans="1:16" s="18" customForma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spans="1:16" s="18" customForma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spans="1:16" s="18" customForma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spans="1:16" s="18" customForma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spans="1:16" s="18" customForma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spans="1:16" s="18" customForma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spans="1:16" s="18" customForma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spans="1:16" s="18" customForma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spans="1:16" s="18" customForma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spans="1:16" s="18" customForma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spans="1:16" s="18" customForma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spans="1:16" s="18" customForma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spans="1:16" s="18" customForma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spans="1:16" s="18" customForma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spans="1:16" s="18" customForma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spans="1:16" s="18" customForma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spans="1:16" s="18" customForma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s="18" customForma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spans="1:16" s="18" customForma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spans="1:16" s="18" customForma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spans="1:16" s="18" customForma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s="18" customForma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spans="1:16" s="18" customForma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spans="1:16" s="18" customForma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spans="1:16" s="18" customForma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spans="1:16" s="18" customForma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spans="1:16" s="18" customForma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spans="1:16" s="18" customForma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spans="1:16" s="18" customForma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spans="1:16" s="18" customForma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spans="1:16" s="18" customForma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spans="1:16" s="18" customForma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spans="1:16" s="18" customForma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spans="1:16" s="18" customForma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spans="1:16" s="18" customForma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spans="1:16" s="18" customForma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spans="1:16" s="18" customForma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spans="1:16" s="18" customForma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spans="1:16" s="18" customForma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spans="1:16" s="18" customForma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spans="1:16" s="18" customForma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spans="1:16" s="18" customForma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spans="1:16" s="18" customForma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spans="1:16" s="18" customForma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spans="1:16" s="18" customForma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spans="1:16" s="18" customForma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spans="1:16" s="18" customForma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s="18" customForma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spans="1:16" s="18" customForma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spans="1:16" s="18" customForma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spans="1:16" s="18" customForma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s="18" customForma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s="18" customForma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s="18" customForma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s="18" customForma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spans="1:16" s="18" customForma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spans="1:16" s="18" customForma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spans="1:16" s="18" customForma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spans="1:16" s="18" customForma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spans="1:16" s="18" customForma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  <row r="740" spans="1:16" s="18" customForma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</row>
    <row r="741" spans="1:16" s="18" customForma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</row>
    <row r="742" spans="1:16" s="18" customForma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</row>
    <row r="743" spans="1:16" s="18" customForma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</row>
    <row r="744" spans="1:16" s="18" customForma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</row>
    <row r="745" spans="1:16" s="18" customForma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</row>
    <row r="746" spans="1:16" s="18" customForma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spans="1:16" s="18" customForma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</row>
    <row r="748" spans="1:16" s="18" customForma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</row>
    <row r="749" spans="1:16" s="18" customForma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</row>
    <row r="750" spans="1:16" s="18" customForma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</row>
    <row r="751" spans="1:16" s="18" customForma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spans="1:16" s="18" customForma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</row>
    <row r="753" spans="1:16" s="18" customForma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</row>
    <row r="754" spans="1:16" s="18" customForma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</row>
    <row r="755" spans="1:16" s="18" customForma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</row>
    <row r="756" spans="1:16" s="18" customForma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</row>
    <row r="757" spans="1:16" s="18" customForma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</row>
    <row r="758" spans="1:16" s="18" customForma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</row>
    <row r="759" spans="1:16" s="18" customForma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</row>
    <row r="760" spans="1:16" s="18" customForma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</row>
    <row r="761" spans="1:16" s="18" customForma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</row>
    <row r="762" spans="1:16" s="18" customForma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</row>
    <row r="763" spans="1:16" s="18" customForma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</row>
    <row r="764" spans="1:16" s="18" customForma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</row>
    <row r="765" spans="1:16" s="18" customForma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</row>
    <row r="766" spans="1:16" s="18" customForma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</row>
    <row r="767" spans="1:16" s="18" customForma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</row>
    <row r="768" spans="1:16" s="18" customForma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</row>
    <row r="769" spans="1:16" s="18" customForma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</row>
    <row r="770" spans="1:16" s="18" customForma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</row>
    <row r="771" spans="1:16" s="18" customForma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s="18" customForma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s="18" customForma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s="18" customForma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s="18" customForma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</row>
    <row r="776" spans="1:16" s="18" customForma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spans="1:16" s="18" customForma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</row>
    <row r="778" spans="1:16" s="18" customForma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</row>
    <row r="779" spans="1:16" s="18" customForma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</row>
    <row r="780" spans="1:16" s="18" customForma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</row>
    <row r="781" spans="1:16" s="18" customForma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spans="1:16" s="18" customForma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</row>
    <row r="783" spans="1:16" s="18" customForma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</row>
    <row r="784" spans="1:16" s="18" customForma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</row>
    <row r="785" spans="1:16" s="18" customForma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</row>
    <row r="786" spans="1:16" s="18" customForma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</row>
    <row r="787" spans="1:16" s="18" customForma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</row>
    <row r="788" spans="1:16" s="18" customForma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</row>
    <row r="789" spans="1:16" s="18" customForma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</row>
    <row r="790" spans="1:16" s="18" customForma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</row>
    <row r="791" spans="1:16" s="18" customForma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</row>
    <row r="792" spans="1:16" s="18" customForma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</row>
    <row r="793" spans="1:16" s="18" customForma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</row>
    <row r="794" spans="1:16" s="18" customForma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</row>
    <row r="795" spans="1:16" s="18" customForma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</row>
    <row r="796" spans="1:16" s="18" customForma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spans="1:16" s="18" customForma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</row>
    <row r="798" spans="1:16" s="18" customForma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</row>
    <row r="799" spans="1:16" s="18" customForma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</row>
    <row r="800" spans="1:16" s="18" customForma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</row>
    <row r="801" spans="1:16" s="18" customForma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</row>
    <row r="802" spans="1:16" s="18" customForma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spans="1:16" s="18" customForma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</row>
    <row r="804" spans="1:16" s="18" customForma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</row>
    <row r="805" spans="1:16" s="18" customForma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</row>
    <row r="806" spans="1:16" s="18" customForma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</row>
    <row r="807" spans="1:16" s="18" customForma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</row>
    <row r="808" spans="1:16" s="18" customForma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</row>
    <row r="809" spans="1:16" s="18" customForma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</row>
    <row r="810" spans="1:16" s="18" customForma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</row>
    <row r="811" spans="1:16" s="18" customForma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</row>
    <row r="812" spans="1:16" s="18" customForma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</row>
    <row r="813" spans="1:16" s="18" customForma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</row>
    <row r="814" spans="1:16" s="18" customForma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</row>
    <row r="815" spans="1:16" s="18" customForma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</row>
    <row r="816" spans="1:16" s="18" customForma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</row>
    <row r="817" spans="1:16" s="18" customForma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</row>
    <row r="818" spans="1:16" s="18" customForma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</row>
    <row r="819" spans="1:16" s="18" customForma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</row>
    <row r="820" spans="1:16" s="18" customForma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</row>
    <row r="821" spans="1:16" s="18" customForma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</row>
    <row r="822" spans="1:16" s="18" customForma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</row>
    <row r="823" spans="1:16" s="18" customForma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</row>
    <row r="824" spans="1:16" s="18" customForma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</row>
    <row r="825" spans="1:16" s="18" customForma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</row>
    <row r="826" spans="1:16" s="18" customForma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</row>
  </sheetData>
  <autoFilter ref="A3:M7" xr:uid="{00000000-0009-0000-0000-000000000000}"/>
  <phoneticPr fontId="1" type="noConversion"/>
  <printOptions horizontalCentered="1"/>
  <pageMargins left="0.15748031496062992" right="0.15748031496062992" top="0.98425196850393704" bottom="0.59055118110236227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84CE-EB4D-4A29-9E92-5326E03652C2}">
  <sheetPr>
    <tabColor rgb="FFFFFF00"/>
  </sheetPr>
  <dimension ref="A1:P830"/>
  <sheetViews>
    <sheetView zoomScale="96" zoomScaleNormal="96" workbookViewId="0">
      <selection activeCell="C6" sqref="C6"/>
    </sheetView>
  </sheetViews>
  <sheetFormatPr defaultColWidth="5.375" defaultRowHeight="13.5" outlineLevelRow="2"/>
  <cols>
    <col min="1" max="1" width="16.75" style="6" bestFit="1" customWidth="1"/>
    <col min="2" max="2" width="8.75" style="6" bestFit="1" customWidth="1"/>
    <col min="3" max="3" width="18.875" style="6" bestFit="1" customWidth="1"/>
    <col min="4" max="4" width="12.5" style="6" bestFit="1" customWidth="1"/>
    <col min="5" max="5" width="14.375" style="10" bestFit="1" customWidth="1"/>
    <col min="6" max="6" width="12.5" style="11" bestFit="1" customWidth="1"/>
    <col min="7" max="7" width="12.625" style="10" bestFit="1" customWidth="1"/>
    <col min="8" max="8" width="10.75" style="12" bestFit="1" customWidth="1"/>
    <col min="9" max="10" width="10.25" style="6" bestFit="1" customWidth="1"/>
    <col min="11" max="11" width="10.75" style="6" bestFit="1" customWidth="1"/>
    <col min="12" max="12" width="10.75" style="10" bestFit="1" customWidth="1"/>
    <col min="13" max="13" width="14.375" style="6" bestFit="1" customWidth="1"/>
    <col min="14" max="16384" width="5.375" style="6"/>
  </cols>
  <sheetData>
    <row r="1" spans="1:1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B2" s="7" t="s">
        <v>0</v>
      </c>
      <c r="C2" s="8">
        <v>43830</v>
      </c>
      <c r="D2" s="9"/>
      <c r="L2" s="10" t="s">
        <v>1</v>
      </c>
    </row>
    <row r="3" spans="1:13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</row>
    <row r="4" spans="1:13" s="18" customFormat="1" outlineLevel="2">
      <c r="A4" s="19" t="s">
        <v>47</v>
      </c>
      <c r="B4" s="20" t="s">
        <v>16</v>
      </c>
      <c r="C4" s="21" t="s">
        <v>26</v>
      </c>
      <c r="D4" s="20" t="s">
        <v>25</v>
      </c>
      <c r="E4" s="3">
        <v>69000000</v>
      </c>
      <c r="F4" s="19">
        <v>43822</v>
      </c>
      <c r="G4" s="3">
        <v>69000000</v>
      </c>
      <c r="H4" s="2">
        <v>5.0000000000000001E-3</v>
      </c>
      <c r="I4" s="19">
        <v>43822</v>
      </c>
      <c r="J4" s="19">
        <v>43830</v>
      </c>
      <c r="K4" s="3">
        <f>J4-I4+1</f>
        <v>9</v>
      </c>
      <c r="L4" s="3">
        <f>ROUND(G4*H4*K4/365,0)</f>
        <v>8507</v>
      </c>
      <c r="M4" s="3">
        <v>69000000</v>
      </c>
    </row>
    <row r="5" spans="1:13" s="18" customFormat="1" outlineLevel="2">
      <c r="A5" s="19" t="s">
        <v>47</v>
      </c>
      <c r="B5" s="20" t="s">
        <v>29</v>
      </c>
      <c r="C5" s="21" t="s">
        <v>46</v>
      </c>
      <c r="D5" s="20" t="s">
        <v>40</v>
      </c>
      <c r="E5" s="3">
        <v>162300000</v>
      </c>
      <c r="F5" s="19">
        <v>43829</v>
      </c>
      <c r="G5" s="3">
        <v>162300000</v>
      </c>
      <c r="H5" s="2">
        <v>5.0000000000000001E-3</v>
      </c>
      <c r="I5" s="19">
        <v>43829</v>
      </c>
      <c r="J5" s="19">
        <v>43830</v>
      </c>
      <c r="K5" s="3">
        <f>J5-I5+1</f>
        <v>2</v>
      </c>
      <c r="L5" s="3">
        <f>ROUND(G5*H5*K5/365,0)</f>
        <v>4447</v>
      </c>
      <c r="M5" s="3">
        <v>162300000</v>
      </c>
    </row>
    <row r="6" spans="1:13" s="18" customFormat="1" outlineLevel="1">
      <c r="A6" s="25" t="s">
        <v>45</v>
      </c>
      <c r="B6" s="26"/>
      <c r="C6" s="27"/>
      <c r="D6" s="26"/>
      <c r="E6" s="28">
        <f>SUBTOTAL(9,E4:E5)</f>
        <v>231300000</v>
      </c>
      <c r="F6" s="29"/>
      <c r="G6" s="28"/>
      <c r="H6" s="30"/>
      <c r="I6" s="29"/>
      <c r="J6" s="29"/>
      <c r="K6" s="28"/>
      <c r="L6" s="28">
        <f>SUBTOTAL(9,L4:L5)</f>
        <v>12954</v>
      </c>
      <c r="M6" s="28">
        <f>SUBTOTAL(9,M4:M5)</f>
        <v>231300000</v>
      </c>
    </row>
    <row r="7" spans="1:13" s="18" customFormat="1" outlineLevel="2">
      <c r="A7" s="19" t="s">
        <v>15</v>
      </c>
      <c r="B7" s="20" t="s">
        <v>16</v>
      </c>
      <c r="C7" s="21" t="s">
        <v>17</v>
      </c>
      <c r="D7" s="20" t="s">
        <v>18</v>
      </c>
      <c r="E7" s="3">
        <v>38000000</v>
      </c>
      <c r="F7" s="19">
        <v>43762</v>
      </c>
      <c r="G7" s="3">
        <v>38000000</v>
      </c>
      <c r="H7" s="2">
        <v>5.0000000000000001E-3</v>
      </c>
      <c r="I7" s="19">
        <v>43800</v>
      </c>
      <c r="J7" s="19">
        <v>43830</v>
      </c>
      <c r="K7" s="3">
        <f>J7-I7+1</f>
        <v>31</v>
      </c>
      <c r="L7" s="3">
        <f>ROUND(G7*H7*K7/365,0)</f>
        <v>16137</v>
      </c>
      <c r="M7" s="3">
        <v>38000000</v>
      </c>
    </row>
    <row r="8" spans="1:13" s="18" customFormat="1" outlineLevel="2">
      <c r="A8" s="19" t="s">
        <v>15</v>
      </c>
      <c r="B8" s="20" t="s">
        <v>29</v>
      </c>
      <c r="C8" s="21" t="s">
        <v>17</v>
      </c>
      <c r="D8" s="20" t="s">
        <v>18</v>
      </c>
      <c r="E8" s="3">
        <v>57000000</v>
      </c>
      <c r="F8" s="19">
        <v>43822</v>
      </c>
      <c r="G8" s="3">
        <v>57000000</v>
      </c>
      <c r="H8" s="2">
        <v>5.0000000000000001E-3</v>
      </c>
      <c r="I8" s="19">
        <v>43822</v>
      </c>
      <c r="J8" s="19">
        <v>43830</v>
      </c>
      <c r="K8" s="3">
        <f>J8-I8+1</f>
        <v>9</v>
      </c>
      <c r="L8" s="3">
        <f>ROUND(G8*H8*K8/365,0)</f>
        <v>7027</v>
      </c>
      <c r="M8" s="3">
        <v>57000000</v>
      </c>
    </row>
    <row r="9" spans="1:13" s="18" customFormat="1" outlineLevel="2">
      <c r="A9" s="19" t="s">
        <v>15</v>
      </c>
      <c r="B9" s="20" t="s">
        <v>33</v>
      </c>
      <c r="C9" s="21" t="s">
        <v>26</v>
      </c>
      <c r="D9" s="20" t="s">
        <v>25</v>
      </c>
      <c r="E9" s="3">
        <v>171000000</v>
      </c>
      <c r="F9" s="19">
        <v>43822</v>
      </c>
      <c r="G9" s="3">
        <v>171000000</v>
      </c>
      <c r="H9" s="2">
        <v>5.0000000000000001E-3</v>
      </c>
      <c r="I9" s="19">
        <v>43822</v>
      </c>
      <c r="J9" s="19">
        <v>43830</v>
      </c>
      <c r="K9" s="3">
        <f>J9-I9+1</f>
        <v>9</v>
      </c>
      <c r="L9" s="3">
        <f>ROUND(G9*H9*K9/365,0)</f>
        <v>21082</v>
      </c>
      <c r="M9" s="3">
        <v>171000000</v>
      </c>
    </row>
    <row r="10" spans="1:13" s="18" customFormat="1" outlineLevel="1">
      <c r="A10" s="25" t="s">
        <v>28</v>
      </c>
      <c r="B10" s="26"/>
      <c r="C10" s="27"/>
      <c r="D10" s="26"/>
      <c r="E10" s="28">
        <f>SUBTOTAL(9,E7:E9)</f>
        <v>266000000</v>
      </c>
      <c r="F10" s="29"/>
      <c r="G10" s="28"/>
      <c r="H10" s="30"/>
      <c r="I10" s="29"/>
      <c r="J10" s="29"/>
      <c r="K10" s="28"/>
      <c r="L10" s="28">
        <f>SUBTOTAL(9,L7:L9)</f>
        <v>44246</v>
      </c>
      <c r="M10" s="28">
        <f>SUBTOTAL(9,M7:M9)</f>
        <v>266000000</v>
      </c>
    </row>
    <row r="11" spans="1:13" s="18" customFormat="1" outlineLevel="2">
      <c r="A11" s="19" t="s">
        <v>44</v>
      </c>
      <c r="B11" s="20" t="s">
        <v>16</v>
      </c>
      <c r="C11" s="21" t="s">
        <v>41</v>
      </c>
      <c r="D11" s="20" t="s">
        <v>40</v>
      </c>
      <c r="E11" s="3">
        <v>150000000</v>
      </c>
      <c r="F11" s="19">
        <v>43829</v>
      </c>
      <c r="G11" s="3">
        <v>150000000</v>
      </c>
      <c r="H11" s="2">
        <v>5.0000000000000001E-3</v>
      </c>
      <c r="I11" s="19">
        <v>43829</v>
      </c>
      <c r="J11" s="19">
        <v>43830</v>
      </c>
      <c r="K11" s="3">
        <f>J11-I11+1</f>
        <v>2</v>
      </c>
      <c r="L11" s="3">
        <f>ROUND(G11*H11*K11/365,0)</f>
        <v>4110</v>
      </c>
      <c r="M11" s="3">
        <v>150000000</v>
      </c>
    </row>
    <row r="12" spans="1:13" s="18" customFormat="1" outlineLevel="2">
      <c r="A12" s="19" t="s">
        <v>44</v>
      </c>
      <c r="B12" s="20" t="s">
        <v>29</v>
      </c>
      <c r="C12" s="21" t="s">
        <v>41</v>
      </c>
      <c r="D12" s="20" t="s">
        <v>40</v>
      </c>
      <c r="E12" s="3">
        <v>32900000</v>
      </c>
      <c r="F12" s="19">
        <v>43829</v>
      </c>
      <c r="G12" s="3">
        <v>32900000</v>
      </c>
      <c r="H12" s="2">
        <v>5.0000000000000001E-3</v>
      </c>
      <c r="I12" s="19">
        <v>43829</v>
      </c>
      <c r="J12" s="19">
        <v>43830</v>
      </c>
      <c r="K12" s="3">
        <f>J12-I12+1</f>
        <v>2</v>
      </c>
      <c r="L12" s="3">
        <f>ROUND(G12*H12*K12/365,0)</f>
        <v>901</v>
      </c>
      <c r="M12" s="3">
        <v>32900000</v>
      </c>
    </row>
    <row r="13" spans="1:13" s="18" customFormat="1" outlineLevel="1">
      <c r="A13" s="25" t="s">
        <v>43</v>
      </c>
      <c r="B13" s="26"/>
      <c r="C13" s="27"/>
      <c r="D13" s="26"/>
      <c r="E13" s="28">
        <f>SUBTOTAL(9,E11:E12)</f>
        <v>182900000</v>
      </c>
      <c r="F13" s="29"/>
      <c r="G13" s="28"/>
      <c r="H13" s="30"/>
      <c r="I13" s="29"/>
      <c r="J13" s="29"/>
      <c r="K13" s="28"/>
      <c r="L13" s="28">
        <f>SUBTOTAL(9,L11:L12)</f>
        <v>5011</v>
      </c>
      <c r="M13" s="28">
        <f>SUBTOTAL(9,M11:M12)</f>
        <v>182900000</v>
      </c>
    </row>
    <row r="14" spans="1:13" s="18" customFormat="1" outlineLevel="2">
      <c r="A14" s="19" t="s">
        <v>42</v>
      </c>
      <c r="B14" s="20" t="s">
        <v>16</v>
      </c>
      <c r="C14" s="21" t="s">
        <v>41</v>
      </c>
      <c r="D14" s="20" t="s">
        <v>40</v>
      </c>
      <c r="E14" s="3">
        <v>50000000</v>
      </c>
      <c r="F14" s="19">
        <v>43829</v>
      </c>
      <c r="G14" s="3">
        <v>50000000</v>
      </c>
      <c r="H14" s="2">
        <v>5.0000000000000001E-3</v>
      </c>
      <c r="I14" s="19">
        <v>43829</v>
      </c>
      <c r="J14" s="19">
        <v>43830</v>
      </c>
      <c r="K14" s="3">
        <f>J14-I14+1</f>
        <v>2</v>
      </c>
      <c r="L14" s="3">
        <f>ROUND(G14*H14*K14/365,0)</f>
        <v>1370</v>
      </c>
      <c r="M14" s="3">
        <v>50000000</v>
      </c>
    </row>
    <row r="15" spans="1:13" s="18" customFormat="1" outlineLevel="2">
      <c r="A15" s="19" t="s">
        <v>42</v>
      </c>
      <c r="B15" s="20" t="s">
        <v>29</v>
      </c>
      <c r="C15" s="21" t="s">
        <v>41</v>
      </c>
      <c r="D15" s="20" t="s">
        <v>40</v>
      </c>
      <c r="E15" s="3">
        <v>25200000</v>
      </c>
      <c r="F15" s="19">
        <v>43829</v>
      </c>
      <c r="G15" s="3">
        <v>25200000</v>
      </c>
      <c r="H15" s="2">
        <v>5.0000000000000001E-3</v>
      </c>
      <c r="I15" s="19">
        <v>43829</v>
      </c>
      <c r="J15" s="19">
        <v>43830</v>
      </c>
      <c r="K15" s="3">
        <f>J15-I15+1</f>
        <v>2</v>
      </c>
      <c r="L15" s="3">
        <f>ROUND(G15*H15*K15/365,0)</f>
        <v>690</v>
      </c>
      <c r="M15" s="3">
        <v>25200000</v>
      </c>
    </row>
    <row r="16" spans="1:13" s="18" customFormat="1" outlineLevel="1">
      <c r="A16" s="25" t="s">
        <v>39</v>
      </c>
      <c r="B16" s="26"/>
      <c r="C16" s="27"/>
      <c r="D16" s="26"/>
      <c r="E16" s="28">
        <f>SUBTOTAL(9,E14:E15)</f>
        <v>75200000</v>
      </c>
      <c r="F16" s="29"/>
      <c r="G16" s="28"/>
      <c r="H16" s="30"/>
      <c r="I16" s="29"/>
      <c r="J16" s="29"/>
      <c r="K16" s="28"/>
      <c r="L16" s="28">
        <f>SUBTOTAL(9,L14:L15)</f>
        <v>2060</v>
      </c>
      <c r="M16" s="28">
        <f>SUBTOTAL(9,M14:M15)</f>
        <v>75200000</v>
      </c>
    </row>
    <row r="17" spans="1:16" s="18" customFormat="1" outlineLevel="2">
      <c r="A17" s="19" t="s">
        <v>34</v>
      </c>
      <c r="B17" s="20" t="s">
        <v>16</v>
      </c>
      <c r="C17" s="21" t="s">
        <v>38</v>
      </c>
      <c r="D17" s="20" t="s">
        <v>37</v>
      </c>
      <c r="E17" s="3">
        <v>126000000</v>
      </c>
      <c r="F17" s="19">
        <v>43804</v>
      </c>
      <c r="G17" s="3">
        <v>126000000</v>
      </c>
      <c r="H17" s="2">
        <v>5.0000000000000001E-3</v>
      </c>
      <c r="I17" s="19">
        <v>43804</v>
      </c>
      <c r="J17" s="19">
        <v>43830</v>
      </c>
      <c r="K17" s="3">
        <f>J17-I17+1</f>
        <v>27</v>
      </c>
      <c r="L17" s="3">
        <f>ROUND(G17*H17*K17/365,0)</f>
        <v>46603</v>
      </c>
      <c r="M17" s="3">
        <v>126000000</v>
      </c>
    </row>
    <row r="18" spans="1:16" s="18" customFormat="1" outlineLevel="2">
      <c r="A18" s="19" t="s">
        <v>34</v>
      </c>
      <c r="B18" s="20" t="s">
        <v>29</v>
      </c>
      <c r="C18" s="21" t="s">
        <v>36</v>
      </c>
      <c r="D18" s="20" t="s">
        <v>35</v>
      </c>
      <c r="E18" s="3">
        <v>5452560</v>
      </c>
      <c r="F18" s="19">
        <v>43810</v>
      </c>
      <c r="G18" s="3">
        <v>5452560</v>
      </c>
      <c r="H18" s="2">
        <v>5.0000000000000001E-3</v>
      </c>
      <c r="I18" s="19">
        <v>43810</v>
      </c>
      <c r="J18" s="19">
        <v>43830</v>
      </c>
      <c r="K18" s="3">
        <f>J18-I18+1</f>
        <v>21</v>
      </c>
      <c r="L18" s="3">
        <f>ROUND(G18*H18*K18/365,0)</f>
        <v>1569</v>
      </c>
      <c r="M18" s="3">
        <v>5452560</v>
      </c>
    </row>
    <row r="19" spans="1:16" s="18" customFormat="1" outlineLevel="2">
      <c r="A19" s="19" t="s">
        <v>34</v>
      </c>
      <c r="B19" s="20" t="s">
        <v>33</v>
      </c>
      <c r="C19" s="21" t="s">
        <v>32</v>
      </c>
      <c r="D19" s="20" t="s">
        <v>31</v>
      </c>
      <c r="E19" s="3">
        <v>220000000</v>
      </c>
      <c r="F19" s="19">
        <v>43815</v>
      </c>
      <c r="G19" s="3">
        <v>220000000</v>
      </c>
      <c r="H19" s="2">
        <v>5.0000000000000001E-3</v>
      </c>
      <c r="I19" s="19">
        <v>43815</v>
      </c>
      <c r="J19" s="19">
        <v>43830</v>
      </c>
      <c r="K19" s="3">
        <f>J19-I19+1</f>
        <v>16</v>
      </c>
      <c r="L19" s="3">
        <f>ROUND(G19*H19*K19/365,0)</f>
        <v>48219</v>
      </c>
      <c r="M19" s="3">
        <v>220000000</v>
      </c>
    </row>
    <row r="20" spans="1:16" s="18" customFormat="1" outlineLevel="1">
      <c r="A20" s="25" t="s">
        <v>30</v>
      </c>
      <c r="B20" s="26"/>
      <c r="C20" s="27"/>
      <c r="D20" s="26"/>
      <c r="E20" s="28">
        <f>SUBTOTAL(9,E17:E19)</f>
        <v>351452560</v>
      </c>
      <c r="F20" s="29"/>
      <c r="G20" s="28"/>
      <c r="H20" s="30"/>
      <c r="I20" s="29"/>
      <c r="J20" s="29"/>
      <c r="K20" s="28"/>
      <c r="L20" s="28">
        <f>SUBTOTAL(9,L17:L19)</f>
        <v>96391</v>
      </c>
      <c r="M20" s="28">
        <f>SUBTOTAL(9,M17:M19)</f>
        <v>351452560</v>
      </c>
    </row>
    <row r="21" spans="1:16" s="18" customFormat="1" outlineLevel="2">
      <c r="A21" s="19" t="s">
        <v>27</v>
      </c>
      <c r="B21" s="20" t="s">
        <v>16</v>
      </c>
      <c r="C21" s="21" t="s">
        <v>26</v>
      </c>
      <c r="D21" s="20" t="s">
        <v>25</v>
      </c>
      <c r="E21" s="3">
        <v>190000000</v>
      </c>
      <c r="F21" s="19">
        <v>43797</v>
      </c>
      <c r="G21" s="3">
        <v>190000000</v>
      </c>
      <c r="H21" s="2">
        <v>5.0000000000000001E-3</v>
      </c>
      <c r="I21" s="19">
        <v>43800</v>
      </c>
      <c r="J21" s="19">
        <v>43830</v>
      </c>
      <c r="K21" s="3">
        <f>J21-I21+1</f>
        <v>31</v>
      </c>
      <c r="L21" s="3">
        <f>ROUND(G21*H21*K21/365,0)</f>
        <v>80685</v>
      </c>
      <c r="M21" s="3">
        <v>190000000</v>
      </c>
    </row>
    <row r="22" spans="1:16" s="18" customFormat="1" outlineLevel="2">
      <c r="A22" s="19" t="s">
        <v>27</v>
      </c>
      <c r="B22" s="20" t="s">
        <v>29</v>
      </c>
      <c r="C22" s="21" t="s">
        <v>26</v>
      </c>
      <c r="D22" s="20" t="s">
        <v>25</v>
      </c>
      <c r="E22" s="3">
        <v>37000000</v>
      </c>
      <c r="F22" s="19">
        <v>43829</v>
      </c>
      <c r="G22" s="3">
        <v>37000000</v>
      </c>
      <c r="H22" s="2">
        <v>5.0000000000000001E-3</v>
      </c>
      <c r="I22" s="19">
        <v>43829</v>
      </c>
      <c r="J22" s="19">
        <v>43830</v>
      </c>
      <c r="K22" s="3">
        <f>J22-I22+1</f>
        <v>2</v>
      </c>
      <c r="L22" s="3">
        <f>ROUND(G22*H22*K22/365,0)</f>
        <v>1014</v>
      </c>
      <c r="M22" s="3">
        <v>37000000</v>
      </c>
    </row>
    <row r="23" spans="1:16" s="18" customFormat="1" outlineLevel="1">
      <c r="A23" s="25" t="s">
        <v>24</v>
      </c>
      <c r="B23" s="26"/>
      <c r="C23" s="27"/>
      <c r="D23" s="26"/>
      <c r="E23" s="28">
        <f>SUBTOTAL(9,E21:E22)</f>
        <v>227000000</v>
      </c>
      <c r="F23" s="29"/>
      <c r="G23" s="28"/>
      <c r="H23" s="30"/>
      <c r="I23" s="29"/>
      <c r="J23" s="29"/>
      <c r="K23" s="28"/>
      <c r="L23" s="28">
        <f>SUBTOTAL(9,L21:L22)</f>
        <v>81699</v>
      </c>
      <c r="M23" s="28">
        <f>SUBTOTAL(9,M21:M22)</f>
        <v>227000000</v>
      </c>
    </row>
    <row r="24" spans="1:16" s="37" customFormat="1" outlineLevel="1">
      <c r="A24" s="31"/>
      <c r="B24" s="32"/>
      <c r="C24" s="33"/>
      <c r="D24" s="32"/>
      <c r="E24" s="34"/>
      <c r="F24" s="35"/>
      <c r="G24" s="34"/>
      <c r="H24" s="36"/>
      <c r="I24" s="35"/>
      <c r="J24" s="35"/>
      <c r="K24" s="34"/>
      <c r="L24" s="34"/>
      <c r="M24" s="34"/>
    </row>
    <row r="25" spans="1:16" s="18" customFormat="1">
      <c r="A25" s="29" t="s">
        <v>23</v>
      </c>
      <c r="B25" s="26"/>
      <c r="C25" s="27"/>
      <c r="D25" s="26"/>
      <c r="E25" s="28">
        <f>SUBTOTAL(9,E4:E22)</f>
        <v>1333852560</v>
      </c>
      <c r="F25" s="29"/>
      <c r="G25" s="28"/>
      <c r="H25" s="30"/>
      <c r="I25" s="29"/>
      <c r="J25" s="29"/>
      <c r="K25" s="28"/>
      <c r="L25" s="28">
        <f>SUBTOTAL(9,L4:L22)</f>
        <v>242361</v>
      </c>
      <c r="M25" s="28">
        <f>SUBTOTAL(9,M4:M22)</f>
        <v>1333852560</v>
      </c>
    </row>
    <row r="26" spans="1:16" s="18" customForma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>
      <c r="A27" s="22" t="s">
        <v>21</v>
      </c>
      <c r="B27" s="22"/>
      <c r="E27" s="23" t="s">
        <v>22</v>
      </c>
      <c r="G27" s="6"/>
      <c r="I27" s="24" t="s">
        <v>20</v>
      </c>
    </row>
    <row r="28" spans="1:16" s="18" customForma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 s="18" customForma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s="18" customForma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s="18" customForma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s="18" customForma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 s="18" customForma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8" customForma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s="18" customForma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s="18" customForma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18" customForma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s="18" customForma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s="18" customForma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18" customForma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8" customForma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s="18" customForma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s="18" customForma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s="18" customForma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s="18" customForma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s="18" customForma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s="18" customForma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s="18" customForma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s="18" customForma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s="18" customForma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s="18" customForma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s="18" customForma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s="18" customForma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s="18" customForma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s="18" customForma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s="18" customForma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8" customForma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s="18" customForma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s="18" customForma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s="18" customForma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 s="18" customForma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s="18" customForma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 s="18" customForma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 s="18" customForma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 s="18" customForma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 s="18" customForma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 s="18" customForma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 s="18" customForma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 s="18" customForma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 s="18" customForma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 s="18" customForma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 s="18" customForma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 s="18" customForma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 s="18" customForma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1:16" s="18" customForma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1:16" s="18" customForma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1:16" s="18" customForma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16" s="18" customForma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1:16" s="18" customForma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1:16" s="18" customForma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1:16" s="18" customForma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16" s="18" customForma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1:16" s="18" customForma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1:16" s="18" customForma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1:16" s="18" customForma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1:16" s="18" customForma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1:16" s="18" customForma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1:16" s="18" customForma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1:16" s="18" customForma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1:16" s="18" customForma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1:16" s="18" customForma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1:16" s="18" customForma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1:16" s="18" customForma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16" s="18" customForma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1:16" s="18" customForma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s="18" customForma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16" s="18" customForma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s="18" customForma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1:16" s="18" customForma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s="18" customForma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s="18" customForma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s="18" customForma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s="18" customForma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s="18" customForma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s="18" customForma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s="18" customForma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s="18" customForma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s="18" customForma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s="18" customForma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s="18" customForma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s="18" customForma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s="18" customForma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s="18" customForma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s="18" customForma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s="18" customForma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s="18" customForma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s="18" customForma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s="18" customForma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s="18" customForma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s="18" customForma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s="18" customForma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s="18" customForma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s="18" customForma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s="18" customForma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s="18" customForma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s="18" customForma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s="18" customForma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1:16" s="18" customForma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1:16" s="18" customForma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s="18" customForma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1:16" s="18" customForma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1:16" s="18" customForma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1:16" s="18" customForma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1:16" s="18" customForma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1:16" s="18" customForma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1:16" s="18" customForma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1:16" s="18" customForma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1:16" s="18" customForma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1:16" s="18" customForma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1:16" s="18" customForma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1:16" s="18" customForma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1:16" s="18" customForma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1:16" s="18" customForma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1:16" s="18" customForma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1:16" s="18" customForma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1:16" s="18" customForma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s="18" customForma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1:16" s="18" customForma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s="18" customForma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1:16" s="18" customForma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1:16" s="18" customForma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1:16" s="18" customForma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1:16" s="18" customForma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1:16" s="18" customForma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1:16" s="18" customForma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1:16" s="18" customForma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s="18" customForma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s="18" customForma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s="18" customForma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s="18" customForma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1:16" s="18" customForma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s="18" customForma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1:16" s="18" customForma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1:16" s="18" customForma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1:16" s="18" customForma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s="18" customForma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1:16" s="18" customForma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1:16" s="18" customForma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1:16" s="18" customForma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s="18" customForma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1:16" s="18" customForma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1:16" s="18" customForma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s="18" customForma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1:16" s="18" customForma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1:16" s="18" customForma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1:16" s="18" customForma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1:16" s="18" customForma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1:16" s="18" customForma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1:16" s="18" customForma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s="18" customForma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1:16" s="18" customForma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1:16" s="18" customForma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1:16" s="18" customForma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s="18" customForma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1:16" s="18" customForma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1:16" s="18" customForma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1:16" s="18" customForma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s="18" customForma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1:16" s="18" customForma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1:16" s="18" customForma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s="18" customForma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1:16" s="18" customForma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1:16" s="18" customForma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1:16" s="18" customForma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1:16" s="18" customForma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1:16" s="18" customForma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s="18" customForma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s="18" customForma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s="18" customForma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s="18" customForma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s="18" customForma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1:16" s="18" customForma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s="18" customForma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1:16" s="18" customForma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1:16" s="18" customForma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1:16" s="18" customForma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1:16" s="18" customForma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s="18" customForma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1:16" s="18" customForma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1:16" s="18" customForma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1:16" s="18" customForma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s="18" customForma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s="18" customForma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s="18" customForma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s="18" customForma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s="18" customForma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s="18" customForma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s="18" customForma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s="18" customForma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s="18" customForma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s="18" customForma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s="18" customForma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s="18" customForma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s="18" customForma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s="18" customForma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s="18" customForma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s="18" customForma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s="18" customForma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s="18" customForma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s="18" customForma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s="18" customForma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s="18" customForma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s="18" customForma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s="18" customForma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s="18" customForma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s="18" customForma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s="18" customForma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s="18" customForma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s="18" customForma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s="18" customForma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s="18" customForma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s="18" customForma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s="18" customForma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s="18" customForma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s="18" customForma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s="18" customForma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s="18" customForma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s="18" customForma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s="18" customForma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s="18" customForma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s="18" customForma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s="18" customForma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s="18" customForma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s="18" customForma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s="18" customForma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s="18" customForma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s="18" customForma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s="18" customForma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s="18" customForma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s="18" customForma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s="18" customForma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s="18" customForma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s="18" customForma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s="18" customForma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s="18" customForma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s="18" customForma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s="18" customForma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s="18" customForma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s="18" customForma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s="18" customForma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s="18" customForma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s="18" customForma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s="18" customForma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s="18" customForma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s="18" customForma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s="18" customForma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s="18" customForma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s="18" customForma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s="18" customForma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s="18" customForma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s="18" customForma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s="18" customForma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s="18" customForma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s="18" customForma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s="18" customForma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s="18" customForma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s="18" customForma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s="18" customForma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s="18" customForma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s="18" customForma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s="18" customForma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s="18" customForma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s="18" customForma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s="18" customForma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s="18" customForma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s="18" customForma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s="18" customForma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s="18" customForma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s="18" customForma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s="18" customForma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s="18" customForma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s="18" customForma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s="18" customForma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s="18" customForma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s="18" customForma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s="18" customForma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s="18" customForma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s="18" customForma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s="18" customForma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s="18" customForma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s="18" customForma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s="18" customForma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s="18" customForma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s="18" customForma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s="18" customForma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s="18" customForma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s="18" customForma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s="18" customForma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s="18" customForma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s="18" customForma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s="18" customForma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s="18" customForma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s="18" customForma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s="18" customForma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s="18" customForma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s="18" customForma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s="18" customForma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s="18" customForma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s="18" customForma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s="18" customForma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s="18" customForma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s="18" customForma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s="18" customForma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s="18" customForma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s="18" customForma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s="18" customForma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s="18" customForma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s="18" customForma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spans="1:16" s="18" customForma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spans="1:16" s="18" customForma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spans="1:16" s="18" customForma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spans="1:16" s="18" customForma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s="18" customForma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spans="1:16" s="18" customForma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s="18" customForma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spans="1:16" s="18" customForma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spans="1:16" s="18" customForma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spans="1:16" s="18" customForma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spans="1:16" s="18" customForma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spans="1:16" s="18" customForma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spans="1:16" s="18" customForma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spans="1:16" s="18" customForma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s="18" customForma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spans="1:16" s="18" customForma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spans="1:16" s="18" customForma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spans="1:16" s="18" customForma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spans="1:16" s="18" customForma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pans="1:16" s="18" customForma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pans="1:16" s="18" customForma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pans="1:16" s="18" customForma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s="18" customForma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s="18" customForma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s="18" customForma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s="18" customForma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s="18" customForma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pans="1:16" s="18" customForma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pans="1:16" s="18" customForma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s="18" customForma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pans="1:16" s="18" customForma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pans="1:16" s="18" customForma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s="18" customForma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spans="1:16" s="18" customForma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spans="1:16" s="18" customForma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spans="1:16" s="18" customForma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spans="1:16" s="18" customForma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spans="1:16" s="18" customForma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s="18" customForma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pans="1:16" s="18" customForma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spans="1:16" s="18" customForma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spans="1:16" s="18" customForma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spans="1:16" s="18" customForma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s="18" customForma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spans="1:16" s="18" customForma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pans="1:16" s="18" customForma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pans="1:16" s="18" customForma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s="18" customForma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pans="1:16" s="18" customForma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pans="1:16" s="18" customForma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spans="1:16" s="18" customForma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spans="1:16" s="18" customForma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spans="1:16" s="18" customForma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spans="1:16" s="18" customForma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pans="1:16" s="18" customForma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pans="1:16" s="18" customForma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pans="1:16" s="18" customForma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pans="1:16" s="18" customForma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pans="1:16" s="18" customForma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pans="1:16" s="18" customForma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spans="1:16" s="18" customForma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spans="1:16" s="18" customForma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spans="1:16" s="18" customForma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spans="1:16" s="18" customForma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spans="1:16" s="18" customForma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spans="1:16" s="18" customForma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spans="1:16" s="18" customForma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spans="1:16" s="18" customForma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spans="1:16" s="18" customForma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spans="1:16" s="18" customForma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spans="1:16" s="18" customForma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spans="1:16" s="18" customForma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spans="1:16" s="18" customForma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spans="1:16" s="18" customForma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spans="1:16" s="18" customForma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spans="1:16" s="18" customForma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spans="1:16" s="18" customForma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spans="1:16" s="18" customForma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spans="1:16" s="18" customForma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spans="1:16" s="18" customForma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spans="1:16" s="18" customForma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spans="1:16" s="18" customForma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spans="1:16" s="18" customForma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spans="1:16" s="18" customForma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spans="1:16" s="18" customForma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spans="1:16" s="18" customForma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spans="1:16" s="18" customForma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spans="1:16" s="18" customForma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spans="1:16" s="18" customForma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spans="1:16" s="18" customForma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spans="1:16" s="18" customForma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spans="1:16" s="18" customForma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spans="1:16" s="18" customForma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spans="1:16" s="18" customForma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spans="1:16" s="18" customForma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spans="1:16" s="18" customForma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spans="1:16" s="18" customForma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s="18" customForma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spans="1:16" s="18" customForma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spans="1:16" s="18" customForma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spans="1:16" s="18" customForma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spans="1:16" s="18" customForma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spans="1:16" s="18" customForma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spans="1:16" s="18" customForma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spans="1:16" s="18" customForma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spans="1:16" s="18" customForma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spans="1:16" s="18" customForma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spans="1:16" s="18" customForma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spans="1:16" s="18" customForma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spans="1:16" s="18" customForma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spans="1:16" s="18" customForma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spans="1:16" s="18" customForma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spans="1:16" s="18" customForma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spans="1:16" s="18" customForma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spans="1:16" s="18" customForma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spans="1:16" s="18" customForma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spans="1:16" s="18" customForma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spans="1:16" s="18" customForma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spans="1:16" s="18" customForma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spans="1:16" s="18" customForma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spans="1:16" s="18" customForma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spans="1:16" s="18" customForma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spans="1:16" s="18" customForma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spans="1:16" s="18" customForma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spans="1:16" s="18" customForma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spans="1:16" s="18" customForma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spans="1:16" s="18" customForma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spans="1:16" s="18" customForma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spans="1:16" s="18" customForma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spans="1:16" s="18" customForma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spans="1:16" s="18" customForma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spans="1:16" s="18" customForma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spans="1:16" s="18" customForma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spans="1:16" s="18" customForma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spans="1:16" s="18" customForma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spans="1:16" s="18" customForma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spans="1:16" s="18" customForma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spans="1:16" s="18" customForma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spans="1:16" s="18" customForma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spans="1:16" s="18" customForma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spans="1:16" s="18" customForma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spans="1:16" s="18" customForma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spans="1:16" s="18" customForma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spans="1:16" s="18" customForma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spans="1:16" s="18" customForma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spans="1:16" s="18" customForma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spans="1:16" s="18" customForma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s="18" customForma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spans="1:16" s="18" customForma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spans="1:16" s="18" customForma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spans="1:16" s="18" customForma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spans="1:16" s="18" customForma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spans="1:16" s="18" customForma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spans="1:16" s="18" customForma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spans="1:16" s="18" customForma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spans="1:16" s="18" customForma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spans="1:16" s="18" customForma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spans="1:16" s="18" customForma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spans="1:16" s="18" customForma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spans="1:16" s="18" customForma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spans="1:16" s="18" customForma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spans="1:16" s="18" customForma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spans="1:16" s="18" customForma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spans="1:16" s="18" customForma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spans="1:16" s="18" customForma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spans="1:16" s="18" customForma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spans="1:16" s="18" customForma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spans="1:16" s="18" customForma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spans="1:16" s="18" customForma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spans="1:16" s="18" customForma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spans="1:16" s="18" customForma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spans="1:16" s="18" customForma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spans="1:16" s="18" customForma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spans="1:16" s="18" customForma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spans="1:16" s="18" customForma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spans="1:16" s="18" customForma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spans="1:16" s="18" customForma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spans="1:16" s="18" customForma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spans="1:16" s="18" customForma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spans="1:16" s="18" customForma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spans="1:16" s="18" customForma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spans="1:16" s="18" customForma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spans="1:16" s="18" customForma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spans="1:16" s="18" customForma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spans="1:16" s="18" customForma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spans="1:16" s="18" customForma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spans="1:16" s="18" customForma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spans="1:16" s="18" customForma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spans="1:16" s="18" customForma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spans="1:16" s="18" customForma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spans="1:16" s="18" customForma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spans="1:16" s="18" customForma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spans="1:16" s="18" customForma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spans="1:16" s="18" customForma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spans="1:16" s="18" customForma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spans="1:16" s="18" customForma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spans="1:16" s="18" customForma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spans="1:16" s="18" customForma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spans="1:16" s="18" customForma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spans="1:16" s="18" customForma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spans="1:16" s="18" customForma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spans="1:16" s="18" customForma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spans="1:16" s="18" customForma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spans="1:16" s="18" customForma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spans="1:16" s="18" customForma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spans="1:16" s="18" customForma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spans="1:16" s="18" customForma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spans="1:16" s="18" customForma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spans="1:16" s="18" customForma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spans="1:16" s="18" customForma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spans="1:16" s="18" customForma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spans="1:16" s="18" customForma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spans="1:16" s="18" customForma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spans="1:16" s="18" customForma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spans="1:16" s="18" customForma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spans="1:16" s="18" customForma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spans="1:16" s="18" customForma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spans="1:16" s="18" customForma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spans="1:16" s="18" customForma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spans="1:16" s="18" customForma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spans="1:16" s="18" customForma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spans="1:16" s="18" customForma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spans="1:16" s="18" customForma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spans="1:16" s="18" customForma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spans="1:16" s="18" customForma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spans="1:16" s="18" customForma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spans="1:16" s="18" customForma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spans="1:16" s="18" customForma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spans="1:16" s="18" customForma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spans="1:16" s="18" customForma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spans="1:16" s="18" customForma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spans="1:16" s="18" customForma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spans="1:16" s="18" customForma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spans="1:16" s="18" customForma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spans="1:16" s="18" customForma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spans="1:16" s="18" customForma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spans="1:16" s="18" customForma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spans="1:16" s="18" customForma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spans="1:16" s="18" customForma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spans="1:16" s="18" customForma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spans="1:16" s="18" customForma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spans="1:16" s="18" customForma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spans="1:16" s="18" customForma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spans="1:16" s="18" customForma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spans="1:16" s="18" customForma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spans="1:16" s="18" customForma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spans="1:16" s="18" customForma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spans="1:16" s="18" customForma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spans="1:16" s="18" customForma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spans="1:16" s="18" customForma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spans="1:16" s="18" customForma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spans="1:16" s="18" customForma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spans="1:16" s="18" customForma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spans="1:16" s="18" customForma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spans="1:16" s="18" customForma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spans="1:16" s="18" customForma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spans="1:16" s="18" customForma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spans="1:16" s="18" customForma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spans="1:16" s="18" customForma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spans="1:16" s="18" customForma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spans="1:16" s="18" customForma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spans="1:16" s="18" customForma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spans="1:16" s="18" customForma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spans="1:16" s="18" customForma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spans="1:16" s="18" customForma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spans="1:16" s="18" customForma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spans="1:16" s="18" customForma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spans="1:16" s="18" customForma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spans="1:16" s="18" customForma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spans="1:16" s="18" customForma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spans="1:16" s="18" customForma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spans="1:16" s="18" customForma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spans="1:16" s="18" customForma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spans="1:16" s="18" customForma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spans="1:16" s="18" customForma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spans="1:16" s="18" customForma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spans="1:16" s="18" customForma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spans="1:16" s="18" customForma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spans="1:16" s="18" customForma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spans="1:16" s="18" customForma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spans="1:16" s="18" customForma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spans="1:16" s="18" customForma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spans="1:16" s="18" customForma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spans="1:16" s="18" customForma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spans="1:16" s="18" customForma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spans="1:16" s="18" customForma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spans="1:16" s="18" customForma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spans="1:16" s="18" customForma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spans="1:16" s="18" customForma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spans="1:16" s="18" customForma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spans="1:16" s="18" customForma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spans="1:16" s="18" customForma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spans="1:16" s="18" customForma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spans="1:16" s="18" customForma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spans="1:16" s="18" customForma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spans="1:16" s="18" customForma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spans="1:16" s="18" customForma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spans="1:16" s="18" customForma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spans="1:16" s="18" customForma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spans="1:16" s="18" customForma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spans="1:16" s="18" customForma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spans="1:16" s="18" customForma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spans="1:16" s="18" customForma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spans="1:16" s="18" customForma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spans="1:16" s="18" customForma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spans="1:16" s="18" customForma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spans="1:16" s="18" customForma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spans="1:16" s="18" customForma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spans="1:16" s="18" customForma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spans="1:16" s="18" customForma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spans="1:16" s="18" customForma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spans="1:16" s="18" customForma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spans="1:16" s="18" customForma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spans="1:16" s="18" customForma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spans="1:16" s="18" customForma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spans="1:16" s="18" customForma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spans="1:16" s="18" customForma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spans="1:16" s="18" customForma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spans="1:16" s="18" customForma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spans="1:16" s="18" customForma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spans="1:16" s="18" customForma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spans="1:16" s="18" customForma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spans="1:16" s="18" customForma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spans="1:16" s="18" customForma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spans="1:16" s="18" customForma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spans="1:16" s="18" customForma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spans="1:16" s="18" customForma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spans="1:16" s="18" customForma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spans="1:16" s="18" customForma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spans="1:16" s="18" customForma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spans="1:16" s="18" customForma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spans="1:16" s="18" customForma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spans="1:16" s="18" customForma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spans="1:16" s="18" customForma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spans="1:16" s="18" customForma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spans="1:16" s="18" customForma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spans="1:16" s="18" customForma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spans="1:16" s="18" customForma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spans="1:16" s="18" customForma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spans="1:16" s="18" customForma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spans="1:16" s="18" customForma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spans="1:16" s="18" customForma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spans="1:16" s="18" customForma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spans="1:16" s="18" customForma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spans="1:16" s="18" customForma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spans="1:16" s="18" customForma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spans="1:16" s="18" customForma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spans="1:16" s="18" customForma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spans="1:16" s="18" customForma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spans="1:16" s="18" customForma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spans="1:16" s="18" customForma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spans="1:16" s="18" customForma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spans="1:16" s="18" customForma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spans="1:16" s="18" customForma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spans="1:16" s="18" customForma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spans="1:16" s="18" customForma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spans="1:16" s="18" customForma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spans="1:16" s="18" customForma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s="18" customForma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spans="1:16" s="18" customForma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spans="1:16" s="18" customForma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spans="1:16" s="18" customForma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s="18" customForma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spans="1:16" s="18" customForma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spans="1:16" s="18" customForma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spans="1:16" s="18" customForma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spans="1:16" s="18" customForma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spans="1:16" s="18" customForma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spans="1:16" s="18" customForma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spans="1:16" s="18" customForma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spans="1:16" s="18" customForma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spans="1:16" s="18" customForma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spans="1:16" s="18" customForma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spans="1:16" s="18" customForma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spans="1:16" s="18" customForma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spans="1:16" s="18" customForma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spans="1:16" s="18" customForma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spans="1:16" s="18" customForma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spans="1:16" s="18" customForma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spans="1:16" s="18" customForma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spans="1:16" s="18" customForma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spans="1:16" s="18" customForma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spans="1:16" s="18" customForma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spans="1:16" s="18" customForma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spans="1:16" s="18" customForma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spans="1:16" s="18" customForma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spans="1:16" s="18" customForma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spans="1:16" s="18" customForma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s="18" customForma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spans="1:16" s="18" customForma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spans="1:16" s="18" customForma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spans="1:16" s="18" customForma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s="18" customForma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s="18" customForma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s="18" customForma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s="18" customForma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spans="1:16" s="18" customForma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spans="1:16" s="18" customForma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spans="1:16" s="18" customForma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spans="1:16" s="18" customForma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spans="1:16" s="18" customForma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  <row r="740" spans="1:16" s="18" customForma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</row>
    <row r="741" spans="1:16" s="18" customForma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</row>
    <row r="742" spans="1:16" s="18" customForma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</row>
    <row r="743" spans="1:16" s="18" customForma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</row>
    <row r="744" spans="1:16" s="18" customForma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</row>
    <row r="745" spans="1:16" s="18" customForma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</row>
    <row r="746" spans="1:16" s="18" customForma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spans="1:16" s="18" customForma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</row>
    <row r="748" spans="1:16" s="18" customForma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</row>
    <row r="749" spans="1:16" s="18" customForma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</row>
    <row r="750" spans="1:16" s="18" customForma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</row>
    <row r="751" spans="1:16" s="18" customForma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spans="1:16" s="18" customForma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</row>
    <row r="753" spans="1:16" s="18" customForma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</row>
    <row r="754" spans="1:16" s="18" customForma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</row>
    <row r="755" spans="1:16" s="18" customForma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</row>
    <row r="756" spans="1:16" s="18" customForma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</row>
    <row r="757" spans="1:16" s="18" customForma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</row>
    <row r="758" spans="1:16" s="18" customForma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</row>
    <row r="759" spans="1:16" s="18" customForma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</row>
    <row r="760" spans="1:16" s="18" customForma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</row>
    <row r="761" spans="1:16" s="18" customForma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</row>
    <row r="762" spans="1:16" s="18" customForma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</row>
    <row r="763" spans="1:16" s="18" customForma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</row>
    <row r="764" spans="1:16" s="18" customForma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</row>
    <row r="765" spans="1:16" s="18" customForma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</row>
    <row r="766" spans="1:16" s="18" customForma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</row>
    <row r="767" spans="1:16" s="18" customForma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</row>
    <row r="768" spans="1:16" s="18" customForma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</row>
    <row r="769" spans="1:16" s="18" customForma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</row>
    <row r="770" spans="1:16" s="18" customForma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</row>
    <row r="771" spans="1:16" s="18" customForma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s="18" customForma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s="18" customForma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s="18" customForma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s="18" customForma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</row>
    <row r="776" spans="1:16" s="18" customForma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spans="1:16" s="18" customForma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</row>
    <row r="778" spans="1:16" s="18" customForma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</row>
    <row r="779" spans="1:16" s="18" customForma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</row>
    <row r="780" spans="1:16" s="18" customForma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</row>
    <row r="781" spans="1:16" s="18" customForma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spans="1:16" s="18" customForma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</row>
    <row r="783" spans="1:16" s="18" customForma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</row>
    <row r="784" spans="1:16" s="18" customForma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</row>
    <row r="785" spans="1:16" s="18" customForma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</row>
    <row r="786" spans="1:16" s="18" customForma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</row>
    <row r="787" spans="1:16" s="18" customForma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</row>
    <row r="788" spans="1:16" s="18" customForma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</row>
    <row r="789" spans="1:16" s="18" customForma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</row>
    <row r="790" spans="1:16" s="18" customForma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</row>
    <row r="791" spans="1:16" s="18" customForma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</row>
    <row r="792" spans="1:16" s="18" customForma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</row>
    <row r="793" spans="1:16" s="18" customForma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</row>
    <row r="794" spans="1:16" s="18" customForma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</row>
    <row r="795" spans="1:16" s="18" customForma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</row>
    <row r="796" spans="1:16" s="18" customForma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spans="1:16" s="18" customForma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</row>
    <row r="798" spans="1:16" s="18" customForma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</row>
    <row r="799" spans="1:16" s="18" customForma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</row>
    <row r="800" spans="1:16" s="18" customForma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</row>
    <row r="801" spans="1:16" s="18" customForma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</row>
    <row r="802" spans="1:16" s="18" customForma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spans="1:16" s="18" customForma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</row>
    <row r="804" spans="1:16" s="18" customForma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</row>
    <row r="805" spans="1:16" s="18" customForma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</row>
    <row r="806" spans="1:16" s="18" customForma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</row>
    <row r="807" spans="1:16" s="18" customForma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</row>
    <row r="808" spans="1:16" s="18" customForma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</row>
    <row r="809" spans="1:16" s="18" customForma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</row>
    <row r="810" spans="1:16" s="18" customForma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</row>
    <row r="811" spans="1:16" s="18" customForma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</row>
    <row r="812" spans="1:16" s="18" customForma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</row>
    <row r="813" spans="1:16" s="18" customForma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</row>
    <row r="814" spans="1:16" s="18" customForma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</row>
    <row r="815" spans="1:16" s="18" customForma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</row>
    <row r="816" spans="1:16" s="18" customForma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</row>
    <row r="817" spans="1:16" s="18" customForma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</row>
    <row r="818" spans="1:16" s="18" customForma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</row>
    <row r="819" spans="1:16" s="18" customForma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</row>
    <row r="820" spans="1:16" s="18" customForma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</row>
    <row r="821" spans="1:16" s="18" customForma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</row>
    <row r="822" spans="1:16" s="18" customForma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</row>
    <row r="823" spans="1:16" s="18" customForma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</row>
    <row r="824" spans="1:16" s="18" customForma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</row>
    <row r="825" spans="1:16" s="18" customForma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</row>
    <row r="826" spans="1:16" s="18" customForma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</row>
    <row r="827" spans="1:16" s="18" customForma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</row>
    <row r="828" spans="1:16" s="18" customForma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</row>
    <row r="829" spans="1:16" s="18" customForma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</row>
    <row r="830" spans="1:16" s="18" customForma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</row>
  </sheetData>
  <autoFilter ref="A3:M23" xr:uid="{00000000-0009-0000-0000-000000000000}"/>
  <phoneticPr fontId="1" type="noConversion"/>
  <printOptions horizontalCentered="1"/>
  <pageMargins left="0.15748031496062992" right="0.15748031496062992" top="0.39370078740157483" bottom="0.39370078740157483" header="0.59055118110236227" footer="0.31496062992125984"/>
  <pageSetup paperSize="9" scale="85" orientation="landscape" r:id="rId1"/>
  <headerFooter alignWithMargins="0">
    <oddHeader>&amp;R附件2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10月</vt:lpstr>
      <vt:lpstr>11月</vt:lpstr>
      <vt:lpstr>12月</vt:lpstr>
      <vt:lpstr>'10月'!Print_Titles</vt:lpstr>
      <vt:lpstr>'11月'!Print_Titles</vt:lpstr>
      <vt:lpstr>'12月'!Print_Titles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Hsueh, Shane S.P. (TW/361A00)</cp:lastModifiedBy>
  <dcterms:created xsi:type="dcterms:W3CDTF">2024-04-19T07:29:55Z</dcterms:created>
  <dcterms:modified xsi:type="dcterms:W3CDTF">2026-03-13T05:54:06Z</dcterms:modified>
</cp:coreProperties>
</file>