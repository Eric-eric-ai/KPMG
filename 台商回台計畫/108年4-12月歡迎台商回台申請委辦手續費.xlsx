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anehsueh\Desktop\政策性貸款融資後查核\歡迎台商回台申請委辦手續費\"/>
    </mc:Choice>
  </mc:AlternateContent>
  <xr:revisionPtr revIDLastSave="0" documentId="13_ncr:1_{434E0FA8-5C1A-44BC-B712-A33EE683E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月" sheetId="1" r:id="rId1"/>
    <sheet name="5月" sheetId="2" r:id="rId2"/>
    <sheet name="6月" sheetId="3" r:id="rId3"/>
    <sheet name="7月" sheetId="4" r:id="rId4"/>
    <sheet name="8月" sheetId="5" r:id="rId5"/>
    <sheet name="9月" sheetId="6" r:id="rId6"/>
    <sheet name="10月" sheetId="7" r:id="rId7"/>
    <sheet name="11月" sheetId="8" r:id="rId8"/>
    <sheet name="12月" sheetId="9" r:id="rId9"/>
  </sheets>
  <definedNames>
    <definedName name="_xlnm._FilterDatabase" localSheetId="6" hidden="1">'10月'!$A$3:$M$414</definedName>
    <definedName name="_xlnm._FilterDatabase" localSheetId="7" hidden="1">'11月'!$A$3:$M$542</definedName>
    <definedName name="_xlnm._FilterDatabase" localSheetId="8" hidden="1">'12月'!$A$3:$M$703</definedName>
    <definedName name="_xlnm._FilterDatabase" localSheetId="0" hidden="1">'4月'!$A$3:$M$3</definedName>
    <definedName name="_xlnm._FilterDatabase" localSheetId="1" hidden="1">'5月'!$A$3:$M$16</definedName>
    <definedName name="_xlnm._FilterDatabase" localSheetId="2" hidden="1">'6月'!$A$3:$M$45</definedName>
    <definedName name="_xlnm._FilterDatabase" localSheetId="3" hidden="1">'7月'!$A$3:$M$113</definedName>
    <definedName name="_xlnm._FilterDatabase" localSheetId="4" hidden="1">'8月'!$A$3:$M$180</definedName>
    <definedName name="_xlnm._FilterDatabase" localSheetId="5" hidden="1">'9月'!$A$3:$M$284</definedName>
    <definedName name="_xlnm.Print_Area" localSheetId="6">'10月'!$A$1:$M$419</definedName>
    <definedName name="_xlnm.Print_Area" localSheetId="1">'5月'!$A$1:$M$21</definedName>
    <definedName name="_xlnm.Print_Area" localSheetId="2">'6月'!$A$1:$M$50</definedName>
    <definedName name="_xlnm.Print_Area" localSheetId="3">'7月'!$A$1:$M$118</definedName>
    <definedName name="_xlnm.Print_Titles" localSheetId="6">'10月'!$1:$3</definedName>
    <definedName name="_xlnm.Print_Titles" localSheetId="7">'11月'!$1:$3</definedName>
    <definedName name="_xlnm.Print_Titles" localSheetId="8">'12月'!$1:$3</definedName>
    <definedName name="_xlnm.Print_Titles" localSheetId="0">'4月'!$1:$3</definedName>
    <definedName name="_xlnm.Print_Titles" localSheetId="1">'5月'!$1:$3</definedName>
    <definedName name="_xlnm.Print_Titles" localSheetId="2">'6月'!$1:$3</definedName>
    <definedName name="_xlnm.Print_Titles" localSheetId="3">'7月'!$1:$3</definedName>
    <definedName name="_xlnm.Print_Titles" localSheetId="4">'8月'!$1:$3</definedName>
    <definedName name="_xlnm.Print_Titles" localSheetId="5">'9月'!$1:$3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9" l="1"/>
  <c r="L4" i="9" s="1"/>
  <c r="K5" i="9"/>
  <c r="L5" i="9" s="1"/>
  <c r="K6" i="9"/>
  <c r="L6" i="9" s="1"/>
  <c r="K7" i="9"/>
  <c r="L7" i="9" s="1"/>
  <c r="K8" i="9"/>
  <c r="L8" i="9"/>
  <c r="K9" i="9"/>
  <c r="L9" i="9" s="1"/>
  <c r="K10" i="9"/>
  <c r="L10" i="9" s="1"/>
  <c r="K11" i="9"/>
  <c r="L11" i="9" s="1"/>
  <c r="K12" i="9"/>
  <c r="L12" i="9"/>
  <c r="K13" i="9"/>
  <c r="L13" i="9" s="1"/>
  <c r="K14" i="9"/>
  <c r="L14" i="9" s="1"/>
  <c r="K15" i="9"/>
  <c r="L15" i="9" s="1"/>
  <c r="K16" i="9"/>
  <c r="L16" i="9"/>
  <c r="K17" i="9"/>
  <c r="L17" i="9" s="1"/>
  <c r="K18" i="9"/>
  <c r="L18" i="9" s="1"/>
  <c r="K19" i="9"/>
  <c r="L19" i="9" s="1"/>
  <c r="K20" i="9"/>
  <c r="L20" i="9"/>
  <c r="K21" i="9"/>
  <c r="L21" i="9" s="1"/>
  <c r="K22" i="9"/>
  <c r="L22" i="9" s="1"/>
  <c r="K23" i="9"/>
  <c r="L23" i="9" s="1"/>
  <c r="K24" i="9"/>
  <c r="L24" i="9"/>
  <c r="K25" i="9"/>
  <c r="L25" i="9" s="1"/>
  <c r="K26" i="9"/>
  <c r="L26" i="9" s="1"/>
  <c r="K27" i="9"/>
  <c r="L27" i="9" s="1"/>
  <c r="K28" i="9"/>
  <c r="L28" i="9"/>
  <c r="K29" i="9"/>
  <c r="L29" i="9" s="1"/>
  <c r="K30" i="9"/>
  <c r="L30" i="9" s="1"/>
  <c r="K31" i="9"/>
  <c r="L31" i="9" s="1"/>
  <c r="K32" i="9"/>
  <c r="L32" i="9"/>
  <c r="K33" i="9"/>
  <c r="L33" i="9" s="1"/>
  <c r="K34" i="9"/>
  <c r="L34" i="9" s="1"/>
  <c r="K35" i="9"/>
  <c r="L35" i="9" s="1"/>
  <c r="K36" i="9"/>
  <c r="L36" i="9"/>
  <c r="K37" i="9"/>
  <c r="L37" i="9" s="1"/>
  <c r="K38" i="9"/>
  <c r="L38" i="9" s="1"/>
  <c r="K39" i="9"/>
  <c r="L39" i="9" s="1"/>
  <c r="K40" i="9"/>
  <c r="L40" i="9"/>
  <c r="K41" i="9"/>
  <c r="L41" i="9" s="1"/>
  <c r="K42" i="9"/>
  <c r="L42" i="9" s="1"/>
  <c r="K43" i="9"/>
  <c r="L43" i="9" s="1"/>
  <c r="K44" i="9"/>
  <c r="L44" i="9"/>
  <c r="K45" i="9"/>
  <c r="L45" i="9" s="1"/>
  <c r="K46" i="9"/>
  <c r="L46" i="9" s="1"/>
  <c r="K47" i="9"/>
  <c r="L47" i="9" s="1"/>
  <c r="K48" i="9"/>
  <c r="L48" i="9"/>
  <c r="K49" i="9"/>
  <c r="L49" i="9" s="1"/>
  <c r="K50" i="9"/>
  <c r="L50" i="9" s="1"/>
  <c r="K51" i="9"/>
  <c r="L51" i="9" s="1"/>
  <c r="K52" i="9"/>
  <c r="L52" i="9"/>
  <c r="K53" i="9"/>
  <c r="L53" i="9" s="1"/>
  <c r="K54" i="9"/>
  <c r="L54" i="9" s="1"/>
  <c r="K55" i="9"/>
  <c r="L55" i="9" s="1"/>
  <c r="K56" i="9"/>
  <c r="L56" i="9"/>
  <c r="K57" i="9"/>
  <c r="L57" i="9" s="1"/>
  <c r="K58" i="9"/>
  <c r="L58" i="9" s="1"/>
  <c r="K59" i="9"/>
  <c r="L59" i="9" s="1"/>
  <c r="K60" i="9"/>
  <c r="L60" i="9"/>
  <c r="K61" i="9"/>
  <c r="L61" i="9" s="1"/>
  <c r="K62" i="9"/>
  <c r="L62" i="9" s="1"/>
  <c r="K63" i="9"/>
  <c r="L63" i="9" s="1"/>
  <c r="K64" i="9"/>
  <c r="L64" i="9"/>
  <c r="E65" i="9"/>
  <c r="M65" i="9"/>
  <c r="K66" i="9"/>
  <c r="L66" i="9"/>
  <c r="K67" i="9"/>
  <c r="L67" i="9" s="1"/>
  <c r="K68" i="9"/>
  <c r="L68" i="9" s="1"/>
  <c r="K69" i="9"/>
  <c r="L69" i="9"/>
  <c r="K70" i="9"/>
  <c r="L70" i="9"/>
  <c r="K71" i="9"/>
  <c r="L71" i="9" s="1"/>
  <c r="K72" i="9"/>
  <c r="L72" i="9" s="1"/>
  <c r="K73" i="9"/>
  <c r="L73" i="9"/>
  <c r="K74" i="9"/>
  <c r="L74" i="9"/>
  <c r="K75" i="9"/>
  <c r="L75" i="9" s="1"/>
  <c r="K76" i="9"/>
  <c r="L76" i="9" s="1"/>
  <c r="K77" i="9"/>
  <c r="L77" i="9"/>
  <c r="K78" i="9"/>
  <c r="L78" i="9"/>
  <c r="K79" i="9"/>
  <c r="L79" i="9" s="1"/>
  <c r="K80" i="9"/>
  <c r="L80" i="9" s="1"/>
  <c r="E81" i="9"/>
  <c r="M81" i="9"/>
  <c r="K82" i="9"/>
  <c r="L82" i="9" s="1"/>
  <c r="K83" i="9"/>
  <c r="L83" i="9"/>
  <c r="K84" i="9"/>
  <c r="L84" i="9" s="1"/>
  <c r="K85" i="9"/>
  <c r="L85" i="9" s="1"/>
  <c r="K86" i="9"/>
  <c r="L86" i="9" s="1"/>
  <c r="K87" i="9"/>
  <c r="L87" i="9"/>
  <c r="K88" i="9"/>
  <c r="L88" i="9" s="1"/>
  <c r="K89" i="9"/>
  <c r="L89" i="9" s="1"/>
  <c r="K90" i="9"/>
  <c r="L90" i="9" s="1"/>
  <c r="K91" i="9"/>
  <c r="L91" i="9"/>
  <c r="K92" i="9"/>
  <c r="L92" i="9" s="1"/>
  <c r="K93" i="9"/>
  <c r="L93" i="9" s="1"/>
  <c r="K94" i="9"/>
  <c r="L94" i="9" s="1"/>
  <c r="K95" i="9"/>
  <c r="L95" i="9"/>
  <c r="K96" i="9"/>
  <c r="L96" i="9" s="1"/>
  <c r="K97" i="9"/>
  <c r="L97" i="9" s="1"/>
  <c r="K98" i="9"/>
  <c r="L98" i="9" s="1"/>
  <c r="K99" i="9"/>
  <c r="L99" i="9"/>
  <c r="E100" i="9"/>
  <c r="M100" i="9"/>
  <c r="K101" i="9"/>
  <c r="L101" i="9"/>
  <c r="K102" i="9"/>
  <c r="L102" i="9" s="1"/>
  <c r="K103" i="9"/>
  <c r="L103" i="9" s="1"/>
  <c r="K104" i="9"/>
  <c r="L104" i="9"/>
  <c r="K105" i="9"/>
  <c r="L105" i="9"/>
  <c r="K106" i="9"/>
  <c r="L106" i="9" s="1"/>
  <c r="K107" i="9"/>
  <c r="L107" i="9" s="1"/>
  <c r="K108" i="9"/>
  <c r="L108" i="9"/>
  <c r="K109" i="9"/>
  <c r="L109" i="9"/>
  <c r="K110" i="9"/>
  <c r="L110" i="9" s="1"/>
  <c r="K111" i="9"/>
  <c r="L111" i="9" s="1"/>
  <c r="K112" i="9"/>
  <c r="L112" i="9"/>
  <c r="K113" i="9"/>
  <c r="L113" i="9"/>
  <c r="K114" i="9"/>
  <c r="L114" i="9" s="1"/>
  <c r="K115" i="9"/>
  <c r="L115" i="9" s="1"/>
  <c r="K116" i="9"/>
  <c r="L116" i="9"/>
  <c r="K117" i="9"/>
  <c r="L117" i="9"/>
  <c r="K118" i="9"/>
  <c r="L118" i="9" s="1"/>
  <c r="K119" i="9"/>
  <c r="L119" i="9" s="1"/>
  <c r="K120" i="9"/>
  <c r="L120" i="9"/>
  <c r="K121" i="9"/>
  <c r="L121" i="9"/>
  <c r="K122" i="9"/>
  <c r="L122" i="9" s="1"/>
  <c r="K123" i="9"/>
  <c r="L123" i="9" s="1"/>
  <c r="K124" i="9"/>
  <c r="L124" i="9"/>
  <c r="K125" i="9"/>
  <c r="L125" i="9"/>
  <c r="K126" i="9"/>
  <c r="L126" i="9" s="1"/>
  <c r="K127" i="9"/>
  <c r="L127" i="9" s="1"/>
  <c r="K128" i="9"/>
  <c r="L128" i="9"/>
  <c r="K129" i="9"/>
  <c r="L129" i="9"/>
  <c r="K130" i="9"/>
  <c r="L130" i="9" s="1"/>
  <c r="K131" i="9"/>
  <c r="L131" i="9" s="1"/>
  <c r="K132" i="9"/>
  <c r="L132" i="9"/>
  <c r="K133" i="9"/>
  <c r="L133" i="9"/>
  <c r="K134" i="9"/>
  <c r="L134" i="9" s="1"/>
  <c r="K135" i="9"/>
  <c r="L135" i="9" s="1"/>
  <c r="K136" i="9"/>
  <c r="L136" i="9"/>
  <c r="K137" i="9"/>
  <c r="L137" i="9"/>
  <c r="K138" i="9"/>
  <c r="L138" i="9" s="1"/>
  <c r="K139" i="9"/>
  <c r="L139" i="9" s="1"/>
  <c r="K140" i="9"/>
  <c r="L140" i="9"/>
  <c r="K141" i="9"/>
  <c r="L141" i="9"/>
  <c r="K142" i="9"/>
  <c r="L142" i="9" s="1"/>
  <c r="K143" i="9"/>
  <c r="L143" i="9" s="1"/>
  <c r="K144" i="9"/>
  <c r="L144" i="9"/>
  <c r="K145" i="9"/>
  <c r="L145" i="9"/>
  <c r="K146" i="9"/>
  <c r="L146" i="9" s="1"/>
  <c r="K147" i="9"/>
  <c r="L147" i="9" s="1"/>
  <c r="K148" i="9"/>
  <c r="L148" i="9"/>
  <c r="K149" i="9"/>
  <c r="L149" i="9"/>
  <c r="E150" i="9"/>
  <c r="M150" i="9"/>
  <c r="K151" i="9"/>
  <c r="L151" i="9" s="1"/>
  <c r="K152" i="9"/>
  <c r="L152" i="9" s="1"/>
  <c r="K153" i="9"/>
  <c r="L153" i="9" s="1"/>
  <c r="K154" i="9"/>
  <c r="L154" i="9"/>
  <c r="K155" i="9"/>
  <c r="L155" i="9" s="1"/>
  <c r="K156" i="9"/>
  <c r="L156" i="9" s="1"/>
  <c r="K157" i="9"/>
  <c r="L157" i="9" s="1"/>
  <c r="K158" i="9"/>
  <c r="L158" i="9"/>
  <c r="K159" i="9"/>
  <c r="L159" i="9" s="1"/>
  <c r="K160" i="9"/>
  <c r="L160" i="9" s="1"/>
  <c r="K161" i="9"/>
  <c r="L161" i="9" s="1"/>
  <c r="K162" i="9"/>
  <c r="L162" i="9"/>
  <c r="K163" i="9"/>
  <c r="L163" i="9" s="1"/>
  <c r="K164" i="9"/>
  <c r="L164" i="9" s="1"/>
  <c r="K165" i="9"/>
  <c r="L165" i="9" s="1"/>
  <c r="K166" i="9"/>
  <c r="L166" i="9"/>
  <c r="K167" i="9"/>
  <c r="L167" i="9" s="1"/>
  <c r="K168" i="9"/>
  <c r="L168" i="9" s="1"/>
  <c r="E169" i="9"/>
  <c r="M169" i="9"/>
  <c r="K170" i="9"/>
  <c r="L170" i="9" s="1"/>
  <c r="L216" i="9" s="1"/>
  <c r="K171" i="9"/>
  <c r="L171" i="9"/>
  <c r="K172" i="9"/>
  <c r="L172" i="9"/>
  <c r="K173" i="9"/>
  <c r="L173" i="9" s="1"/>
  <c r="K174" i="9"/>
  <c r="L174" i="9" s="1"/>
  <c r="K175" i="9"/>
  <c r="L175" i="9"/>
  <c r="K176" i="9"/>
  <c r="L176" i="9"/>
  <c r="K177" i="9"/>
  <c r="L177" i="9" s="1"/>
  <c r="K178" i="9"/>
  <c r="L178" i="9" s="1"/>
  <c r="K179" i="9"/>
  <c r="L179" i="9"/>
  <c r="K180" i="9"/>
  <c r="L180" i="9"/>
  <c r="K181" i="9"/>
  <c r="L181" i="9" s="1"/>
  <c r="K182" i="9"/>
  <c r="L182" i="9" s="1"/>
  <c r="K183" i="9"/>
  <c r="L183" i="9"/>
  <c r="K184" i="9"/>
  <c r="L184" i="9"/>
  <c r="K185" i="9"/>
  <c r="L185" i="9" s="1"/>
  <c r="K186" i="9"/>
  <c r="L186" i="9" s="1"/>
  <c r="K187" i="9"/>
  <c r="L187" i="9"/>
  <c r="K188" i="9"/>
  <c r="L188" i="9"/>
  <c r="K189" i="9"/>
  <c r="L189" i="9" s="1"/>
  <c r="K190" i="9"/>
  <c r="L190" i="9" s="1"/>
  <c r="K191" i="9"/>
  <c r="L191" i="9"/>
  <c r="K192" i="9"/>
  <c r="L192" i="9"/>
  <c r="K193" i="9"/>
  <c r="L193" i="9" s="1"/>
  <c r="K194" i="9"/>
  <c r="L194" i="9" s="1"/>
  <c r="K195" i="9"/>
  <c r="L195" i="9"/>
  <c r="K196" i="9"/>
  <c r="L196" i="9"/>
  <c r="K197" i="9"/>
  <c r="L197" i="9" s="1"/>
  <c r="K198" i="9"/>
  <c r="L198" i="9" s="1"/>
  <c r="K199" i="9"/>
  <c r="L199" i="9"/>
  <c r="K200" i="9"/>
  <c r="L200" i="9"/>
  <c r="K201" i="9"/>
  <c r="L201" i="9" s="1"/>
  <c r="K202" i="9"/>
  <c r="L202" i="9" s="1"/>
  <c r="K203" i="9"/>
  <c r="L203" i="9"/>
  <c r="K204" i="9"/>
  <c r="L204" i="9"/>
  <c r="K205" i="9"/>
  <c r="L205" i="9" s="1"/>
  <c r="K206" i="9"/>
  <c r="L206" i="9" s="1"/>
  <c r="K207" i="9"/>
  <c r="L207" i="9"/>
  <c r="K208" i="9"/>
  <c r="L208" i="9"/>
  <c r="K209" i="9"/>
  <c r="L209" i="9" s="1"/>
  <c r="K210" i="9"/>
  <c r="L210" i="9" s="1"/>
  <c r="K211" i="9"/>
  <c r="L211" i="9"/>
  <c r="K212" i="9"/>
  <c r="L212" i="9"/>
  <c r="K213" i="9"/>
  <c r="L213" i="9" s="1"/>
  <c r="K214" i="9"/>
  <c r="L214" i="9" s="1"/>
  <c r="K215" i="9"/>
  <c r="L215" i="9"/>
  <c r="E216" i="9"/>
  <c r="M216" i="9"/>
  <c r="K217" i="9"/>
  <c r="L217" i="9"/>
  <c r="K218" i="9"/>
  <c r="L218" i="9" s="1"/>
  <c r="K219" i="9"/>
  <c r="L219" i="9" s="1"/>
  <c r="K220" i="9"/>
  <c r="L220" i="9" s="1"/>
  <c r="K221" i="9"/>
  <c r="L221" i="9"/>
  <c r="K222" i="9"/>
  <c r="L222" i="9" s="1"/>
  <c r="K223" i="9"/>
  <c r="L223" i="9" s="1"/>
  <c r="K224" i="9"/>
  <c r="L224" i="9" s="1"/>
  <c r="K225" i="9"/>
  <c r="L225" i="9"/>
  <c r="K226" i="9"/>
  <c r="L226" i="9" s="1"/>
  <c r="K227" i="9"/>
  <c r="L227" i="9" s="1"/>
  <c r="K228" i="9"/>
  <c r="L228" i="9" s="1"/>
  <c r="K229" i="9"/>
  <c r="L229" i="9"/>
  <c r="K230" i="9"/>
  <c r="L230" i="9" s="1"/>
  <c r="K231" i="9"/>
  <c r="L231" i="9" s="1"/>
  <c r="K232" i="9"/>
  <c r="L232" i="9" s="1"/>
  <c r="K233" i="9"/>
  <c r="L233" i="9"/>
  <c r="K234" i="9"/>
  <c r="L234" i="9" s="1"/>
  <c r="K235" i="9"/>
  <c r="L235" i="9" s="1"/>
  <c r="K236" i="9"/>
  <c r="L236" i="9" s="1"/>
  <c r="K237" i="9"/>
  <c r="L237" i="9"/>
  <c r="K238" i="9"/>
  <c r="L238" i="9" s="1"/>
  <c r="E239" i="9"/>
  <c r="M239" i="9"/>
  <c r="K240" i="9"/>
  <c r="L240" i="9" s="1"/>
  <c r="K241" i="9"/>
  <c r="L241" i="9" s="1"/>
  <c r="K242" i="9"/>
  <c r="L242" i="9"/>
  <c r="K243" i="9"/>
  <c r="L243" i="9"/>
  <c r="K244" i="9"/>
  <c r="L244" i="9" s="1"/>
  <c r="K245" i="9"/>
  <c r="L245" i="9" s="1"/>
  <c r="K246" i="9"/>
  <c r="L246" i="9"/>
  <c r="K247" i="9"/>
  <c r="L247" i="9"/>
  <c r="K248" i="9"/>
  <c r="L248" i="9" s="1"/>
  <c r="K249" i="9"/>
  <c r="L249" i="9" s="1"/>
  <c r="K250" i="9"/>
  <c r="L250" i="9"/>
  <c r="K251" i="9"/>
  <c r="L251" i="9"/>
  <c r="K252" i="9"/>
  <c r="L252" i="9" s="1"/>
  <c r="K253" i="9"/>
  <c r="L253" i="9" s="1"/>
  <c r="K254" i="9"/>
  <c r="L254" i="9"/>
  <c r="K255" i="9"/>
  <c r="L255" i="9"/>
  <c r="K256" i="9"/>
  <c r="L256" i="9" s="1"/>
  <c r="K257" i="9"/>
  <c r="L257" i="9" s="1"/>
  <c r="K258" i="9"/>
  <c r="L258" i="9"/>
  <c r="K259" i="9"/>
  <c r="L259" i="9"/>
  <c r="K260" i="9"/>
  <c r="L260" i="9" s="1"/>
  <c r="K261" i="9"/>
  <c r="L261" i="9" s="1"/>
  <c r="K262" i="9"/>
  <c r="L262" i="9"/>
  <c r="K263" i="9"/>
  <c r="L263" i="9"/>
  <c r="K264" i="9"/>
  <c r="L264" i="9" s="1"/>
  <c r="E265" i="9"/>
  <c r="M265" i="9"/>
  <c r="K266" i="9"/>
  <c r="L266" i="9" s="1"/>
  <c r="L268" i="9" s="1"/>
  <c r="K267" i="9"/>
  <c r="L267" i="9" s="1"/>
  <c r="E268" i="9"/>
  <c r="M268" i="9"/>
  <c r="K269" i="9"/>
  <c r="L269" i="9"/>
  <c r="E270" i="9"/>
  <c r="L270" i="9"/>
  <c r="M270" i="9"/>
  <c r="K271" i="9"/>
  <c r="L271" i="9"/>
  <c r="K272" i="9"/>
  <c r="L272" i="9" s="1"/>
  <c r="K273" i="9"/>
  <c r="L273" i="9" s="1"/>
  <c r="K274" i="9"/>
  <c r="L274" i="9" s="1"/>
  <c r="K275" i="9"/>
  <c r="L275" i="9"/>
  <c r="K276" i="9"/>
  <c r="L276" i="9" s="1"/>
  <c r="K277" i="9"/>
  <c r="L277" i="9" s="1"/>
  <c r="K278" i="9"/>
  <c r="L278" i="9" s="1"/>
  <c r="K279" i="9"/>
  <c r="L279" i="9"/>
  <c r="K280" i="9"/>
  <c r="L280" i="9" s="1"/>
  <c r="K281" i="9"/>
  <c r="L281" i="9" s="1"/>
  <c r="K282" i="9"/>
  <c r="L282" i="9" s="1"/>
  <c r="K283" i="9"/>
  <c r="L283" i="9"/>
  <c r="K284" i="9"/>
  <c r="L284" i="9" s="1"/>
  <c r="K285" i="9"/>
  <c r="L285" i="9" s="1"/>
  <c r="K286" i="9"/>
  <c r="L286" i="9" s="1"/>
  <c r="K287" i="9"/>
  <c r="L287" i="9"/>
  <c r="K288" i="9"/>
  <c r="L288" i="9" s="1"/>
  <c r="K289" i="9"/>
  <c r="L289" i="9" s="1"/>
  <c r="K290" i="9"/>
  <c r="L290" i="9" s="1"/>
  <c r="K291" i="9"/>
  <c r="L291" i="9"/>
  <c r="K292" i="9"/>
  <c r="L292" i="9" s="1"/>
  <c r="K293" i="9"/>
  <c r="L293" i="9" s="1"/>
  <c r="K294" i="9"/>
  <c r="L294" i="9" s="1"/>
  <c r="K295" i="9"/>
  <c r="L295" i="9"/>
  <c r="K296" i="9"/>
  <c r="L296" i="9" s="1"/>
  <c r="K297" i="9"/>
  <c r="L297" i="9" s="1"/>
  <c r="K298" i="9"/>
  <c r="L298" i="9" s="1"/>
  <c r="K299" i="9"/>
  <c r="L299" i="9"/>
  <c r="K300" i="9"/>
  <c r="L300" i="9" s="1"/>
  <c r="K301" i="9"/>
  <c r="L301" i="9" s="1"/>
  <c r="K302" i="9"/>
  <c r="L302" i="9" s="1"/>
  <c r="K303" i="9"/>
  <c r="L303" i="9"/>
  <c r="K304" i="9"/>
  <c r="L304" i="9" s="1"/>
  <c r="K305" i="9"/>
  <c r="L305" i="9" s="1"/>
  <c r="K306" i="9"/>
  <c r="L306" i="9" s="1"/>
  <c r="K307" i="9"/>
  <c r="L307" i="9"/>
  <c r="K308" i="9"/>
  <c r="L308" i="9" s="1"/>
  <c r="K309" i="9"/>
  <c r="L309" i="9" s="1"/>
  <c r="K310" i="9"/>
  <c r="L310" i="9" s="1"/>
  <c r="K311" i="9"/>
  <c r="L311" i="9"/>
  <c r="K312" i="9"/>
  <c r="L312" i="9" s="1"/>
  <c r="K313" i="9"/>
  <c r="L313" i="9" s="1"/>
  <c r="K314" i="9"/>
  <c r="L314" i="9" s="1"/>
  <c r="K315" i="9"/>
  <c r="L315" i="9"/>
  <c r="K316" i="9"/>
  <c r="L316" i="9" s="1"/>
  <c r="K317" i="9"/>
  <c r="L317" i="9" s="1"/>
  <c r="E318" i="9"/>
  <c r="M318" i="9"/>
  <c r="K319" i="9"/>
  <c r="L319" i="9" s="1"/>
  <c r="K320" i="9"/>
  <c r="L320" i="9"/>
  <c r="K321" i="9"/>
  <c r="L321" i="9"/>
  <c r="K322" i="9"/>
  <c r="L322" i="9" s="1"/>
  <c r="K323" i="9"/>
  <c r="L323" i="9" s="1"/>
  <c r="K324" i="9"/>
  <c r="L324" i="9"/>
  <c r="K325" i="9"/>
  <c r="L325" i="9"/>
  <c r="K326" i="9"/>
  <c r="L326" i="9" s="1"/>
  <c r="K327" i="9"/>
  <c r="L327" i="9" s="1"/>
  <c r="K328" i="9"/>
  <c r="L328" i="9"/>
  <c r="K329" i="9"/>
  <c r="L329" i="9"/>
  <c r="K330" i="9"/>
  <c r="L330" i="9" s="1"/>
  <c r="K331" i="9"/>
  <c r="L331" i="9" s="1"/>
  <c r="K332" i="9"/>
  <c r="L332" i="9"/>
  <c r="K333" i="9"/>
  <c r="L333" i="9"/>
  <c r="K334" i="9"/>
  <c r="L334" i="9" s="1"/>
  <c r="K335" i="9"/>
  <c r="L335" i="9" s="1"/>
  <c r="K336" i="9"/>
  <c r="L336" i="9"/>
  <c r="K337" i="9"/>
  <c r="L337" i="9"/>
  <c r="K338" i="9"/>
  <c r="L338" i="9" s="1"/>
  <c r="K339" i="9"/>
  <c r="L339" i="9" s="1"/>
  <c r="K340" i="9"/>
  <c r="L340" i="9"/>
  <c r="K341" i="9"/>
  <c r="L341" i="9"/>
  <c r="K342" i="9"/>
  <c r="L342" i="9" s="1"/>
  <c r="K343" i="9"/>
  <c r="L343" i="9" s="1"/>
  <c r="E344" i="9"/>
  <c r="M344" i="9"/>
  <c r="K345" i="9"/>
  <c r="L345" i="9" s="1"/>
  <c r="K346" i="9"/>
  <c r="L346" i="9"/>
  <c r="K347" i="9"/>
  <c r="L347" i="9" s="1"/>
  <c r="K348" i="9"/>
  <c r="L348" i="9" s="1"/>
  <c r="K349" i="9"/>
  <c r="L349" i="9" s="1"/>
  <c r="K350" i="9"/>
  <c r="L350" i="9"/>
  <c r="K351" i="9"/>
  <c r="L351" i="9" s="1"/>
  <c r="K352" i="9"/>
  <c r="L352" i="9" s="1"/>
  <c r="K353" i="9"/>
  <c r="L353" i="9" s="1"/>
  <c r="K354" i="9"/>
  <c r="L354" i="9"/>
  <c r="K355" i="9"/>
  <c r="L355" i="9" s="1"/>
  <c r="K356" i="9"/>
  <c r="L356" i="9" s="1"/>
  <c r="K357" i="9"/>
  <c r="L357" i="9" s="1"/>
  <c r="K358" i="9"/>
  <c r="L358" i="9"/>
  <c r="K359" i="9"/>
  <c r="L359" i="9" s="1"/>
  <c r="K360" i="9"/>
  <c r="L360" i="9" s="1"/>
  <c r="K361" i="9"/>
  <c r="L361" i="9" s="1"/>
  <c r="E362" i="9"/>
  <c r="M362" i="9"/>
  <c r="K363" i="9"/>
  <c r="L363" i="9"/>
  <c r="E364" i="9"/>
  <c r="L364" i="9"/>
  <c r="M364" i="9"/>
  <c r="K365" i="9"/>
  <c r="L365" i="9"/>
  <c r="K366" i="9"/>
  <c r="L366" i="9" s="1"/>
  <c r="K367" i="9"/>
  <c r="L367" i="9" s="1"/>
  <c r="K368" i="9"/>
  <c r="L368" i="9" s="1"/>
  <c r="K369" i="9"/>
  <c r="L369" i="9"/>
  <c r="K370" i="9"/>
  <c r="L370" i="9" s="1"/>
  <c r="K371" i="9"/>
  <c r="L371" i="9" s="1"/>
  <c r="K372" i="9"/>
  <c r="L372" i="9" s="1"/>
  <c r="K373" i="9"/>
  <c r="L373" i="9"/>
  <c r="K374" i="9"/>
  <c r="L374" i="9" s="1"/>
  <c r="K375" i="9"/>
  <c r="L375" i="9" s="1"/>
  <c r="K376" i="9"/>
  <c r="L376" i="9" s="1"/>
  <c r="K377" i="9"/>
  <c r="L377" i="9"/>
  <c r="K378" i="9"/>
  <c r="L378" i="9" s="1"/>
  <c r="E379" i="9"/>
  <c r="M379" i="9"/>
  <c r="K380" i="9"/>
  <c r="L380" i="9" s="1"/>
  <c r="K381" i="9"/>
  <c r="L381" i="9" s="1"/>
  <c r="K382" i="9"/>
  <c r="L382" i="9"/>
  <c r="K383" i="9"/>
  <c r="L383" i="9"/>
  <c r="K384" i="9"/>
  <c r="L384" i="9" s="1"/>
  <c r="K385" i="9"/>
  <c r="L385" i="9" s="1"/>
  <c r="K386" i="9"/>
  <c r="L386" i="9"/>
  <c r="K387" i="9"/>
  <c r="L387" i="9"/>
  <c r="K388" i="9"/>
  <c r="L388" i="9" s="1"/>
  <c r="K389" i="9"/>
  <c r="L389" i="9" s="1"/>
  <c r="K390" i="9"/>
  <c r="L390" i="9"/>
  <c r="K391" i="9"/>
  <c r="L391" i="9"/>
  <c r="K392" i="9"/>
  <c r="L392" i="9" s="1"/>
  <c r="K393" i="9"/>
  <c r="L393" i="9" s="1"/>
  <c r="K394" i="9"/>
  <c r="L394" i="9"/>
  <c r="K395" i="9"/>
  <c r="L395" i="9"/>
  <c r="K396" i="9"/>
  <c r="L396" i="9" s="1"/>
  <c r="K397" i="9"/>
  <c r="L397" i="9" s="1"/>
  <c r="K398" i="9"/>
  <c r="L398" i="9"/>
  <c r="K399" i="9"/>
  <c r="L399" i="9"/>
  <c r="K400" i="9"/>
  <c r="L400" i="9" s="1"/>
  <c r="K401" i="9"/>
  <c r="L401" i="9" s="1"/>
  <c r="K402" i="9"/>
  <c r="L402" i="9"/>
  <c r="K403" i="9"/>
  <c r="L403" i="9"/>
  <c r="K404" i="9"/>
  <c r="L404" i="9" s="1"/>
  <c r="K405" i="9"/>
  <c r="L405" i="9" s="1"/>
  <c r="K406" i="9"/>
  <c r="L406" i="9"/>
  <c r="K407" i="9"/>
  <c r="L407" i="9"/>
  <c r="K408" i="9"/>
  <c r="L408" i="9" s="1"/>
  <c r="K409" i="9"/>
  <c r="L409" i="9" s="1"/>
  <c r="K410" i="9"/>
  <c r="L410" i="9"/>
  <c r="K411" i="9"/>
  <c r="L411" i="9"/>
  <c r="K412" i="9"/>
  <c r="L412" i="9" s="1"/>
  <c r="K413" i="9"/>
  <c r="L413" i="9" s="1"/>
  <c r="K414" i="9"/>
  <c r="L414" i="9"/>
  <c r="K415" i="9"/>
  <c r="L415" i="9"/>
  <c r="K416" i="9"/>
  <c r="L416" i="9" s="1"/>
  <c r="K417" i="9"/>
  <c r="L417" i="9" s="1"/>
  <c r="K418" i="9"/>
  <c r="L418" i="9"/>
  <c r="K419" i="9"/>
  <c r="L419" i="9"/>
  <c r="K420" i="9"/>
  <c r="L420" i="9" s="1"/>
  <c r="K421" i="9"/>
  <c r="L421" i="9" s="1"/>
  <c r="K422" i="9"/>
  <c r="L422" i="9"/>
  <c r="K423" i="9"/>
  <c r="L423" i="9"/>
  <c r="K424" i="9"/>
  <c r="L424" i="9" s="1"/>
  <c r="K425" i="9"/>
  <c r="L425" i="9" s="1"/>
  <c r="K426" i="9"/>
  <c r="L426" i="9"/>
  <c r="K427" i="9"/>
  <c r="L427" i="9"/>
  <c r="K428" i="9"/>
  <c r="L428" i="9" s="1"/>
  <c r="K429" i="9"/>
  <c r="L429" i="9" s="1"/>
  <c r="K430" i="9"/>
  <c r="L430" i="9"/>
  <c r="K431" i="9"/>
  <c r="L431" i="9"/>
  <c r="K432" i="9"/>
  <c r="L432" i="9" s="1"/>
  <c r="K433" i="9"/>
  <c r="L433" i="9" s="1"/>
  <c r="K434" i="9"/>
  <c r="L434" i="9"/>
  <c r="K435" i="9"/>
  <c r="L435" i="9"/>
  <c r="K436" i="9"/>
  <c r="L436" i="9" s="1"/>
  <c r="K437" i="9"/>
  <c r="L437" i="9" s="1"/>
  <c r="K438" i="9"/>
  <c r="L438" i="9"/>
  <c r="K439" i="9"/>
  <c r="L439" i="9"/>
  <c r="K440" i="9"/>
  <c r="L440" i="9" s="1"/>
  <c r="K441" i="9"/>
  <c r="L441" i="9" s="1"/>
  <c r="K442" i="9"/>
  <c r="L442" i="9"/>
  <c r="K443" i="9"/>
  <c r="L443" i="9"/>
  <c r="K444" i="9"/>
  <c r="L444" i="9" s="1"/>
  <c r="K445" i="9"/>
  <c r="L445" i="9" s="1"/>
  <c r="K446" i="9"/>
  <c r="L446" i="9"/>
  <c r="K447" i="9"/>
  <c r="L447" i="9"/>
  <c r="K448" i="9"/>
  <c r="L448" i="9" s="1"/>
  <c r="K449" i="9"/>
  <c r="L449" i="9" s="1"/>
  <c r="K450" i="9"/>
  <c r="L450" i="9"/>
  <c r="K451" i="9"/>
  <c r="L451" i="9"/>
  <c r="K452" i="9"/>
  <c r="L452" i="9" s="1"/>
  <c r="K453" i="9"/>
  <c r="L453" i="9" s="1"/>
  <c r="K454" i="9"/>
  <c r="L454" i="9"/>
  <c r="K455" i="9"/>
  <c r="L455" i="9"/>
  <c r="K456" i="9"/>
  <c r="L456" i="9" s="1"/>
  <c r="K457" i="9"/>
  <c r="L457" i="9" s="1"/>
  <c r="K458" i="9"/>
  <c r="L458" i="9"/>
  <c r="K459" i="9"/>
  <c r="L459" i="9"/>
  <c r="K460" i="9"/>
  <c r="L460" i="9" s="1"/>
  <c r="K461" i="9"/>
  <c r="L461" i="9" s="1"/>
  <c r="K462" i="9"/>
  <c r="L462" i="9"/>
  <c r="K463" i="9"/>
  <c r="L463" i="9"/>
  <c r="K464" i="9"/>
  <c r="L464" i="9" s="1"/>
  <c r="K465" i="9"/>
  <c r="L465" i="9" s="1"/>
  <c r="K466" i="9"/>
  <c r="L466" i="9"/>
  <c r="K467" i="9"/>
  <c r="L467" i="9"/>
  <c r="K468" i="9"/>
  <c r="L468" i="9" s="1"/>
  <c r="K469" i="9"/>
  <c r="L469" i="9" s="1"/>
  <c r="K470" i="9"/>
  <c r="L470" i="9"/>
  <c r="K471" i="9"/>
  <c r="L471" i="9"/>
  <c r="K472" i="9"/>
  <c r="L472" i="9" s="1"/>
  <c r="K473" i="9"/>
  <c r="L473" i="9" s="1"/>
  <c r="K474" i="9"/>
  <c r="L474" i="9"/>
  <c r="K475" i="9"/>
  <c r="L475" i="9"/>
  <c r="K476" i="9"/>
  <c r="L476" i="9" s="1"/>
  <c r="K477" i="9"/>
  <c r="L477" i="9" s="1"/>
  <c r="K478" i="9"/>
  <c r="L478" i="9"/>
  <c r="K479" i="9"/>
  <c r="L479" i="9"/>
  <c r="K480" i="9"/>
  <c r="L480" i="9" s="1"/>
  <c r="K481" i="9"/>
  <c r="L481" i="9" s="1"/>
  <c r="K482" i="9"/>
  <c r="L482" i="9"/>
  <c r="K483" i="9"/>
  <c r="L483" i="9"/>
  <c r="K484" i="9"/>
  <c r="L484" i="9" s="1"/>
  <c r="K485" i="9"/>
  <c r="L485" i="9" s="1"/>
  <c r="K486" i="9"/>
  <c r="L486" i="9"/>
  <c r="K487" i="9"/>
  <c r="L487" i="9"/>
  <c r="K488" i="9"/>
  <c r="L488" i="9" s="1"/>
  <c r="K489" i="9"/>
  <c r="L489" i="9" s="1"/>
  <c r="K490" i="9"/>
  <c r="L490" i="9"/>
  <c r="K491" i="9"/>
  <c r="L491" i="9"/>
  <c r="K492" i="9"/>
  <c r="L492" i="9" s="1"/>
  <c r="K493" i="9"/>
  <c r="L493" i="9" s="1"/>
  <c r="K494" i="9"/>
  <c r="L494" i="9"/>
  <c r="K495" i="9"/>
  <c r="L495" i="9"/>
  <c r="K496" i="9"/>
  <c r="L496" i="9" s="1"/>
  <c r="K497" i="9"/>
  <c r="L497" i="9" s="1"/>
  <c r="K498" i="9"/>
  <c r="L498" i="9"/>
  <c r="K499" i="9"/>
  <c r="L499" i="9"/>
  <c r="K500" i="9"/>
  <c r="L500" i="9" s="1"/>
  <c r="K501" i="9"/>
  <c r="L501" i="9" s="1"/>
  <c r="K502" i="9"/>
  <c r="L502" i="9"/>
  <c r="K503" i="9"/>
  <c r="L503" i="9"/>
  <c r="K504" i="9"/>
  <c r="L504" i="9" s="1"/>
  <c r="K505" i="9"/>
  <c r="L505" i="9" s="1"/>
  <c r="K506" i="9"/>
  <c r="L506" i="9"/>
  <c r="K507" i="9"/>
  <c r="L507" i="9"/>
  <c r="K508" i="9"/>
  <c r="L508" i="9" s="1"/>
  <c r="K509" i="9"/>
  <c r="L509" i="9" s="1"/>
  <c r="K510" i="9"/>
  <c r="L510" i="9"/>
  <c r="K511" i="9"/>
  <c r="L511" i="9"/>
  <c r="K512" i="9"/>
  <c r="L512" i="9" s="1"/>
  <c r="K513" i="9"/>
  <c r="L513" i="9" s="1"/>
  <c r="K514" i="9"/>
  <c r="L514" i="9"/>
  <c r="K515" i="9"/>
  <c r="L515" i="9"/>
  <c r="K516" i="9"/>
  <c r="L516" i="9" s="1"/>
  <c r="K517" i="9"/>
  <c r="L517" i="9" s="1"/>
  <c r="K518" i="9"/>
  <c r="L518" i="9"/>
  <c r="K519" i="9"/>
  <c r="L519" i="9"/>
  <c r="K520" i="9"/>
  <c r="L520" i="9" s="1"/>
  <c r="K521" i="9"/>
  <c r="L521" i="9" s="1"/>
  <c r="K522" i="9"/>
  <c r="L522" i="9"/>
  <c r="E523" i="9"/>
  <c r="L523" i="9"/>
  <c r="M523" i="9"/>
  <c r="K524" i="9"/>
  <c r="L524" i="9"/>
  <c r="L525" i="9" s="1"/>
  <c r="E525" i="9"/>
  <c r="M525" i="9"/>
  <c r="K526" i="9"/>
  <c r="L526" i="9"/>
  <c r="K527" i="9"/>
  <c r="L527" i="9" s="1"/>
  <c r="L529" i="9" s="1"/>
  <c r="K528" i="9"/>
  <c r="L528" i="9" s="1"/>
  <c r="E529" i="9"/>
  <c r="M529" i="9"/>
  <c r="K530" i="9"/>
  <c r="L530" i="9" s="1"/>
  <c r="K531" i="9"/>
  <c r="L531" i="9"/>
  <c r="K532" i="9"/>
  <c r="L532" i="9"/>
  <c r="K533" i="9"/>
  <c r="L533" i="9" s="1"/>
  <c r="L559" i="9" s="1"/>
  <c r="K534" i="9"/>
  <c r="L534" i="9" s="1"/>
  <c r="K535" i="9"/>
  <c r="L535" i="9"/>
  <c r="K536" i="9"/>
  <c r="L536" i="9"/>
  <c r="K537" i="9"/>
  <c r="L537" i="9" s="1"/>
  <c r="K538" i="9"/>
  <c r="L538" i="9" s="1"/>
  <c r="K539" i="9"/>
  <c r="L539" i="9"/>
  <c r="K540" i="9"/>
  <c r="L540" i="9"/>
  <c r="K541" i="9"/>
  <c r="L541" i="9" s="1"/>
  <c r="K542" i="9"/>
  <c r="L542" i="9" s="1"/>
  <c r="K543" i="9"/>
  <c r="L543" i="9"/>
  <c r="K544" i="9"/>
  <c r="L544" i="9"/>
  <c r="K545" i="9"/>
  <c r="L545" i="9" s="1"/>
  <c r="K546" i="9"/>
  <c r="L546" i="9" s="1"/>
  <c r="K547" i="9"/>
  <c r="L547" i="9"/>
  <c r="K548" i="9"/>
  <c r="L548" i="9"/>
  <c r="K549" i="9"/>
  <c r="L549" i="9" s="1"/>
  <c r="K550" i="9"/>
  <c r="L550" i="9" s="1"/>
  <c r="K551" i="9"/>
  <c r="L551" i="9"/>
  <c r="K552" i="9"/>
  <c r="L552" i="9"/>
  <c r="K553" i="9"/>
  <c r="L553" i="9" s="1"/>
  <c r="K554" i="9"/>
  <c r="L554" i="9" s="1"/>
  <c r="K555" i="9"/>
  <c r="L555" i="9"/>
  <c r="K556" i="9"/>
  <c r="L556" i="9"/>
  <c r="K557" i="9"/>
  <c r="L557" i="9" s="1"/>
  <c r="K558" i="9"/>
  <c r="L558" i="9" s="1"/>
  <c r="E559" i="9"/>
  <c r="M559" i="9"/>
  <c r="K560" i="9"/>
  <c r="L560" i="9"/>
  <c r="K561" i="9"/>
  <c r="L561" i="9"/>
  <c r="K562" i="9"/>
  <c r="L562" i="9" s="1"/>
  <c r="K563" i="9"/>
  <c r="L563" i="9" s="1"/>
  <c r="K564" i="9"/>
  <c r="L564" i="9"/>
  <c r="K565" i="9"/>
  <c r="L565" i="9"/>
  <c r="K566" i="9"/>
  <c r="L566" i="9" s="1"/>
  <c r="K567" i="9"/>
  <c r="L567" i="9" s="1"/>
  <c r="K568" i="9"/>
  <c r="L568" i="9"/>
  <c r="K569" i="9"/>
  <c r="L569" i="9"/>
  <c r="K570" i="9"/>
  <c r="L570" i="9" s="1"/>
  <c r="K571" i="9"/>
  <c r="L571" i="9" s="1"/>
  <c r="K572" i="9"/>
  <c r="L572" i="9"/>
  <c r="K573" i="9"/>
  <c r="L573" i="9"/>
  <c r="K574" i="9"/>
  <c r="L574" i="9" s="1"/>
  <c r="K575" i="9"/>
  <c r="L575" i="9" s="1"/>
  <c r="K576" i="9"/>
  <c r="L576" i="9" s="1"/>
  <c r="K577" i="9"/>
  <c r="L577" i="9"/>
  <c r="K578" i="9"/>
  <c r="L578" i="9" s="1"/>
  <c r="K579" i="9"/>
  <c r="L579" i="9" s="1"/>
  <c r="K580" i="9"/>
  <c r="L580" i="9"/>
  <c r="K581" i="9"/>
  <c r="L581" i="9" s="1"/>
  <c r="K582" i="9"/>
  <c r="L582" i="9" s="1"/>
  <c r="K583" i="9"/>
  <c r="L583" i="9" s="1"/>
  <c r="K584" i="9"/>
  <c r="L584" i="9"/>
  <c r="K585" i="9"/>
  <c r="L585" i="9"/>
  <c r="K586" i="9"/>
  <c r="L586" i="9" s="1"/>
  <c r="K587" i="9"/>
  <c r="L587" i="9" s="1"/>
  <c r="K588" i="9"/>
  <c r="L588" i="9" s="1"/>
  <c r="K589" i="9"/>
  <c r="L589" i="9" s="1"/>
  <c r="K590" i="9"/>
  <c r="L590" i="9" s="1"/>
  <c r="K591" i="9"/>
  <c r="L591" i="9" s="1"/>
  <c r="K592" i="9"/>
  <c r="L592" i="9" s="1"/>
  <c r="K593" i="9"/>
  <c r="L593" i="9" s="1"/>
  <c r="K594" i="9"/>
  <c r="L594" i="9" s="1"/>
  <c r="K595" i="9"/>
  <c r="L595" i="9" s="1"/>
  <c r="K596" i="9"/>
  <c r="L596" i="9" s="1"/>
  <c r="K597" i="9"/>
  <c r="L597" i="9" s="1"/>
  <c r="K598" i="9"/>
  <c r="L598" i="9" s="1"/>
  <c r="K599" i="9"/>
  <c r="L599" i="9" s="1"/>
  <c r="K600" i="9"/>
  <c r="L600" i="9" s="1"/>
  <c r="K601" i="9"/>
  <c r="L601" i="9" s="1"/>
  <c r="K602" i="9"/>
  <c r="L602" i="9" s="1"/>
  <c r="K603" i="9"/>
  <c r="L603" i="9" s="1"/>
  <c r="K604" i="9"/>
  <c r="L604" i="9" s="1"/>
  <c r="K605" i="9"/>
  <c r="L605" i="9" s="1"/>
  <c r="K606" i="9"/>
  <c r="L606" i="9" s="1"/>
  <c r="K607" i="9"/>
  <c r="L607" i="9" s="1"/>
  <c r="K608" i="9"/>
  <c r="L608" i="9" s="1"/>
  <c r="K609" i="9"/>
  <c r="L609" i="9" s="1"/>
  <c r="K610" i="9"/>
  <c r="L610" i="9" s="1"/>
  <c r="K611" i="9"/>
  <c r="L611" i="9" s="1"/>
  <c r="K612" i="9"/>
  <c r="L612" i="9" s="1"/>
  <c r="K613" i="9"/>
  <c r="L613" i="9" s="1"/>
  <c r="K614" i="9"/>
  <c r="L614" i="9" s="1"/>
  <c r="K615" i="9"/>
  <c r="L615" i="9" s="1"/>
  <c r="K616" i="9"/>
  <c r="L616" i="9" s="1"/>
  <c r="K617" i="9"/>
  <c r="L617" i="9" s="1"/>
  <c r="K618" i="9"/>
  <c r="L618" i="9" s="1"/>
  <c r="K619" i="9"/>
  <c r="L619" i="9" s="1"/>
  <c r="K620" i="9"/>
  <c r="L620" i="9" s="1"/>
  <c r="K621" i="9"/>
  <c r="L621" i="9" s="1"/>
  <c r="K622" i="9"/>
  <c r="L622" i="9" s="1"/>
  <c r="K623" i="9"/>
  <c r="L623" i="9" s="1"/>
  <c r="K624" i="9"/>
  <c r="L624" i="9" s="1"/>
  <c r="K625" i="9"/>
  <c r="L625" i="9" s="1"/>
  <c r="K626" i="9"/>
  <c r="L626" i="9" s="1"/>
  <c r="K627" i="9"/>
  <c r="L627" i="9" s="1"/>
  <c r="K628" i="9"/>
  <c r="L628" i="9" s="1"/>
  <c r="K629" i="9"/>
  <c r="L629" i="9" s="1"/>
  <c r="K630" i="9"/>
  <c r="L630" i="9" s="1"/>
  <c r="K631" i="9"/>
  <c r="L631" i="9" s="1"/>
  <c r="K632" i="9"/>
  <c r="L632" i="9" s="1"/>
  <c r="K633" i="9"/>
  <c r="L633" i="9" s="1"/>
  <c r="K634" i="9"/>
  <c r="L634" i="9" s="1"/>
  <c r="K635" i="9"/>
  <c r="L635" i="9" s="1"/>
  <c r="K636" i="9"/>
  <c r="L636" i="9" s="1"/>
  <c r="K637" i="9"/>
  <c r="L637" i="9" s="1"/>
  <c r="K638" i="9"/>
  <c r="L638" i="9" s="1"/>
  <c r="K639" i="9"/>
  <c r="L639" i="9" s="1"/>
  <c r="K640" i="9"/>
  <c r="L640" i="9" s="1"/>
  <c r="K641" i="9"/>
  <c r="L641" i="9" s="1"/>
  <c r="K642" i="9"/>
  <c r="L642" i="9" s="1"/>
  <c r="K643" i="9"/>
  <c r="L643" i="9" s="1"/>
  <c r="K644" i="9"/>
  <c r="L644" i="9" s="1"/>
  <c r="K645" i="9"/>
  <c r="L645" i="9" s="1"/>
  <c r="K646" i="9"/>
  <c r="L646" i="9" s="1"/>
  <c r="K647" i="9"/>
  <c r="L647" i="9" s="1"/>
  <c r="K648" i="9"/>
  <c r="L648" i="9" s="1"/>
  <c r="K649" i="9"/>
  <c r="L649" i="9" s="1"/>
  <c r="K650" i="9"/>
  <c r="L650" i="9" s="1"/>
  <c r="K651" i="9"/>
  <c r="L651" i="9" s="1"/>
  <c r="K652" i="9"/>
  <c r="L652" i="9" s="1"/>
  <c r="K653" i="9"/>
  <c r="L653" i="9" s="1"/>
  <c r="K654" i="9"/>
  <c r="L654" i="9" s="1"/>
  <c r="K655" i="9"/>
  <c r="L655" i="9" s="1"/>
  <c r="K656" i="9"/>
  <c r="L656" i="9" s="1"/>
  <c r="K657" i="9"/>
  <c r="L657" i="9" s="1"/>
  <c r="K658" i="9"/>
  <c r="L658" i="9" s="1"/>
  <c r="K659" i="9"/>
  <c r="L659" i="9" s="1"/>
  <c r="K660" i="9"/>
  <c r="L660" i="9" s="1"/>
  <c r="K661" i="9"/>
  <c r="L661" i="9" s="1"/>
  <c r="K662" i="9"/>
  <c r="L662" i="9" s="1"/>
  <c r="K663" i="9"/>
  <c r="L663" i="9" s="1"/>
  <c r="K664" i="9"/>
  <c r="L664" i="9" s="1"/>
  <c r="K665" i="9"/>
  <c r="L665" i="9" s="1"/>
  <c r="K666" i="9"/>
  <c r="L666" i="9" s="1"/>
  <c r="K667" i="9"/>
  <c r="L667" i="9" s="1"/>
  <c r="K668" i="9"/>
  <c r="L668" i="9" s="1"/>
  <c r="K669" i="9"/>
  <c r="L669" i="9" s="1"/>
  <c r="K670" i="9"/>
  <c r="L670" i="9" s="1"/>
  <c r="K671" i="9"/>
  <c r="L671" i="9" s="1"/>
  <c r="K672" i="9"/>
  <c r="L672" i="9" s="1"/>
  <c r="K673" i="9"/>
  <c r="L673" i="9" s="1"/>
  <c r="K674" i="9"/>
  <c r="L674" i="9" s="1"/>
  <c r="K675" i="9"/>
  <c r="L675" i="9" s="1"/>
  <c r="K676" i="9"/>
  <c r="L676" i="9" s="1"/>
  <c r="K677" i="9"/>
  <c r="L677" i="9" s="1"/>
  <c r="K678" i="9"/>
  <c r="L678" i="9" s="1"/>
  <c r="K679" i="9"/>
  <c r="L679" i="9" s="1"/>
  <c r="K680" i="9"/>
  <c r="L680" i="9" s="1"/>
  <c r="K681" i="9"/>
  <c r="L681" i="9" s="1"/>
  <c r="K682" i="9"/>
  <c r="L682" i="9" s="1"/>
  <c r="K683" i="9"/>
  <c r="L683" i="9" s="1"/>
  <c r="K684" i="9"/>
  <c r="L684" i="9" s="1"/>
  <c r="K685" i="9"/>
  <c r="L685" i="9" s="1"/>
  <c r="K686" i="9"/>
  <c r="L686" i="9" s="1"/>
  <c r="K687" i="9"/>
  <c r="L687" i="9" s="1"/>
  <c r="K688" i="9"/>
  <c r="L688" i="9" s="1"/>
  <c r="K689" i="9"/>
  <c r="L689" i="9" s="1"/>
  <c r="K690" i="9"/>
  <c r="L690" i="9" s="1"/>
  <c r="K691" i="9"/>
  <c r="L691" i="9" s="1"/>
  <c r="K692" i="9"/>
  <c r="L692" i="9" s="1"/>
  <c r="K693" i="9"/>
  <c r="L693" i="9" s="1"/>
  <c r="K694" i="9"/>
  <c r="L694" i="9" s="1"/>
  <c r="K695" i="9"/>
  <c r="L695" i="9" s="1"/>
  <c r="K696" i="9"/>
  <c r="L696" i="9" s="1"/>
  <c r="K697" i="9"/>
  <c r="L697" i="9" s="1"/>
  <c r="K698" i="9"/>
  <c r="L698" i="9" s="1"/>
  <c r="K699" i="9"/>
  <c r="L699" i="9" s="1"/>
  <c r="K700" i="9"/>
  <c r="L700" i="9" s="1"/>
  <c r="K701" i="9"/>
  <c r="L701" i="9" s="1"/>
  <c r="K702" i="9"/>
  <c r="L702" i="9" s="1"/>
  <c r="K703" i="9"/>
  <c r="L703" i="9" s="1"/>
  <c r="E704" i="9"/>
  <c r="M704" i="9"/>
  <c r="E706" i="9"/>
  <c r="M706" i="9"/>
  <c r="L704" i="9" l="1"/>
  <c r="L81" i="9"/>
  <c r="L344" i="9"/>
  <c r="L100" i="9"/>
  <c r="L362" i="9"/>
  <c r="L239" i="9"/>
  <c r="L169" i="9"/>
  <c r="L379" i="9"/>
  <c r="L318" i="9"/>
  <c r="L265" i="9"/>
  <c r="L150" i="9"/>
  <c r="L65" i="9"/>
  <c r="L706" i="9" s="1"/>
  <c r="K4" i="8"/>
  <c r="L4" i="8" s="1"/>
  <c r="K5" i="8"/>
  <c r="L5" i="8" s="1"/>
  <c r="K6" i="8"/>
  <c r="L6" i="8" s="1"/>
  <c r="K7" i="8"/>
  <c r="L7" i="8" s="1"/>
  <c r="K8" i="8"/>
  <c r="L8" i="8" s="1"/>
  <c r="K9" i="8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34" i="8"/>
  <c r="L34" i="8" s="1"/>
  <c r="K35" i="8"/>
  <c r="L35" i="8" s="1"/>
  <c r="K36" i="8"/>
  <c r="L36" i="8" s="1"/>
  <c r="K37" i="8"/>
  <c r="L37" i="8" s="1"/>
  <c r="K38" i="8"/>
  <c r="L38" i="8" s="1"/>
  <c r="K39" i="8"/>
  <c r="L39" i="8" s="1"/>
  <c r="K40" i="8"/>
  <c r="L40" i="8" s="1"/>
  <c r="K41" i="8"/>
  <c r="L41" i="8" s="1"/>
  <c r="K42" i="8"/>
  <c r="L42" i="8" s="1"/>
  <c r="K43" i="8"/>
  <c r="L43" i="8" s="1"/>
  <c r="K44" i="8"/>
  <c r="L44" i="8" s="1"/>
  <c r="K45" i="8"/>
  <c r="L45" i="8" s="1"/>
  <c r="K46" i="8"/>
  <c r="L46" i="8" s="1"/>
  <c r="K47" i="8"/>
  <c r="L47" i="8" s="1"/>
  <c r="K48" i="8"/>
  <c r="L48" i="8" s="1"/>
  <c r="E49" i="8"/>
  <c r="M49" i="8"/>
  <c r="K50" i="8"/>
  <c r="L50" i="8"/>
  <c r="K51" i="8"/>
  <c r="L51" i="8"/>
  <c r="K52" i="8"/>
  <c r="L52" i="8"/>
  <c r="K53" i="8"/>
  <c r="L53" i="8"/>
  <c r="K54" i="8"/>
  <c r="L54" i="8"/>
  <c r="K55" i="8"/>
  <c r="L55" i="8"/>
  <c r="K56" i="8"/>
  <c r="L56" i="8"/>
  <c r="K57" i="8"/>
  <c r="L57" i="8"/>
  <c r="K58" i="8"/>
  <c r="L58" i="8"/>
  <c r="K59" i="8"/>
  <c r="L59" i="8"/>
  <c r="K60" i="8"/>
  <c r="L60" i="8"/>
  <c r="K61" i="8"/>
  <c r="L61" i="8"/>
  <c r="K62" i="8"/>
  <c r="L62" i="8"/>
  <c r="K63" i="8"/>
  <c r="L63" i="8"/>
  <c r="K64" i="8"/>
  <c r="L64" i="8"/>
  <c r="E65" i="8"/>
  <c r="M65" i="8"/>
  <c r="K66" i="8"/>
  <c r="L66" i="8" s="1"/>
  <c r="K67" i="8"/>
  <c r="L67" i="8" s="1"/>
  <c r="K68" i="8"/>
  <c r="L68" i="8" s="1"/>
  <c r="K69" i="8"/>
  <c r="L69" i="8" s="1"/>
  <c r="K70" i="8"/>
  <c r="L70" i="8" s="1"/>
  <c r="K71" i="8"/>
  <c r="L71" i="8" s="1"/>
  <c r="K72" i="8"/>
  <c r="L72" i="8" s="1"/>
  <c r="K73" i="8"/>
  <c r="L73" i="8" s="1"/>
  <c r="K74" i="8"/>
  <c r="L74" i="8" s="1"/>
  <c r="K75" i="8"/>
  <c r="L75" i="8" s="1"/>
  <c r="K76" i="8"/>
  <c r="L76" i="8" s="1"/>
  <c r="K77" i="8"/>
  <c r="L77" i="8" s="1"/>
  <c r="K78" i="8"/>
  <c r="L78" i="8" s="1"/>
  <c r="K79" i="8"/>
  <c r="L79" i="8" s="1"/>
  <c r="E80" i="8"/>
  <c r="M80" i="8"/>
  <c r="K81" i="8"/>
  <c r="L81" i="8"/>
  <c r="K82" i="8"/>
  <c r="L82" i="8"/>
  <c r="K83" i="8"/>
  <c r="L83" i="8"/>
  <c r="K84" i="8"/>
  <c r="L84" i="8"/>
  <c r="K85" i="8"/>
  <c r="L85" i="8"/>
  <c r="K86" i="8"/>
  <c r="L86" i="8"/>
  <c r="K87" i="8"/>
  <c r="L87" i="8"/>
  <c r="K88" i="8"/>
  <c r="L88" i="8"/>
  <c r="K89" i="8"/>
  <c r="L89" i="8"/>
  <c r="K90" i="8"/>
  <c r="L90" i="8"/>
  <c r="K91" i="8"/>
  <c r="L91" i="8"/>
  <c r="K92" i="8"/>
  <c r="L92" i="8"/>
  <c r="K93" i="8"/>
  <c r="L93" i="8"/>
  <c r="K94" i="8"/>
  <c r="L94" i="8"/>
  <c r="K95" i="8"/>
  <c r="L95" i="8"/>
  <c r="K96" i="8"/>
  <c r="L96" i="8"/>
  <c r="K97" i="8"/>
  <c r="L97" i="8"/>
  <c r="K98" i="8"/>
  <c r="L98" i="8"/>
  <c r="K99" i="8"/>
  <c r="L99" i="8"/>
  <c r="K100" i="8"/>
  <c r="L100" i="8"/>
  <c r="K101" i="8"/>
  <c r="L101" i="8"/>
  <c r="K102" i="8"/>
  <c r="L102" i="8"/>
  <c r="K103" i="8"/>
  <c r="L103" i="8"/>
  <c r="K104" i="8"/>
  <c r="L104" i="8"/>
  <c r="K105" i="8"/>
  <c r="L105" i="8"/>
  <c r="K106" i="8"/>
  <c r="L106" i="8"/>
  <c r="K107" i="8"/>
  <c r="L107" i="8"/>
  <c r="K108" i="8"/>
  <c r="L108" i="8"/>
  <c r="K109" i="8"/>
  <c r="L109" i="8"/>
  <c r="K110" i="8"/>
  <c r="L110" i="8"/>
  <c r="K111" i="8"/>
  <c r="L111" i="8"/>
  <c r="K112" i="8"/>
  <c r="L112" i="8"/>
  <c r="K113" i="8"/>
  <c r="L113" i="8"/>
  <c r="K114" i="8"/>
  <c r="L114" i="8"/>
  <c r="K115" i="8"/>
  <c r="L115" i="8"/>
  <c r="E116" i="8"/>
  <c r="M116" i="8"/>
  <c r="K117" i="8"/>
  <c r="L117" i="8" s="1"/>
  <c r="K118" i="8"/>
  <c r="L118" i="8" s="1"/>
  <c r="K119" i="8"/>
  <c r="L119" i="8" s="1"/>
  <c r="K120" i="8"/>
  <c r="L120" i="8" s="1"/>
  <c r="K121" i="8"/>
  <c r="L121" i="8" s="1"/>
  <c r="K122" i="8"/>
  <c r="L122" i="8" s="1"/>
  <c r="K123" i="8"/>
  <c r="L123" i="8" s="1"/>
  <c r="K124" i="8"/>
  <c r="L124" i="8" s="1"/>
  <c r="K125" i="8"/>
  <c r="L125" i="8" s="1"/>
  <c r="K126" i="8"/>
  <c r="L126" i="8" s="1"/>
  <c r="E127" i="8"/>
  <c r="M127" i="8"/>
  <c r="K128" i="8"/>
  <c r="L128" i="8"/>
  <c r="K129" i="8"/>
  <c r="L129" i="8"/>
  <c r="K130" i="8"/>
  <c r="L130" i="8"/>
  <c r="K131" i="8"/>
  <c r="L131" i="8"/>
  <c r="K132" i="8"/>
  <c r="L132" i="8"/>
  <c r="K133" i="8"/>
  <c r="L133" i="8"/>
  <c r="K134" i="8"/>
  <c r="L134" i="8"/>
  <c r="K135" i="8"/>
  <c r="L135" i="8"/>
  <c r="K136" i="8"/>
  <c r="L136" i="8"/>
  <c r="K137" i="8"/>
  <c r="L137" i="8"/>
  <c r="K138" i="8"/>
  <c r="L138" i="8"/>
  <c r="K139" i="8"/>
  <c r="L139" i="8"/>
  <c r="K140" i="8"/>
  <c r="L140" i="8"/>
  <c r="K141" i="8"/>
  <c r="L141" i="8"/>
  <c r="K142" i="8"/>
  <c r="L142" i="8"/>
  <c r="K143" i="8"/>
  <c r="L143" i="8"/>
  <c r="K144" i="8"/>
  <c r="L144" i="8"/>
  <c r="K145" i="8"/>
  <c r="L145" i="8"/>
  <c r="K146" i="8"/>
  <c r="L146" i="8"/>
  <c r="K147" i="8"/>
  <c r="L147" i="8"/>
  <c r="K148" i="8"/>
  <c r="L148" i="8"/>
  <c r="K149" i="8"/>
  <c r="L149" i="8"/>
  <c r="K150" i="8"/>
  <c r="L150" i="8"/>
  <c r="K151" i="8"/>
  <c r="L151" i="8"/>
  <c r="K152" i="8"/>
  <c r="L152" i="8"/>
  <c r="K153" i="8"/>
  <c r="L153" i="8"/>
  <c r="K154" i="8"/>
  <c r="L154" i="8"/>
  <c r="K155" i="8"/>
  <c r="L155" i="8"/>
  <c r="K156" i="8"/>
  <c r="L156" i="8"/>
  <c r="K157" i="8"/>
  <c r="L157" i="8"/>
  <c r="K158" i="8"/>
  <c r="L158" i="8"/>
  <c r="K159" i="8"/>
  <c r="L159" i="8"/>
  <c r="K160" i="8"/>
  <c r="L160" i="8"/>
  <c r="K161" i="8"/>
  <c r="L161" i="8"/>
  <c r="K162" i="8"/>
  <c r="L162" i="8"/>
  <c r="K163" i="8"/>
  <c r="L163" i="8"/>
  <c r="K164" i="8"/>
  <c r="L164" i="8"/>
  <c r="E165" i="8"/>
  <c r="M165" i="8"/>
  <c r="K166" i="8"/>
  <c r="L166" i="8" s="1"/>
  <c r="K167" i="8"/>
  <c r="L167" i="8" s="1"/>
  <c r="K168" i="8"/>
  <c r="L168" i="8" s="1"/>
  <c r="K169" i="8"/>
  <c r="L169" i="8" s="1"/>
  <c r="K170" i="8"/>
  <c r="L170" i="8" s="1"/>
  <c r="K171" i="8"/>
  <c r="L171" i="8" s="1"/>
  <c r="K172" i="8"/>
  <c r="L172" i="8" s="1"/>
  <c r="K173" i="8"/>
  <c r="L173" i="8" s="1"/>
  <c r="K174" i="8"/>
  <c r="L174" i="8" s="1"/>
  <c r="K175" i="8"/>
  <c r="L175" i="8" s="1"/>
  <c r="K176" i="8"/>
  <c r="L176" i="8" s="1"/>
  <c r="K177" i="8"/>
  <c r="L177" i="8" s="1"/>
  <c r="K178" i="8"/>
  <c r="L178" i="8" s="1"/>
  <c r="K179" i="8"/>
  <c r="L179" i="8" s="1"/>
  <c r="K180" i="8"/>
  <c r="L180" i="8" s="1"/>
  <c r="K181" i="8"/>
  <c r="L181" i="8" s="1"/>
  <c r="K182" i="8"/>
  <c r="L182" i="8" s="1"/>
  <c r="K183" i="8"/>
  <c r="L183" i="8" s="1"/>
  <c r="E184" i="8"/>
  <c r="M184" i="8"/>
  <c r="K185" i="8"/>
  <c r="L185" i="8"/>
  <c r="K186" i="8"/>
  <c r="L186" i="8"/>
  <c r="K187" i="8"/>
  <c r="L187" i="8"/>
  <c r="K188" i="8"/>
  <c r="L188" i="8"/>
  <c r="K189" i="8"/>
  <c r="L189" i="8"/>
  <c r="K190" i="8"/>
  <c r="L190" i="8"/>
  <c r="K191" i="8"/>
  <c r="L191" i="8"/>
  <c r="K192" i="8"/>
  <c r="L192" i="8"/>
  <c r="K193" i="8"/>
  <c r="L193" i="8"/>
  <c r="K194" i="8"/>
  <c r="L194" i="8"/>
  <c r="K195" i="8"/>
  <c r="L195" i="8"/>
  <c r="K196" i="8"/>
  <c r="L196" i="8"/>
  <c r="K197" i="8"/>
  <c r="L197" i="8"/>
  <c r="K198" i="8"/>
  <c r="L198" i="8"/>
  <c r="E199" i="8"/>
  <c r="L199" i="8"/>
  <c r="M199" i="8"/>
  <c r="K200" i="8"/>
  <c r="L200" i="8" s="1"/>
  <c r="L202" i="8" s="1"/>
  <c r="K201" i="8"/>
  <c r="L201" i="8" s="1"/>
  <c r="E202" i="8"/>
  <c r="M202" i="8"/>
  <c r="K203" i="8"/>
  <c r="L203" i="8"/>
  <c r="K204" i="8"/>
  <c r="L204" i="8"/>
  <c r="K205" i="8"/>
  <c r="L205" i="8"/>
  <c r="K206" i="8"/>
  <c r="L206" i="8"/>
  <c r="K207" i="8"/>
  <c r="L207" i="8"/>
  <c r="K208" i="8"/>
  <c r="L208" i="8"/>
  <c r="K209" i="8"/>
  <c r="L209" i="8"/>
  <c r="K210" i="8"/>
  <c r="L210" i="8"/>
  <c r="K211" i="8"/>
  <c r="L211" i="8"/>
  <c r="K212" i="8"/>
  <c r="L212" i="8"/>
  <c r="K213" i="8"/>
  <c r="L213" i="8"/>
  <c r="K214" i="8"/>
  <c r="L214" i="8"/>
  <c r="K215" i="8"/>
  <c r="L215" i="8"/>
  <c r="K216" i="8"/>
  <c r="L216" i="8"/>
  <c r="K217" i="8"/>
  <c r="L217" i="8"/>
  <c r="K218" i="8"/>
  <c r="L218" i="8"/>
  <c r="K219" i="8"/>
  <c r="L219" i="8"/>
  <c r="K220" i="8"/>
  <c r="L220" i="8"/>
  <c r="K221" i="8"/>
  <c r="L221" i="8"/>
  <c r="K222" i="8"/>
  <c r="L222" i="8"/>
  <c r="K223" i="8"/>
  <c r="L223" i="8"/>
  <c r="K224" i="8"/>
  <c r="L224" i="8"/>
  <c r="K225" i="8"/>
  <c r="L225" i="8"/>
  <c r="K226" i="8"/>
  <c r="L226" i="8"/>
  <c r="K227" i="8"/>
  <c r="L227" i="8"/>
  <c r="K228" i="8"/>
  <c r="L228" i="8"/>
  <c r="K229" i="8"/>
  <c r="L229" i="8"/>
  <c r="K230" i="8"/>
  <c r="L230" i="8"/>
  <c r="K231" i="8"/>
  <c r="L231" i="8"/>
  <c r="E232" i="8"/>
  <c r="M232" i="8"/>
  <c r="K233" i="8"/>
  <c r="L233" i="8" s="1"/>
  <c r="K234" i="8"/>
  <c r="L234" i="8" s="1"/>
  <c r="K235" i="8"/>
  <c r="L235" i="8" s="1"/>
  <c r="K236" i="8"/>
  <c r="L236" i="8" s="1"/>
  <c r="K237" i="8"/>
  <c r="L237" i="8" s="1"/>
  <c r="K238" i="8"/>
  <c r="L238" i="8" s="1"/>
  <c r="K239" i="8"/>
  <c r="L239" i="8" s="1"/>
  <c r="K240" i="8"/>
  <c r="L240" i="8" s="1"/>
  <c r="K241" i="8"/>
  <c r="L241" i="8" s="1"/>
  <c r="K242" i="8"/>
  <c r="L242" i="8" s="1"/>
  <c r="K243" i="8"/>
  <c r="L243" i="8" s="1"/>
  <c r="K244" i="8"/>
  <c r="L244" i="8" s="1"/>
  <c r="K245" i="8"/>
  <c r="L245" i="8" s="1"/>
  <c r="K246" i="8"/>
  <c r="L246" i="8" s="1"/>
  <c r="K247" i="8"/>
  <c r="L247" i="8" s="1"/>
  <c r="K248" i="8"/>
  <c r="L248" i="8" s="1"/>
  <c r="K249" i="8"/>
  <c r="L249" i="8" s="1"/>
  <c r="K250" i="8"/>
  <c r="L250" i="8" s="1"/>
  <c r="K251" i="8"/>
  <c r="L251" i="8" s="1"/>
  <c r="E252" i="8"/>
  <c r="M252" i="8"/>
  <c r="K253" i="8"/>
  <c r="L253" i="8"/>
  <c r="K254" i="8"/>
  <c r="L254" i="8"/>
  <c r="K255" i="8"/>
  <c r="L255" i="8"/>
  <c r="K256" i="8"/>
  <c r="L256" i="8"/>
  <c r="K257" i="8"/>
  <c r="L257" i="8"/>
  <c r="K258" i="8"/>
  <c r="L258" i="8"/>
  <c r="K259" i="8"/>
  <c r="L259" i="8"/>
  <c r="K260" i="8"/>
  <c r="L260" i="8"/>
  <c r="K261" i="8"/>
  <c r="L261" i="8"/>
  <c r="K262" i="8"/>
  <c r="L262" i="8"/>
  <c r="K263" i="8"/>
  <c r="L263" i="8"/>
  <c r="K264" i="8"/>
  <c r="L264" i="8"/>
  <c r="K265" i="8"/>
  <c r="L265" i="8"/>
  <c r="K266" i="8"/>
  <c r="L266" i="8"/>
  <c r="K267" i="8"/>
  <c r="L267" i="8"/>
  <c r="E268" i="8"/>
  <c r="M268" i="8"/>
  <c r="K269" i="8"/>
  <c r="L269" i="8" s="1"/>
  <c r="L270" i="8" s="1"/>
  <c r="E270" i="8"/>
  <c r="M270" i="8"/>
  <c r="K271" i="8"/>
  <c r="L271" i="8"/>
  <c r="K272" i="8"/>
  <c r="L272" i="8"/>
  <c r="K273" i="8"/>
  <c r="L273" i="8"/>
  <c r="K274" i="8"/>
  <c r="L274" i="8"/>
  <c r="K275" i="8"/>
  <c r="L275" i="8"/>
  <c r="K276" i="8"/>
  <c r="L276" i="8"/>
  <c r="K277" i="8"/>
  <c r="L277" i="8"/>
  <c r="K278" i="8"/>
  <c r="L278" i="8"/>
  <c r="K279" i="8"/>
  <c r="L279" i="8"/>
  <c r="K280" i="8"/>
  <c r="L280" i="8"/>
  <c r="K281" i="8"/>
  <c r="L281" i="8"/>
  <c r="K282" i="8"/>
  <c r="L282" i="8"/>
  <c r="E283" i="8"/>
  <c r="M283" i="8"/>
  <c r="K284" i="8"/>
  <c r="L284" i="8" s="1"/>
  <c r="K285" i="8"/>
  <c r="L285" i="8" s="1"/>
  <c r="K286" i="8"/>
  <c r="L286" i="8" s="1"/>
  <c r="K287" i="8"/>
  <c r="L287" i="8" s="1"/>
  <c r="K288" i="8"/>
  <c r="L288" i="8" s="1"/>
  <c r="K289" i="8"/>
  <c r="L289" i="8" s="1"/>
  <c r="K290" i="8"/>
  <c r="L290" i="8" s="1"/>
  <c r="K291" i="8"/>
  <c r="L291" i="8" s="1"/>
  <c r="K292" i="8"/>
  <c r="L292" i="8" s="1"/>
  <c r="K293" i="8"/>
  <c r="L293" i="8" s="1"/>
  <c r="K294" i="8"/>
  <c r="L294" i="8" s="1"/>
  <c r="K295" i="8"/>
  <c r="L295" i="8" s="1"/>
  <c r="K296" i="8"/>
  <c r="L296" i="8" s="1"/>
  <c r="K297" i="8"/>
  <c r="L297" i="8" s="1"/>
  <c r="K298" i="8"/>
  <c r="L298" i="8" s="1"/>
  <c r="K299" i="8"/>
  <c r="L299" i="8" s="1"/>
  <c r="K300" i="8"/>
  <c r="L300" i="8" s="1"/>
  <c r="K301" i="8"/>
  <c r="L301" i="8" s="1"/>
  <c r="K302" i="8"/>
  <c r="L302" i="8" s="1"/>
  <c r="K303" i="8"/>
  <c r="L303" i="8" s="1"/>
  <c r="K304" i="8"/>
  <c r="L304" i="8" s="1"/>
  <c r="K305" i="8"/>
  <c r="L305" i="8" s="1"/>
  <c r="K306" i="8"/>
  <c r="L306" i="8" s="1"/>
  <c r="K307" i="8"/>
  <c r="L307" i="8" s="1"/>
  <c r="K308" i="8"/>
  <c r="L308" i="8" s="1"/>
  <c r="K309" i="8"/>
  <c r="L309" i="8" s="1"/>
  <c r="K310" i="8"/>
  <c r="L310" i="8" s="1"/>
  <c r="K311" i="8"/>
  <c r="L311" i="8" s="1"/>
  <c r="K312" i="8"/>
  <c r="L312" i="8" s="1"/>
  <c r="K313" i="8"/>
  <c r="L313" i="8" s="1"/>
  <c r="K314" i="8"/>
  <c r="L314" i="8" s="1"/>
  <c r="K315" i="8"/>
  <c r="L315" i="8" s="1"/>
  <c r="K316" i="8"/>
  <c r="L316" i="8" s="1"/>
  <c r="K317" i="8"/>
  <c r="L317" i="8" s="1"/>
  <c r="K318" i="8"/>
  <c r="L318" i="8" s="1"/>
  <c r="K319" i="8"/>
  <c r="L319" i="8" s="1"/>
  <c r="K320" i="8"/>
  <c r="L320" i="8" s="1"/>
  <c r="K321" i="8"/>
  <c r="L321" i="8" s="1"/>
  <c r="K322" i="8"/>
  <c r="L322" i="8" s="1"/>
  <c r="K323" i="8"/>
  <c r="L323" i="8" s="1"/>
  <c r="K324" i="8"/>
  <c r="L324" i="8" s="1"/>
  <c r="K325" i="8"/>
  <c r="L325" i="8" s="1"/>
  <c r="K326" i="8"/>
  <c r="L326" i="8" s="1"/>
  <c r="K327" i="8"/>
  <c r="L327" i="8" s="1"/>
  <c r="K328" i="8"/>
  <c r="L328" i="8" s="1"/>
  <c r="K329" i="8"/>
  <c r="L329" i="8" s="1"/>
  <c r="K330" i="8"/>
  <c r="L330" i="8" s="1"/>
  <c r="K331" i="8"/>
  <c r="L331" i="8" s="1"/>
  <c r="K332" i="8"/>
  <c r="L332" i="8" s="1"/>
  <c r="K333" i="8"/>
  <c r="L333" i="8" s="1"/>
  <c r="K334" i="8"/>
  <c r="L334" i="8" s="1"/>
  <c r="K335" i="8"/>
  <c r="L335" i="8" s="1"/>
  <c r="K336" i="8"/>
  <c r="L336" i="8" s="1"/>
  <c r="K337" i="8"/>
  <c r="L337" i="8" s="1"/>
  <c r="K338" i="8"/>
  <c r="L338" i="8" s="1"/>
  <c r="K339" i="8"/>
  <c r="L339" i="8" s="1"/>
  <c r="K340" i="8"/>
  <c r="L340" i="8" s="1"/>
  <c r="K341" i="8"/>
  <c r="L341" i="8" s="1"/>
  <c r="K342" i="8"/>
  <c r="L342" i="8" s="1"/>
  <c r="K343" i="8"/>
  <c r="L343" i="8" s="1"/>
  <c r="K344" i="8"/>
  <c r="L344" i="8" s="1"/>
  <c r="K345" i="8"/>
  <c r="L345" i="8" s="1"/>
  <c r="K346" i="8"/>
  <c r="L346" i="8" s="1"/>
  <c r="K347" i="8"/>
  <c r="L347" i="8" s="1"/>
  <c r="K348" i="8"/>
  <c r="L348" i="8" s="1"/>
  <c r="K349" i="8"/>
  <c r="L349" i="8" s="1"/>
  <c r="K350" i="8"/>
  <c r="L350" i="8" s="1"/>
  <c r="K351" i="8"/>
  <c r="L351" i="8" s="1"/>
  <c r="K352" i="8"/>
  <c r="L352" i="8" s="1"/>
  <c r="K353" i="8"/>
  <c r="L353" i="8" s="1"/>
  <c r="K354" i="8"/>
  <c r="L354" i="8" s="1"/>
  <c r="K355" i="8"/>
  <c r="L355" i="8" s="1"/>
  <c r="K356" i="8"/>
  <c r="L356" i="8" s="1"/>
  <c r="K357" i="8"/>
  <c r="L357" i="8" s="1"/>
  <c r="K358" i="8"/>
  <c r="L358" i="8" s="1"/>
  <c r="K359" i="8"/>
  <c r="L359" i="8" s="1"/>
  <c r="K360" i="8"/>
  <c r="L360" i="8" s="1"/>
  <c r="K361" i="8"/>
  <c r="L361" i="8" s="1"/>
  <c r="K362" i="8"/>
  <c r="L362" i="8" s="1"/>
  <c r="K363" i="8"/>
  <c r="L363" i="8" s="1"/>
  <c r="K364" i="8"/>
  <c r="L364" i="8" s="1"/>
  <c r="K365" i="8"/>
  <c r="L365" i="8" s="1"/>
  <c r="K366" i="8"/>
  <c r="L366" i="8" s="1"/>
  <c r="K367" i="8"/>
  <c r="L367" i="8" s="1"/>
  <c r="K368" i="8"/>
  <c r="L368" i="8" s="1"/>
  <c r="K369" i="8"/>
  <c r="L369" i="8" s="1"/>
  <c r="K370" i="8"/>
  <c r="L370" i="8" s="1"/>
  <c r="K371" i="8"/>
  <c r="L371" i="8" s="1"/>
  <c r="K372" i="8"/>
  <c r="L372" i="8" s="1"/>
  <c r="K373" i="8"/>
  <c r="L373" i="8" s="1"/>
  <c r="K374" i="8"/>
  <c r="L374" i="8" s="1"/>
  <c r="K375" i="8"/>
  <c r="L375" i="8" s="1"/>
  <c r="K376" i="8"/>
  <c r="L376" i="8" s="1"/>
  <c r="K377" i="8"/>
  <c r="L377" i="8" s="1"/>
  <c r="K378" i="8"/>
  <c r="L378" i="8" s="1"/>
  <c r="K379" i="8"/>
  <c r="L379" i="8" s="1"/>
  <c r="K380" i="8"/>
  <c r="L380" i="8" s="1"/>
  <c r="K381" i="8"/>
  <c r="L381" i="8" s="1"/>
  <c r="K382" i="8"/>
  <c r="L382" i="8" s="1"/>
  <c r="K383" i="8"/>
  <c r="L383" i="8" s="1"/>
  <c r="K384" i="8"/>
  <c r="L384" i="8" s="1"/>
  <c r="K385" i="8"/>
  <c r="L385" i="8" s="1"/>
  <c r="K386" i="8"/>
  <c r="L386" i="8" s="1"/>
  <c r="K387" i="8"/>
  <c r="L387" i="8" s="1"/>
  <c r="K388" i="8"/>
  <c r="L388" i="8" s="1"/>
  <c r="K389" i="8"/>
  <c r="L389" i="8" s="1"/>
  <c r="K390" i="8"/>
  <c r="L390" i="8" s="1"/>
  <c r="K391" i="8"/>
  <c r="L391" i="8" s="1"/>
  <c r="K392" i="8"/>
  <c r="L392" i="8" s="1"/>
  <c r="K393" i="8"/>
  <c r="L393" i="8" s="1"/>
  <c r="K394" i="8"/>
  <c r="L394" i="8" s="1"/>
  <c r="K395" i="8"/>
  <c r="L395" i="8" s="1"/>
  <c r="E396" i="8"/>
  <c r="M396" i="8"/>
  <c r="K397" i="8"/>
  <c r="L397" i="8"/>
  <c r="L398" i="8" s="1"/>
  <c r="E398" i="8"/>
  <c r="M398" i="8"/>
  <c r="K399" i="8"/>
  <c r="L399" i="8" s="1"/>
  <c r="K400" i="8"/>
  <c r="L400" i="8" s="1"/>
  <c r="K401" i="8"/>
  <c r="L401" i="8" s="1"/>
  <c r="E402" i="8"/>
  <c r="M402" i="8"/>
  <c r="K403" i="8"/>
  <c r="L403" i="8"/>
  <c r="K404" i="8"/>
  <c r="L404" i="8"/>
  <c r="K405" i="8"/>
  <c r="L405" i="8"/>
  <c r="K406" i="8"/>
  <c r="L406" i="8"/>
  <c r="K407" i="8"/>
  <c r="L407" i="8"/>
  <c r="K408" i="8"/>
  <c r="L408" i="8"/>
  <c r="K409" i="8"/>
  <c r="L409" i="8"/>
  <c r="K410" i="8"/>
  <c r="L410" i="8"/>
  <c r="K411" i="8"/>
  <c r="L411" i="8"/>
  <c r="K412" i="8"/>
  <c r="L412" i="8"/>
  <c r="K413" i="8"/>
  <c r="L413" i="8"/>
  <c r="K414" i="8"/>
  <c r="L414" i="8"/>
  <c r="K415" i="8"/>
  <c r="L415" i="8"/>
  <c r="K416" i="8"/>
  <c r="L416" i="8"/>
  <c r="K417" i="8"/>
  <c r="L417" i="8"/>
  <c r="K418" i="8"/>
  <c r="L418" i="8"/>
  <c r="K419" i="8"/>
  <c r="L419" i="8"/>
  <c r="K420" i="8"/>
  <c r="L420" i="8"/>
  <c r="K421" i="8"/>
  <c r="L421" i="8"/>
  <c r="K422" i="8"/>
  <c r="L422" i="8"/>
  <c r="K423" i="8"/>
  <c r="L423" i="8"/>
  <c r="K424" i="8"/>
  <c r="L424" i="8"/>
  <c r="K425" i="8"/>
  <c r="L425" i="8"/>
  <c r="K426" i="8"/>
  <c r="L426" i="8"/>
  <c r="K427" i="8"/>
  <c r="L427" i="8"/>
  <c r="K428" i="8"/>
  <c r="L428" i="8"/>
  <c r="E429" i="8"/>
  <c r="L429" i="8"/>
  <c r="M429" i="8"/>
  <c r="K430" i="8"/>
  <c r="L430" i="8" s="1"/>
  <c r="K431" i="8"/>
  <c r="L431" i="8" s="1"/>
  <c r="L543" i="8" s="1"/>
  <c r="K432" i="8"/>
  <c r="L432" i="8" s="1"/>
  <c r="K433" i="8"/>
  <c r="L433" i="8" s="1"/>
  <c r="K434" i="8"/>
  <c r="L434" i="8" s="1"/>
  <c r="K435" i="8"/>
  <c r="L435" i="8" s="1"/>
  <c r="K436" i="8"/>
  <c r="L436" i="8" s="1"/>
  <c r="K437" i="8"/>
  <c r="L437" i="8" s="1"/>
  <c r="K438" i="8"/>
  <c r="L438" i="8" s="1"/>
  <c r="K439" i="8"/>
  <c r="L439" i="8" s="1"/>
  <c r="K440" i="8"/>
  <c r="L440" i="8" s="1"/>
  <c r="K441" i="8"/>
  <c r="L441" i="8" s="1"/>
  <c r="K442" i="8"/>
  <c r="L442" i="8" s="1"/>
  <c r="K443" i="8"/>
  <c r="L443" i="8" s="1"/>
  <c r="K444" i="8"/>
  <c r="L444" i="8" s="1"/>
  <c r="K445" i="8"/>
  <c r="L445" i="8" s="1"/>
  <c r="K446" i="8"/>
  <c r="L446" i="8" s="1"/>
  <c r="K447" i="8"/>
  <c r="L447" i="8" s="1"/>
  <c r="K448" i="8"/>
  <c r="L448" i="8" s="1"/>
  <c r="K449" i="8"/>
  <c r="L449" i="8" s="1"/>
  <c r="K450" i="8"/>
  <c r="L450" i="8" s="1"/>
  <c r="K451" i="8"/>
  <c r="L451" i="8" s="1"/>
  <c r="K452" i="8"/>
  <c r="L452" i="8" s="1"/>
  <c r="K453" i="8"/>
  <c r="L453" i="8" s="1"/>
  <c r="K454" i="8"/>
  <c r="L454" i="8" s="1"/>
  <c r="K455" i="8"/>
  <c r="L455" i="8" s="1"/>
  <c r="K456" i="8"/>
  <c r="L456" i="8" s="1"/>
  <c r="K457" i="8"/>
  <c r="L457" i="8" s="1"/>
  <c r="K458" i="8"/>
  <c r="L458" i="8" s="1"/>
  <c r="K459" i="8"/>
  <c r="L459" i="8" s="1"/>
  <c r="K460" i="8"/>
  <c r="L460" i="8" s="1"/>
  <c r="K461" i="8"/>
  <c r="L461" i="8" s="1"/>
  <c r="K462" i="8"/>
  <c r="L462" i="8" s="1"/>
  <c r="K463" i="8"/>
  <c r="L463" i="8" s="1"/>
  <c r="K464" i="8"/>
  <c r="L464" i="8" s="1"/>
  <c r="K465" i="8"/>
  <c r="L465" i="8" s="1"/>
  <c r="K466" i="8"/>
  <c r="L466" i="8" s="1"/>
  <c r="K467" i="8"/>
  <c r="L467" i="8" s="1"/>
  <c r="K468" i="8"/>
  <c r="L468" i="8" s="1"/>
  <c r="K469" i="8"/>
  <c r="L469" i="8" s="1"/>
  <c r="K470" i="8"/>
  <c r="L470" i="8" s="1"/>
  <c r="K471" i="8"/>
  <c r="L471" i="8" s="1"/>
  <c r="K472" i="8"/>
  <c r="L472" i="8" s="1"/>
  <c r="K473" i="8"/>
  <c r="L473" i="8" s="1"/>
  <c r="K474" i="8"/>
  <c r="L474" i="8" s="1"/>
  <c r="K475" i="8"/>
  <c r="L475" i="8" s="1"/>
  <c r="K476" i="8"/>
  <c r="L476" i="8" s="1"/>
  <c r="K477" i="8"/>
  <c r="L477" i="8" s="1"/>
  <c r="K478" i="8"/>
  <c r="L478" i="8" s="1"/>
  <c r="K479" i="8"/>
  <c r="L479" i="8" s="1"/>
  <c r="K480" i="8"/>
  <c r="L480" i="8" s="1"/>
  <c r="K481" i="8"/>
  <c r="L481" i="8" s="1"/>
  <c r="K482" i="8"/>
  <c r="L482" i="8" s="1"/>
  <c r="K483" i="8"/>
  <c r="L483" i="8" s="1"/>
  <c r="K484" i="8"/>
  <c r="L484" i="8" s="1"/>
  <c r="K485" i="8"/>
  <c r="L485" i="8" s="1"/>
  <c r="K486" i="8"/>
  <c r="L486" i="8" s="1"/>
  <c r="K487" i="8"/>
  <c r="L487" i="8" s="1"/>
  <c r="K488" i="8"/>
  <c r="L488" i="8" s="1"/>
  <c r="K489" i="8"/>
  <c r="L489" i="8" s="1"/>
  <c r="K490" i="8"/>
  <c r="L490" i="8" s="1"/>
  <c r="K491" i="8"/>
  <c r="L491" i="8" s="1"/>
  <c r="K492" i="8"/>
  <c r="L492" i="8" s="1"/>
  <c r="K493" i="8"/>
  <c r="L493" i="8" s="1"/>
  <c r="K494" i="8"/>
  <c r="L494" i="8" s="1"/>
  <c r="K495" i="8"/>
  <c r="L495" i="8" s="1"/>
  <c r="K496" i="8"/>
  <c r="L496" i="8" s="1"/>
  <c r="K497" i="8"/>
  <c r="L497" i="8" s="1"/>
  <c r="K498" i="8"/>
  <c r="L498" i="8" s="1"/>
  <c r="K499" i="8"/>
  <c r="L499" i="8" s="1"/>
  <c r="K500" i="8"/>
  <c r="L500" i="8" s="1"/>
  <c r="K501" i="8"/>
  <c r="L501" i="8" s="1"/>
  <c r="K502" i="8"/>
  <c r="L502" i="8" s="1"/>
  <c r="K503" i="8"/>
  <c r="L503" i="8" s="1"/>
  <c r="K504" i="8"/>
  <c r="L504" i="8" s="1"/>
  <c r="K505" i="8"/>
  <c r="L505" i="8" s="1"/>
  <c r="K506" i="8"/>
  <c r="L506" i="8" s="1"/>
  <c r="K507" i="8"/>
  <c r="L507" i="8" s="1"/>
  <c r="K508" i="8"/>
  <c r="L508" i="8" s="1"/>
  <c r="K509" i="8"/>
  <c r="L509" i="8" s="1"/>
  <c r="K510" i="8"/>
  <c r="L510" i="8" s="1"/>
  <c r="K511" i="8"/>
  <c r="L511" i="8" s="1"/>
  <c r="K512" i="8"/>
  <c r="L512" i="8" s="1"/>
  <c r="K513" i="8"/>
  <c r="L513" i="8" s="1"/>
  <c r="K514" i="8"/>
  <c r="L514" i="8" s="1"/>
  <c r="K515" i="8"/>
  <c r="L515" i="8" s="1"/>
  <c r="K516" i="8"/>
  <c r="L516" i="8" s="1"/>
  <c r="K517" i="8"/>
  <c r="L517" i="8" s="1"/>
  <c r="K518" i="8"/>
  <c r="L518" i="8" s="1"/>
  <c r="K519" i="8"/>
  <c r="L519" i="8" s="1"/>
  <c r="K520" i="8"/>
  <c r="L520" i="8" s="1"/>
  <c r="K521" i="8"/>
  <c r="L521" i="8" s="1"/>
  <c r="K522" i="8"/>
  <c r="L522" i="8" s="1"/>
  <c r="K523" i="8"/>
  <c r="L523" i="8" s="1"/>
  <c r="K524" i="8"/>
  <c r="L524" i="8" s="1"/>
  <c r="K525" i="8"/>
  <c r="L525" i="8" s="1"/>
  <c r="K526" i="8"/>
  <c r="L526" i="8" s="1"/>
  <c r="K527" i="8"/>
  <c r="L527" i="8" s="1"/>
  <c r="K528" i="8"/>
  <c r="L528" i="8" s="1"/>
  <c r="K529" i="8"/>
  <c r="L529" i="8" s="1"/>
  <c r="K530" i="8"/>
  <c r="L530" i="8" s="1"/>
  <c r="K531" i="8"/>
  <c r="L531" i="8" s="1"/>
  <c r="K532" i="8"/>
  <c r="L532" i="8" s="1"/>
  <c r="K533" i="8"/>
  <c r="L533" i="8" s="1"/>
  <c r="K534" i="8"/>
  <c r="L534" i="8"/>
  <c r="K535" i="8"/>
  <c r="L535" i="8" s="1"/>
  <c r="K536" i="8"/>
  <c r="L536" i="8"/>
  <c r="K537" i="8"/>
  <c r="L537" i="8" s="1"/>
  <c r="K538" i="8"/>
  <c r="L538" i="8" s="1"/>
  <c r="K539" i="8"/>
  <c r="L539" i="8" s="1"/>
  <c r="K540" i="8"/>
  <c r="L540" i="8"/>
  <c r="K541" i="8"/>
  <c r="L541" i="8"/>
  <c r="K542" i="8"/>
  <c r="L542" i="8" s="1"/>
  <c r="E543" i="8"/>
  <c r="M543" i="8"/>
  <c r="L184" i="8" l="1"/>
  <c r="L127" i="8"/>
  <c r="L80" i="8"/>
  <c r="L283" i="8"/>
  <c r="L232" i="8"/>
  <c r="L396" i="8"/>
  <c r="L165" i="8"/>
  <c r="L402" i="8"/>
  <c r="L252" i="8"/>
  <c r="L268" i="8"/>
  <c r="L116" i="8"/>
  <c r="L65" i="8"/>
  <c r="L49" i="8"/>
  <c r="K4" i="7"/>
  <c r="L4" i="7" s="1"/>
  <c r="K5" i="7"/>
  <c r="L5" i="7" s="1"/>
  <c r="K6" i="7"/>
  <c r="L6" i="7"/>
  <c r="K7" i="7"/>
  <c r="L7" i="7"/>
  <c r="K8" i="7"/>
  <c r="L8" i="7" s="1"/>
  <c r="K9" i="7"/>
  <c r="L9" i="7" s="1"/>
  <c r="K10" i="7"/>
  <c r="L10" i="7"/>
  <c r="K11" i="7"/>
  <c r="L11" i="7" s="1"/>
  <c r="K12" i="7"/>
  <c r="L12" i="7" s="1"/>
  <c r="K13" i="7"/>
  <c r="L13" i="7" s="1"/>
  <c r="K14" i="7"/>
  <c r="L14" i="7"/>
  <c r="K15" i="7"/>
  <c r="L15" i="7"/>
  <c r="K16" i="7"/>
  <c r="L16" i="7" s="1"/>
  <c r="K17" i="7"/>
  <c r="L17" i="7" s="1"/>
  <c r="K18" i="7"/>
  <c r="L18" i="7"/>
  <c r="K19" i="7"/>
  <c r="L19" i="7"/>
  <c r="K20" i="7"/>
  <c r="L20" i="7" s="1"/>
  <c r="K21" i="7"/>
  <c r="L21" i="7" s="1"/>
  <c r="K22" i="7"/>
  <c r="L22" i="7"/>
  <c r="K23" i="7"/>
  <c r="L23" i="7"/>
  <c r="K24" i="7"/>
  <c r="L24" i="7" s="1"/>
  <c r="K25" i="7"/>
  <c r="L25" i="7" s="1"/>
  <c r="K26" i="7"/>
  <c r="L26" i="7"/>
  <c r="K27" i="7"/>
  <c r="L27" i="7"/>
  <c r="K28" i="7"/>
  <c r="L28" i="7" s="1"/>
  <c r="K29" i="7"/>
  <c r="L29" i="7" s="1"/>
  <c r="K30" i="7"/>
  <c r="L30" i="7"/>
  <c r="K31" i="7"/>
  <c r="L31" i="7"/>
  <c r="K32" i="7"/>
  <c r="L32" i="7" s="1"/>
  <c r="K33" i="7"/>
  <c r="L33" i="7" s="1"/>
  <c r="K34" i="7"/>
  <c r="L34" i="7"/>
  <c r="K35" i="7"/>
  <c r="L35" i="7"/>
  <c r="K36" i="7"/>
  <c r="L36" i="7" s="1"/>
  <c r="K37" i="7"/>
  <c r="L37" i="7" s="1"/>
  <c r="E38" i="7"/>
  <c r="M38" i="7"/>
  <c r="M417" i="7" s="1"/>
  <c r="K39" i="7"/>
  <c r="L39" i="7" s="1"/>
  <c r="K40" i="7"/>
  <c r="L40" i="7"/>
  <c r="K41" i="7"/>
  <c r="L41" i="7"/>
  <c r="K42" i="7"/>
  <c r="L42" i="7"/>
  <c r="K43" i="7"/>
  <c r="L43" i="7" s="1"/>
  <c r="K44" i="7"/>
  <c r="L44" i="7"/>
  <c r="K45" i="7"/>
  <c r="L45" i="7"/>
  <c r="K46" i="7"/>
  <c r="L46" i="7"/>
  <c r="K47" i="7"/>
  <c r="L47" i="7" s="1"/>
  <c r="K48" i="7"/>
  <c r="L48" i="7"/>
  <c r="K49" i="7"/>
  <c r="L49" i="7"/>
  <c r="K50" i="7"/>
  <c r="L50" i="7"/>
  <c r="K51" i="7"/>
  <c r="L51" i="7" s="1"/>
  <c r="E52" i="7"/>
  <c r="M52" i="7"/>
  <c r="K53" i="7"/>
  <c r="L53" i="7"/>
  <c r="K54" i="7"/>
  <c r="L54" i="7"/>
  <c r="K55" i="7"/>
  <c r="L55" i="7"/>
  <c r="K56" i="7"/>
  <c r="L56" i="7" s="1"/>
  <c r="K57" i="7"/>
  <c r="L57" i="7"/>
  <c r="K58" i="7"/>
  <c r="L58" i="7"/>
  <c r="K59" i="7"/>
  <c r="L59" i="7"/>
  <c r="K60" i="7"/>
  <c r="L60" i="7" s="1"/>
  <c r="K61" i="7"/>
  <c r="L61" i="7"/>
  <c r="E62" i="7"/>
  <c r="E417" i="7" s="1"/>
  <c r="M62" i="7"/>
  <c r="K63" i="7"/>
  <c r="L63" i="7"/>
  <c r="K64" i="7"/>
  <c r="L64" i="7"/>
  <c r="K65" i="7"/>
  <c r="L65" i="7"/>
  <c r="K66" i="7"/>
  <c r="L66" i="7" s="1"/>
  <c r="K67" i="7"/>
  <c r="L67" i="7"/>
  <c r="K68" i="7"/>
  <c r="L68" i="7"/>
  <c r="K69" i="7"/>
  <c r="L69" i="7"/>
  <c r="K70" i="7"/>
  <c r="L70" i="7" s="1"/>
  <c r="K71" i="7"/>
  <c r="L71" i="7"/>
  <c r="K72" i="7"/>
  <c r="L72" i="7"/>
  <c r="K73" i="7"/>
  <c r="L73" i="7"/>
  <c r="K74" i="7"/>
  <c r="L74" i="7" s="1"/>
  <c r="K75" i="7"/>
  <c r="L75" i="7"/>
  <c r="K76" i="7"/>
  <c r="L76" i="7"/>
  <c r="K77" i="7"/>
  <c r="L77" i="7"/>
  <c r="K78" i="7"/>
  <c r="L78" i="7" s="1"/>
  <c r="K79" i="7"/>
  <c r="L79" i="7"/>
  <c r="K80" i="7"/>
  <c r="L80" i="7"/>
  <c r="K81" i="7"/>
  <c r="L81" i="7"/>
  <c r="K82" i="7"/>
  <c r="L82" i="7" s="1"/>
  <c r="K83" i="7"/>
  <c r="L83" i="7"/>
  <c r="K84" i="7"/>
  <c r="L84" i="7"/>
  <c r="K85" i="7"/>
  <c r="L85" i="7"/>
  <c r="E86" i="7"/>
  <c r="M86" i="7"/>
  <c r="K87" i="7"/>
  <c r="L87" i="7" s="1"/>
  <c r="L96" i="7" s="1"/>
  <c r="K88" i="7"/>
  <c r="L88" i="7"/>
  <c r="K89" i="7"/>
  <c r="L89" i="7"/>
  <c r="K90" i="7"/>
  <c r="L90" i="7"/>
  <c r="K91" i="7"/>
  <c r="L91" i="7" s="1"/>
  <c r="K92" i="7"/>
  <c r="L92" i="7"/>
  <c r="K93" i="7"/>
  <c r="L93" i="7"/>
  <c r="K94" i="7"/>
  <c r="L94" i="7"/>
  <c r="K95" i="7"/>
  <c r="L95" i="7" s="1"/>
  <c r="E96" i="7"/>
  <c r="M96" i="7"/>
  <c r="K97" i="7"/>
  <c r="L97" i="7" s="1"/>
  <c r="K98" i="7"/>
  <c r="L98" i="7"/>
  <c r="K99" i="7"/>
  <c r="L99" i="7"/>
  <c r="K100" i="7"/>
  <c r="L100" i="7"/>
  <c r="K101" i="7"/>
  <c r="L101" i="7" s="1"/>
  <c r="K102" i="7"/>
  <c r="L102" i="7"/>
  <c r="K103" i="7"/>
  <c r="L103" i="7"/>
  <c r="K104" i="7"/>
  <c r="L104" i="7"/>
  <c r="K105" i="7"/>
  <c r="L105" i="7" s="1"/>
  <c r="K106" i="7"/>
  <c r="L106" i="7"/>
  <c r="K107" i="7"/>
  <c r="L107" i="7"/>
  <c r="K108" i="7"/>
  <c r="L108" i="7"/>
  <c r="K109" i="7"/>
  <c r="L109" i="7" s="1"/>
  <c r="K110" i="7"/>
  <c r="L110" i="7"/>
  <c r="K111" i="7"/>
  <c r="L111" i="7"/>
  <c r="K112" i="7"/>
  <c r="L112" i="7"/>
  <c r="K113" i="7"/>
  <c r="L113" i="7" s="1"/>
  <c r="K114" i="7"/>
  <c r="L114" i="7"/>
  <c r="K115" i="7"/>
  <c r="L115" i="7"/>
  <c r="K116" i="7"/>
  <c r="L116" i="7"/>
  <c r="K117" i="7"/>
  <c r="L117" i="7" s="1"/>
  <c r="K118" i="7"/>
  <c r="L118" i="7"/>
  <c r="K119" i="7"/>
  <c r="L119" i="7"/>
  <c r="K120" i="7"/>
  <c r="L120" i="7"/>
  <c r="E121" i="7"/>
  <c r="M121" i="7"/>
  <c r="K122" i="7"/>
  <c r="L122" i="7" s="1"/>
  <c r="K123" i="7"/>
  <c r="L123" i="7"/>
  <c r="K124" i="7"/>
  <c r="L124" i="7"/>
  <c r="K125" i="7"/>
  <c r="L125" i="7"/>
  <c r="K126" i="7"/>
  <c r="L126" i="7" s="1"/>
  <c r="K127" i="7"/>
  <c r="L127" i="7"/>
  <c r="K128" i="7"/>
  <c r="L128" i="7"/>
  <c r="K129" i="7"/>
  <c r="L129" i="7"/>
  <c r="K130" i="7"/>
  <c r="L130" i="7" s="1"/>
  <c r="K131" i="7"/>
  <c r="L131" i="7"/>
  <c r="K132" i="7"/>
  <c r="L132" i="7"/>
  <c r="K133" i="7"/>
  <c r="L133" i="7"/>
  <c r="K134" i="7"/>
  <c r="L134" i="7" s="1"/>
  <c r="K135" i="7"/>
  <c r="L135" i="7"/>
  <c r="E136" i="7"/>
  <c r="M136" i="7"/>
  <c r="K137" i="7"/>
  <c r="L137" i="7"/>
  <c r="K138" i="7"/>
  <c r="L138" i="7"/>
  <c r="K139" i="7"/>
  <c r="L139" i="7"/>
  <c r="K140" i="7"/>
  <c r="L140" i="7" s="1"/>
  <c r="K141" i="7"/>
  <c r="L141" i="7"/>
  <c r="K142" i="7"/>
  <c r="L142" i="7"/>
  <c r="K143" i="7"/>
  <c r="L143" i="7"/>
  <c r="K144" i="7"/>
  <c r="L144" i="7" s="1"/>
  <c r="K145" i="7"/>
  <c r="L145" i="7"/>
  <c r="K146" i="7"/>
  <c r="L146" i="7"/>
  <c r="K147" i="7"/>
  <c r="L147" i="7"/>
  <c r="K148" i="7"/>
  <c r="L148" i="7" s="1"/>
  <c r="E149" i="7"/>
  <c r="M149" i="7"/>
  <c r="K150" i="7"/>
  <c r="L150" i="7"/>
  <c r="E151" i="7"/>
  <c r="L151" i="7"/>
  <c r="M151" i="7"/>
  <c r="K152" i="7"/>
  <c r="L152" i="7"/>
  <c r="K153" i="7"/>
  <c r="L153" i="7"/>
  <c r="K154" i="7"/>
  <c r="L154" i="7"/>
  <c r="K155" i="7"/>
  <c r="L155" i="7" s="1"/>
  <c r="K156" i="7"/>
  <c r="L156" i="7"/>
  <c r="K157" i="7"/>
  <c r="L157" i="7"/>
  <c r="K158" i="7"/>
  <c r="L158" i="7"/>
  <c r="K159" i="7"/>
  <c r="L159" i="7" s="1"/>
  <c r="K160" i="7"/>
  <c r="L160" i="7"/>
  <c r="K161" i="7"/>
  <c r="L161" i="7"/>
  <c r="K162" i="7"/>
  <c r="L162" i="7"/>
  <c r="K163" i="7"/>
  <c r="L163" i="7" s="1"/>
  <c r="K164" i="7"/>
  <c r="L164" i="7"/>
  <c r="K165" i="7"/>
  <c r="L165" i="7"/>
  <c r="K166" i="7"/>
  <c r="L166" i="7"/>
  <c r="K167" i="7"/>
  <c r="L167" i="7" s="1"/>
  <c r="K168" i="7"/>
  <c r="L168" i="7"/>
  <c r="K169" i="7"/>
  <c r="L169" i="7"/>
  <c r="K170" i="7"/>
  <c r="L170" i="7"/>
  <c r="E171" i="7"/>
  <c r="M171" i="7"/>
  <c r="K172" i="7"/>
  <c r="L172" i="7" s="1"/>
  <c r="K173" i="7"/>
  <c r="L173" i="7"/>
  <c r="K174" i="7"/>
  <c r="L174" i="7"/>
  <c r="K175" i="7"/>
  <c r="L175" i="7"/>
  <c r="K176" i="7"/>
  <c r="L176" i="7" s="1"/>
  <c r="K177" i="7"/>
  <c r="L177" i="7"/>
  <c r="K178" i="7"/>
  <c r="L178" i="7"/>
  <c r="K179" i="7"/>
  <c r="L179" i="7"/>
  <c r="K180" i="7"/>
  <c r="L180" i="7" s="1"/>
  <c r="K181" i="7"/>
  <c r="L181" i="7"/>
  <c r="K182" i="7"/>
  <c r="L182" i="7"/>
  <c r="K183" i="7"/>
  <c r="L183" i="7"/>
  <c r="K184" i="7"/>
  <c r="L184" i="7" s="1"/>
  <c r="K185" i="7"/>
  <c r="L185" i="7"/>
  <c r="K186" i="7"/>
  <c r="L186" i="7"/>
  <c r="K187" i="7"/>
  <c r="L187" i="7"/>
  <c r="E188" i="7"/>
  <c r="M188" i="7"/>
  <c r="K189" i="7"/>
  <c r="L189" i="7"/>
  <c r="K190" i="7"/>
  <c r="L190" i="7" s="1"/>
  <c r="K191" i="7"/>
  <c r="L191" i="7"/>
  <c r="K192" i="7"/>
  <c r="L192" i="7"/>
  <c r="K193" i="7"/>
  <c r="L193" i="7"/>
  <c r="K194" i="7"/>
  <c r="L194" i="7" s="1"/>
  <c r="K195" i="7"/>
  <c r="L195" i="7"/>
  <c r="K196" i="7"/>
  <c r="L196" i="7"/>
  <c r="K197" i="7"/>
  <c r="L197" i="7"/>
  <c r="K198" i="7"/>
  <c r="L198" i="7" s="1"/>
  <c r="K199" i="7"/>
  <c r="L199" i="7"/>
  <c r="E200" i="7"/>
  <c r="M200" i="7"/>
  <c r="K201" i="7"/>
  <c r="L201" i="7"/>
  <c r="L202" i="7" s="1"/>
  <c r="E202" i="7"/>
  <c r="M202" i="7"/>
  <c r="K203" i="7"/>
  <c r="L203" i="7"/>
  <c r="K204" i="7"/>
  <c r="L204" i="7"/>
  <c r="K205" i="7"/>
  <c r="L205" i="7" s="1"/>
  <c r="K206" i="7"/>
  <c r="L206" i="7"/>
  <c r="K207" i="7"/>
  <c r="L207" i="7"/>
  <c r="K208" i="7"/>
  <c r="L208" i="7"/>
  <c r="K209" i="7"/>
  <c r="L209" i="7" s="1"/>
  <c r="K210" i="7"/>
  <c r="L210" i="7"/>
  <c r="K211" i="7"/>
  <c r="L211" i="7"/>
  <c r="K212" i="7"/>
  <c r="L212" i="7"/>
  <c r="E213" i="7"/>
  <c r="M213" i="7"/>
  <c r="K214" i="7"/>
  <c r="L214" i="7" s="1"/>
  <c r="L304" i="7" s="1"/>
  <c r="K215" i="7"/>
  <c r="L215" i="7"/>
  <c r="K216" i="7"/>
  <c r="L216" i="7"/>
  <c r="K217" i="7"/>
  <c r="L217" i="7"/>
  <c r="K218" i="7"/>
  <c r="L218" i="7" s="1"/>
  <c r="K219" i="7"/>
  <c r="L219" i="7"/>
  <c r="K220" i="7"/>
  <c r="L220" i="7"/>
  <c r="K221" i="7"/>
  <c r="L221" i="7"/>
  <c r="K222" i="7"/>
  <c r="L222" i="7" s="1"/>
  <c r="K223" i="7"/>
  <c r="L223" i="7"/>
  <c r="K224" i="7"/>
  <c r="L224" i="7"/>
  <c r="K225" i="7"/>
  <c r="L225" i="7"/>
  <c r="K226" i="7"/>
  <c r="L226" i="7" s="1"/>
  <c r="K227" i="7"/>
  <c r="L227" i="7"/>
  <c r="K228" i="7"/>
  <c r="L228" i="7"/>
  <c r="K229" i="7"/>
  <c r="L229" i="7"/>
  <c r="K230" i="7"/>
  <c r="L230" i="7" s="1"/>
  <c r="K231" i="7"/>
  <c r="L231" i="7"/>
  <c r="K232" i="7"/>
  <c r="L232" i="7"/>
  <c r="K233" i="7"/>
  <c r="L233" i="7"/>
  <c r="K234" i="7"/>
  <c r="L234" i="7" s="1"/>
  <c r="K235" i="7"/>
  <c r="L235" i="7"/>
  <c r="K236" i="7"/>
  <c r="L236" i="7"/>
  <c r="K237" i="7"/>
  <c r="L237" i="7"/>
  <c r="K238" i="7"/>
  <c r="L238" i="7" s="1"/>
  <c r="K239" i="7"/>
  <c r="L239" i="7"/>
  <c r="K240" i="7"/>
  <c r="L240" i="7"/>
  <c r="K241" i="7"/>
  <c r="L241" i="7"/>
  <c r="K242" i="7"/>
  <c r="L242" i="7" s="1"/>
  <c r="K243" i="7"/>
  <c r="L243" i="7"/>
  <c r="K244" i="7"/>
  <c r="L244" i="7"/>
  <c r="K245" i="7"/>
  <c r="L245" i="7"/>
  <c r="K246" i="7"/>
  <c r="L246" i="7" s="1"/>
  <c r="K247" i="7"/>
  <c r="L247" i="7"/>
  <c r="K248" i="7"/>
  <c r="L248" i="7"/>
  <c r="K249" i="7"/>
  <c r="L249" i="7"/>
  <c r="K250" i="7"/>
  <c r="L250" i="7" s="1"/>
  <c r="K251" i="7"/>
  <c r="L251" i="7"/>
  <c r="K252" i="7"/>
  <c r="L252" i="7"/>
  <c r="K253" i="7"/>
  <c r="L253" i="7"/>
  <c r="K254" i="7"/>
  <c r="L254" i="7" s="1"/>
  <c r="K255" i="7"/>
  <c r="L255" i="7"/>
  <c r="K256" i="7"/>
  <c r="L256" i="7"/>
  <c r="K257" i="7"/>
  <c r="L257" i="7"/>
  <c r="K258" i="7"/>
  <c r="L258" i="7" s="1"/>
  <c r="K259" i="7"/>
  <c r="L259" i="7"/>
  <c r="K260" i="7"/>
  <c r="L260" i="7"/>
  <c r="K261" i="7"/>
  <c r="L261" i="7"/>
  <c r="K262" i="7"/>
  <c r="L262" i="7" s="1"/>
  <c r="K263" i="7"/>
  <c r="L263" i="7"/>
  <c r="K264" i="7"/>
  <c r="L264" i="7"/>
  <c r="K265" i="7"/>
  <c r="L265" i="7"/>
  <c r="K266" i="7"/>
  <c r="L266" i="7" s="1"/>
  <c r="K267" i="7"/>
  <c r="L267" i="7"/>
  <c r="K268" i="7"/>
  <c r="L268" i="7"/>
  <c r="K269" i="7"/>
  <c r="L269" i="7"/>
  <c r="K270" i="7"/>
  <c r="L270" i="7" s="1"/>
  <c r="K271" i="7"/>
  <c r="L271" i="7"/>
  <c r="K272" i="7"/>
  <c r="L272" i="7"/>
  <c r="K273" i="7"/>
  <c r="L273" i="7"/>
  <c r="K274" i="7"/>
  <c r="L274" i="7" s="1"/>
  <c r="K275" i="7"/>
  <c r="L275" i="7"/>
  <c r="K276" i="7"/>
  <c r="L276" i="7"/>
  <c r="K277" i="7"/>
  <c r="L277" i="7"/>
  <c r="K278" i="7"/>
  <c r="L278" i="7" s="1"/>
  <c r="K279" i="7"/>
  <c r="L279" i="7"/>
  <c r="K280" i="7"/>
  <c r="L280" i="7"/>
  <c r="K281" i="7"/>
  <c r="L281" i="7"/>
  <c r="K282" i="7"/>
  <c r="L282" i="7" s="1"/>
  <c r="K283" i="7"/>
  <c r="L283" i="7"/>
  <c r="K284" i="7"/>
  <c r="L284" i="7"/>
  <c r="K285" i="7"/>
  <c r="L285" i="7"/>
  <c r="K286" i="7"/>
  <c r="L286" i="7" s="1"/>
  <c r="K287" i="7"/>
  <c r="L287" i="7"/>
  <c r="K288" i="7"/>
  <c r="L288" i="7"/>
  <c r="K289" i="7"/>
  <c r="L289" i="7"/>
  <c r="K290" i="7"/>
  <c r="L290" i="7" s="1"/>
  <c r="K291" i="7"/>
  <c r="L291" i="7"/>
  <c r="K292" i="7"/>
  <c r="L292" i="7"/>
  <c r="K293" i="7"/>
  <c r="L293" i="7"/>
  <c r="K294" i="7"/>
  <c r="L294" i="7" s="1"/>
  <c r="K295" i="7"/>
  <c r="L295" i="7"/>
  <c r="K296" i="7"/>
  <c r="L296" i="7"/>
  <c r="K297" i="7"/>
  <c r="L297" i="7"/>
  <c r="K298" i="7"/>
  <c r="L298" i="7" s="1"/>
  <c r="K299" i="7"/>
  <c r="L299" i="7"/>
  <c r="K300" i="7"/>
  <c r="L300" i="7"/>
  <c r="K301" i="7"/>
  <c r="L301" i="7"/>
  <c r="K302" i="7"/>
  <c r="L302" i="7" s="1"/>
  <c r="K303" i="7"/>
  <c r="L303" i="7"/>
  <c r="E304" i="7"/>
  <c r="M304" i="7"/>
  <c r="K305" i="7"/>
  <c r="L305" i="7" s="1"/>
  <c r="L306" i="7" s="1"/>
  <c r="E306" i="7"/>
  <c r="M306" i="7"/>
  <c r="K307" i="7"/>
  <c r="L307" i="7"/>
  <c r="L309" i="7" s="1"/>
  <c r="K308" i="7"/>
  <c r="L308" i="7"/>
  <c r="E309" i="7"/>
  <c r="M309" i="7"/>
  <c r="K310" i="7"/>
  <c r="L310" i="7"/>
  <c r="L331" i="7" s="1"/>
  <c r="K311" i="7"/>
  <c r="L311" i="7" s="1"/>
  <c r="K312" i="7"/>
  <c r="L312" i="7" s="1"/>
  <c r="K313" i="7"/>
  <c r="L313" i="7"/>
  <c r="K314" i="7"/>
  <c r="L314" i="7"/>
  <c r="K315" i="7"/>
  <c r="L315" i="7" s="1"/>
  <c r="K316" i="7"/>
  <c r="L316" i="7" s="1"/>
  <c r="K317" i="7"/>
  <c r="L317" i="7"/>
  <c r="K318" i="7"/>
  <c r="L318" i="7"/>
  <c r="K319" i="7"/>
  <c r="L319" i="7" s="1"/>
  <c r="K320" i="7"/>
  <c r="L320" i="7" s="1"/>
  <c r="K321" i="7"/>
  <c r="L321" i="7"/>
  <c r="K322" i="7"/>
  <c r="L322" i="7"/>
  <c r="K323" i="7"/>
  <c r="L323" i="7" s="1"/>
  <c r="K324" i="7"/>
  <c r="L324" i="7" s="1"/>
  <c r="K325" i="7"/>
  <c r="L325" i="7"/>
  <c r="K326" i="7"/>
  <c r="L326" i="7"/>
  <c r="K327" i="7"/>
  <c r="L327" i="7" s="1"/>
  <c r="K328" i="7"/>
  <c r="L328" i="7" s="1"/>
  <c r="K329" i="7"/>
  <c r="L329" i="7"/>
  <c r="K330" i="7"/>
  <c r="L330" i="7"/>
  <c r="E331" i="7"/>
  <c r="M331" i="7"/>
  <c r="K332" i="7"/>
  <c r="L332" i="7" s="1"/>
  <c r="K333" i="7"/>
  <c r="L333" i="7"/>
  <c r="K334" i="7"/>
  <c r="L334" i="7"/>
  <c r="K335" i="7"/>
  <c r="L335" i="7"/>
  <c r="K336" i="7"/>
  <c r="L336" i="7" s="1"/>
  <c r="K337" i="7"/>
  <c r="L337" i="7"/>
  <c r="K338" i="7"/>
  <c r="L338" i="7"/>
  <c r="K339" i="7"/>
  <c r="L339" i="7"/>
  <c r="K340" i="7"/>
  <c r="L340" i="7" s="1"/>
  <c r="K341" i="7"/>
  <c r="L341" i="7"/>
  <c r="K342" i="7"/>
  <c r="L342" i="7"/>
  <c r="K343" i="7"/>
  <c r="L343" i="7"/>
  <c r="K344" i="7"/>
  <c r="L344" i="7" s="1"/>
  <c r="K345" i="7"/>
  <c r="L345" i="7"/>
  <c r="K346" i="7"/>
  <c r="L346" i="7"/>
  <c r="K347" i="7"/>
  <c r="L347" i="7"/>
  <c r="K348" i="7"/>
  <c r="L348" i="7" s="1"/>
  <c r="K349" i="7"/>
  <c r="L349" i="7"/>
  <c r="K350" i="7"/>
  <c r="L350" i="7"/>
  <c r="K351" i="7"/>
  <c r="L351" i="7"/>
  <c r="K352" i="7"/>
  <c r="L352" i="7" s="1"/>
  <c r="K353" i="7"/>
  <c r="L353" i="7"/>
  <c r="K354" i="7"/>
  <c r="L354" i="7"/>
  <c r="K355" i="7"/>
  <c r="L355" i="7"/>
  <c r="K356" i="7"/>
  <c r="L356" i="7" s="1"/>
  <c r="K357" i="7"/>
  <c r="L357" i="7"/>
  <c r="K358" i="7"/>
  <c r="L358" i="7"/>
  <c r="K359" i="7"/>
  <c r="L359" i="7"/>
  <c r="K360" i="7"/>
  <c r="L360" i="7" s="1"/>
  <c r="K361" i="7"/>
  <c r="L361" i="7"/>
  <c r="K362" i="7"/>
  <c r="L362" i="7"/>
  <c r="K363" i="7"/>
  <c r="L363" i="7"/>
  <c r="K364" i="7"/>
  <c r="L364" i="7" s="1"/>
  <c r="K365" i="7"/>
  <c r="L365" i="7"/>
  <c r="K366" i="7"/>
  <c r="L366" i="7"/>
  <c r="K367" i="7"/>
  <c r="L367" i="7"/>
  <c r="K368" i="7"/>
  <c r="L368" i="7" s="1"/>
  <c r="K369" i="7"/>
  <c r="L369" i="7"/>
  <c r="K370" i="7"/>
  <c r="L370" i="7"/>
  <c r="K371" i="7"/>
  <c r="L371" i="7"/>
  <c r="K372" i="7"/>
  <c r="L372" i="7" s="1"/>
  <c r="K373" i="7"/>
  <c r="L373" i="7"/>
  <c r="K374" i="7"/>
  <c r="L374" i="7"/>
  <c r="K375" i="7"/>
  <c r="L375" i="7"/>
  <c r="K376" i="7"/>
  <c r="L376" i="7" s="1"/>
  <c r="K377" i="7"/>
  <c r="L377" i="7"/>
  <c r="K378" i="7"/>
  <c r="L378" i="7"/>
  <c r="K379" i="7"/>
  <c r="L379" i="7"/>
  <c r="K380" i="7"/>
  <c r="L380" i="7" s="1"/>
  <c r="K381" i="7"/>
  <c r="L381" i="7"/>
  <c r="K382" i="7"/>
  <c r="L382" i="7"/>
  <c r="K383" i="7"/>
  <c r="L383" i="7"/>
  <c r="K384" i="7"/>
  <c r="L384" i="7" s="1"/>
  <c r="K385" i="7"/>
  <c r="L385" i="7"/>
  <c r="K386" i="7"/>
  <c r="L386" i="7"/>
  <c r="K387" i="7"/>
  <c r="L387" i="7"/>
  <c r="K388" i="7"/>
  <c r="L388" i="7" s="1"/>
  <c r="K389" i="7"/>
  <c r="L389" i="7"/>
  <c r="K390" i="7"/>
  <c r="L390" i="7"/>
  <c r="K391" i="7"/>
  <c r="L391" i="7"/>
  <c r="K392" i="7"/>
  <c r="L392" i="7" s="1"/>
  <c r="K393" i="7"/>
  <c r="L393" i="7"/>
  <c r="K394" i="7"/>
  <c r="L394" i="7"/>
  <c r="K395" i="7"/>
  <c r="L395" i="7"/>
  <c r="K396" i="7"/>
  <c r="L396" i="7" s="1"/>
  <c r="K397" i="7"/>
  <c r="L397" i="7"/>
  <c r="K398" i="7"/>
  <c r="L398" i="7"/>
  <c r="K399" i="7"/>
  <c r="L399" i="7"/>
  <c r="K400" i="7"/>
  <c r="L400" i="7" s="1"/>
  <c r="K401" i="7"/>
  <c r="L401" i="7"/>
  <c r="K402" i="7"/>
  <c r="L402" i="7"/>
  <c r="K403" i="7"/>
  <c r="L403" i="7"/>
  <c r="K404" i="7"/>
  <c r="L404" i="7" s="1"/>
  <c r="K405" i="7"/>
  <c r="L405" i="7"/>
  <c r="K406" i="7"/>
  <c r="L406" i="7"/>
  <c r="K407" i="7"/>
  <c r="L407" i="7"/>
  <c r="K408" i="7"/>
  <c r="L408" i="7" s="1"/>
  <c r="K409" i="7"/>
  <c r="L409" i="7"/>
  <c r="K410" i="7"/>
  <c r="L410" i="7"/>
  <c r="K411" i="7"/>
  <c r="L411" i="7"/>
  <c r="K412" i="7"/>
  <c r="L412" i="7" s="1"/>
  <c r="K413" i="7"/>
  <c r="L413" i="7"/>
  <c r="K414" i="7"/>
  <c r="L414" i="7"/>
  <c r="E415" i="7"/>
  <c r="M415" i="7"/>
  <c r="L213" i="7" l="1"/>
  <c r="L188" i="7"/>
  <c r="L200" i="7"/>
  <c r="L86" i="7"/>
  <c r="L136" i="7"/>
  <c r="L415" i="7"/>
  <c r="L171" i="7"/>
  <c r="L149" i="7"/>
  <c r="L52" i="7"/>
  <c r="L121" i="7"/>
  <c r="L62" i="7"/>
  <c r="L38" i="7"/>
  <c r="L417" i="7" s="1"/>
  <c r="K4" i="6"/>
  <c r="L4" i="6"/>
  <c r="L22" i="6" s="1"/>
  <c r="K5" i="6"/>
  <c r="L5" i="6"/>
  <c r="K6" i="6"/>
  <c r="L6" i="6" s="1"/>
  <c r="K7" i="6"/>
  <c r="L7" i="6" s="1"/>
  <c r="K8" i="6"/>
  <c r="L8" i="6"/>
  <c r="K9" i="6"/>
  <c r="L9" i="6"/>
  <c r="K10" i="6"/>
  <c r="L10" i="6" s="1"/>
  <c r="K11" i="6"/>
  <c r="L11" i="6" s="1"/>
  <c r="K12" i="6"/>
  <c r="L12" i="6"/>
  <c r="K13" i="6"/>
  <c r="L13" i="6"/>
  <c r="K14" i="6"/>
  <c r="L14" i="6" s="1"/>
  <c r="K15" i="6"/>
  <c r="L15" i="6" s="1"/>
  <c r="K16" i="6"/>
  <c r="L16" i="6"/>
  <c r="K17" i="6"/>
  <c r="L17" i="6"/>
  <c r="K18" i="6"/>
  <c r="L18" i="6" s="1"/>
  <c r="K19" i="6"/>
  <c r="L19" i="6" s="1"/>
  <c r="K20" i="6"/>
  <c r="L20" i="6"/>
  <c r="K21" i="6"/>
  <c r="L21" i="6"/>
  <c r="E22" i="6"/>
  <c r="M22" i="6"/>
  <c r="K23" i="6"/>
  <c r="L23" i="6"/>
  <c r="K24" i="6"/>
  <c r="L24" i="6" s="1"/>
  <c r="K25" i="6"/>
  <c r="L25" i="6" s="1"/>
  <c r="K26" i="6"/>
  <c r="L26" i="6"/>
  <c r="K27" i="6"/>
  <c r="L27" i="6"/>
  <c r="K28" i="6"/>
  <c r="L28" i="6" s="1"/>
  <c r="K29" i="6"/>
  <c r="L29" i="6" s="1"/>
  <c r="K30" i="6"/>
  <c r="L30" i="6"/>
  <c r="K31" i="6"/>
  <c r="L31" i="6"/>
  <c r="K32" i="6"/>
  <c r="L32" i="6" s="1"/>
  <c r="K33" i="6"/>
  <c r="L33" i="6" s="1"/>
  <c r="K34" i="6"/>
  <c r="L34" i="6"/>
  <c r="E35" i="6"/>
  <c r="M35" i="6"/>
  <c r="M287" i="6" s="1"/>
  <c r="K36" i="6"/>
  <c r="L36" i="6"/>
  <c r="L41" i="6" s="1"/>
  <c r="K37" i="6"/>
  <c r="L37" i="6" s="1"/>
  <c r="K38" i="6"/>
  <c r="L38" i="6" s="1"/>
  <c r="K39" i="6"/>
  <c r="L39" i="6"/>
  <c r="K40" i="6"/>
  <c r="L40" i="6"/>
  <c r="E41" i="6"/>
  <c r="M41" i="6"/>
  <c r="K42" i="6"/>
  <c r="L42" i="6"/>
  <c r="K43" i="6"/>
  <c r="L43" i="6" s="1"/>
  <c r="K44" i="6"/>
  <c r="L44" i="6" s="1"/>
  <c r="K45" i="6"/>
  <c r="L45" i="6"/>
  <c r="K46" i="6"/>
  <c r="L46" i="6"/>
  <c r="K47" i="6"/>
  <c r="L47" i="6" s="1"/>
  <c r="K48" i="6"/>
  <c r="L48" i="6" s="1"/>
  <c r="K49" i="6"/>
  <c r="L49" i="6"/>
  <c r="K50" i="6"/>
  <c r="L50" i="6"/>
  <c r="K51" i="6"/>
  <c r="L51" i="6" s="1"/>
  <c r="K52" i="6"/>
  <c r="L52" i="6" s="1"/>
  <c r="K53" i="6"/>
  <c r="L53" i="6"/>
  <c r="K54" i="6"/>
  <c r="L54" i="6"/>
  <c r="K55" i="6"/>
  <c r="L55" i="6" s="1"/>
  <c r="K56" i="6"/>
  <c r="L56" i="6" s="1"/>
  <c r="E57" i="6"/>
  <c r="M57" i="6"/>
  <c r="K58" i="6"/>
  <c r="L58" i="6"/>
  <c r="L65" i="6" s="1"/>
  <c r="K59" i="6"/>
  <c r="L59" i="6"/>
  <c r="K60" i="6"/>
  <c r="L60" i="6"/>
  <c r="K61" i="6"/>
  <c r="L61" i="6" s="1"/>
  <c r="K62" i="6"/>
  <c r="L62" i="6"/>
  <c r="K63" i="6"/>
  <c r="L63" i="6"/>
  <c r="K64" i="6"/>
  <c r="L64" i="6"/>
  <c r="E65" i="6"/>
  <c r="M65" i="6"/>
  <c r="K66" i="6"/>
  <c r="L66" i="6" s="1"/>
  <c r="K67" i="6"/>
  <c r="L67" i="6" s="1"/>
  <c r="K68" i="6"/>
  <c r="L68" i="6"/>
  <c r="K69" i="6"/>
  <c r="L69" i="6"/>
  <c r="K70" i="6"/>
  <c r="L70" i="6" s="1"/>
  <c r="K71" i="6"/>
  <c r="L71" i="6" s="1"/>
  <c r="K72" i="6"/>
  <c r="L72" i="6"/>
  <c r="K73" i="6"/>
  <c r="L73" i="6"/>
  <c r="K74" i="6"/>
  <c r="L74" i="6" s="1"/>
  <c r="K75" i="6"/>
  <c r="L75" i="6" s="1"/>
  <c r="K76" i="6"/>
  <c r="L76" i="6"/>
  <c r="K77" i="6"/>
  <c r="L77" i="6"/>
  <c r="E78" i="6"/>
  <c r="E287" i="6" s="1"/>
  <c r="M78" i="6"/>
  <c r="K79" i="6"/>
  <c r="L79" i="6"/>
  <c r="K80" i="6"/>
  <c r="L80" i="6" s="1"/>
  <c r="L89" i="6" s="1"/>
  <c r="K81" i="6"/>
  <c r="L81" i="6"/>
  <c r="K82" i="6"/>
  <c r="L82" i="6"/>
  <c r="K83" i="6"/>
  <c r="L83" i="6"/>
  <c r="K84" i="6"/>
  <c r="L84" i="6" s="1"/>
  <c r="K85" i="6"/>
  <c r="L85" i="6"/>
  <c r="K86" i="6"/>
  <c r="L86" i="6"/>
  <c r="K87" i="6"/>
  <c r="L87" i="6"/>
  <c r="K88" i="6"/>
  <c r="L88" i="6" s="1"/>
  <c r="E89" i="6"/>
  <c r="M89" i="6"/>
  <c r="K90" i="6"/>
  <c r="L90" i="6" s="1"/>
  <c r="K91" i="6"/>
  <c r="L91" i="6"/>
  <c r="K92" i="6"/>
  <c r="L92" i="6"/>
  <c r="K93" i="6"/>
  <c r="L93" i="6" s="1"/>
  <c r="K94" i="6"/>
  <c r="L94" i="6" s="1"/>
  <c r="K95" i="6"/>
  <c r="L95" i="6"/>
  <c r="K96" i="6"/>
  <c r="L96" i="6"/>
  <c r="E97" i="6"/>
  <c r="M97" i="6"/>
  <c r="K98" i="6"/>
  <c r="L98" i="6"/>
  <c r="L99" i="6" s="1"/>
  <c r="E99" i="6"/>
  <c r="M99" i="6"/>
  <c r="K100" i="6"/>
  <c r="L100" i="6" s="1"/>
  <c r="K101" i="6"/>
  <c r="L101" i="6" s="1"/>
  <c r="K102" i="6"/>
  <c r="L102" i="6"/>
  <c r="K103" i="6"/>
  <c r="L103" i="6"/>
  <c r="K104" i="6"/>
  <c r="L104" i="6" s="1"/>
  <c r="K105" i="6"/>
  <c r="L105" i="6" s="1"/>
  <c r="K106" i="6"/>
  <c r="L106" i="6"/>
  <c r="K107" i="6"/>
  <c r="L107" i="6"/>
  <c r="K108" i="6"/>
  <c r="L108" i="6" s="1"/>
  <c r="K109" i="6"/>
  <c r="L109" i="6" s="1"/>
  <c r="K110" i="6"/>
  <c r="L110" i="6"/>
  <c r="K111" i="6"/>
  <c r="L111" i="6"/>
  <c r="K112" i="6"/>
  <c r="L112" i="6" s="1"/>
  <c r="E113" i="6"/>
  <c r="M113" i="6"/>
  <c r="K114" i="6"/>
  <c r="L114" i="6" s="1"/>
  <c r="K115" i="6"/>
  <c r="L115" i="6"/>
  <c r="K116" i="6"/>
  <c r="L116" i="6"/>
  <c r="K117" i="6"/>
  <c r="L117" i="6"/>
  <c r="K118" i="6"/>
  <c r="L118" i="6" s="1"/>
  <c r="K119" i="6"/>
  <c r="L119" i="6"/>
  <c r="K120" i="6"/>
  <c r="L120" i="6"/>
  <c r="K121" i="6"/>
  <c r="L121" i="6"/>
  <c r="K122" i="6"/>
  <c r="L122" i="6" s="1"/>
  <c r="K123" i="6"/>
  <c r="L123" i="6"/>
  <c r="K124" i="6"/>
  <c r="L124" i="6"/>
  <c r="K125" i="6"/>
  <c r="L125" i="6"/>
  <c r="K126" i="6"/>
  <c r="L126" i="6" s="1"/>
  <c r="K127" i="6"/>
  <c r="L127" i="6"/>
  <c r="E128" i="6"/>
  <c r="M128" i="6"/>
  <c r="K129" i="6"/>
  <c r="L129" i="6"/>
  <c r="K130" i="6"/>
  <c r="L130" i="6"/>
  <c r="K131" i="6"/>
  <c r="L131" i="6" s="1"/>
  <c r="K132" i="6"/>
  <c r="L132" i="6" s="1"/>
  <c r="K133" i="6"/>
  <c r="L133" i="6"/>
  <c r="K134" i="6"/>
  <c r="L134" i="6"/>
  <c r="K135" i="6"/>
  <c r="L135" i="6" s="1"/>
  <c r="K136" i="6"/>
  <c r="L136" i="6" s="1"/>
  <c r="E137" i="6"/>
  <c r="M137" i="6"/>
  <c r="K138" i="6"/>
  <c r="L138" i="6"/>
  <c r="L146" i="6" s="1"/>
  <c r="K139" i="6"/>
  <c r="L139" i="6"/>
  <c r="K140" i="6"/>
  <c r="L140" i="6"/>
  <c r="K141" i="6"/>
  <c r="L141" i="6" s="1"/>
  <c r="K142" i="6"/>
  <c r="L142" i="6"/>
  <c r="K143" i="6"/>
  <c r="L143" i="6"/>
  <c r="K144" i="6"/>
  <c r="L144" i="6"/>
  <c r="K145" i="6"/>
  <c r="L145" i="6" s="1"/>
  <c r="E146" i="6"/>
  <c r="M146" i="6"/>
  <c r="K147" i="6"/>
  <c r="L147" i="6" s="1"/>
  <c r="K148" i="6"/>
  <c r="L148" i="6"/>
  <c r="K149" i="6"/>
  <c r="L149" i="6"/>
  <c r="K150" i="6"/>
  <c r="L150" i="6" s="1"/>
  <c r="K151" i="6"/>
  <c r="L151" i="6" s="1"/>
  <c r="K152" i="6"/>
  <c r="L152" i="6"/>
  <c r="K153" i="6"/>
  <c r="L153" i="6"/>
  <c r="K154" i="6"/>
  <c r="L154" i="6" s="1"/>
  <c r="K155" i="6"/>
  <c r="L155" i="6" s="1"/>
  <c r="K156" i="6"/>
  <c r="L156" i="6"/>
  <c r="K157" i="6"/>
  <c r="L157" i="6"/>
  <c r="K158" i="6"/>
  <c r="L158" i="6" s="1"/>
  <c r="K159" i="6"/>
  <c r="L159" i="6" s="1"/>
  <c r="K160" i="6"/>
  <c r="L160" i="6"/>
  <c r="K161" i="6"/>
  <c r="L161" i="6"/>
  <c r="K162" i="6"/>
  <c r="L162" i="6" s="1"/>
  <c r="K163" i="6"/>
  <c r="L163" i="6" s="1"/>
  <c r="K164" i="6"/>
  <c r="L164" i="6"/>
  <c r="K165" i="6"/>
  <c r="L165" i="6"/>
  <c r="K166" i="6"/>
  <c r="L166" i="6" s="1"/>
  <c r="K167" i="6"/>
  <c r="L167" i="6" s="1"/>
  <c r="K168" i="6"/>
  <c r="L168" i="6"/>
  <c r="K169" i="6"/>
  <c r="L169" i="6"/>
  <c r="K170" i="6"/>
  <c r="L170" i="6" s="1"/>
  <c r="K171" i="6"/>
  <c r="L171" i="6" s="1"/>
  <c r="K172" i="6"/>
  <c r="L172" i="6"/>
  <c r="K173" i="6"/>
  <c r="L173" i="6"/>
  <c r="K174" i="6"/>
  <c r="L174" i="6" s="1"/>
  <c r="K175" i="6"/>
  <c r="L175" i="6" s="1"/>
  <c r="K176" i="6"/>
  <c r="L176" i="6"/>
  <c r="K177" i="6"/>
  <c r="L177" i="6"/>
  <c r="K178" i="6"/>
  <c r="L178" i="6" s="1"/>
  <c r="K179" i="6"/>
  <c r="L179" i="6" s="1"/>
  <c r="K180" i="6"/>
  <c r="L180" i="6"/>
  <c r="K181" i="6"/>
  <c r="L181" i="6"/>
  <c r="K182" i="6"/>
  <c r="L182" i="6" s="1"/>
  <c r="K183" i="6"/>
  <c r="L183" i="6" s="1"/>
  <c r="K184" i="6"/>
  <c r="L184" i="6"/>
  <c r="K185" i="6"/>
  <c r="L185" i="6"/>
  <c r="K186" i="6"/>
  <c r="L186" i="6" s="1"/>
  <c r="K187" i="6"/>
  <c r="L187" i="6" s="1"/>
  <c r="K188" i="6"/>
  <c r="L188" i="6"/>
  <c r="K189" i="6"/>
  <c r="L189" i="6"/>
  <c r="K190" i="6"/>
  <c r="L190" i="6" s="1"/>
  <c r="K191" i="6"/>
  <c r="L191" i="6" s="1"/>
  <c r="K192" i="6"/>
  <c r="L192" i="6"/>
  <c r="K193" i="6"/>
  <c r="L193" i="6"/>
  <c r="K194" i="6"/>
  <c r="L194" i="6" s="1"/>
  <c r="K195" i="6"/>
  <c r="L195" i="6" s="1"/>
  <c r="K196" i="6"/>
  <c r="L196" i="6"/>
  <c r="K197" i="6"/>
  <c r="L197" i="6"/>
  <c r="K198" i="6"/>
  <c r="L198" i="6" s="1"/>
  <c r="K199" i="6"/>
  <c r="L199" i="6" s="1"/>
  <c r="K200" i="6"/>
  <c r="L200" i="6"/>
  <c r="K201" i="6"/>
  <c r="L201" i="6"/>
  <c r="K202" i="6"/>
  <c r="L202" i="6" s="1"/>
  <c r="K203" i="6"/>
  <c r="L203" i="6" s="1"/>
  <c r="K204" i="6"/>
  <c r="L204" i="6"/>
  <c r="K205" i="6"/>
  <c r="L205" i="6"/>
  <c r="K206" i="6"/>
  <c r="L206" i="6" s="1"/>
  <c r="K207" i="6"/>
  <c r="L207" i="6" s="1"/>
  <c r="K208" i="6"/>
  <c r="L208" i="6"/>
  <c r="K209" i="6"/>
  <c r="L209" i="6"/>
  <c r="K210" i="6"/>
  <c r="L210" i="6" s="1"/>
  <c r="K211" i="6"/>
  <c r="L211" i="6" s="1"/>
  <c r="E212" i="6"/>
  <c r="M212" i="6"/>
  <c r="K213" i="6"/>
  <c r="L213" i="6"/>
  <c r="L214" i="6" s="1"/>
  <c r="E214" i="6"/>
  <c r="M214" i="6"/>
  <c r="K215" i="6"/>
  <c r="L215" i="6"/>
  <c r="E216" i="6"/>
  <c r="L216" i="6"/>
  <c r="M216" i="6"/>
  <c r="K217" i="6"/>
  <c r="L217" i="6"/>
  <c r="K218" i="6"/>
  <c r="L218" i="6"/>
  <c r="K219" i="6"/>
  <c r="L219" i="6" s="1"/>
  <c r="L228" i="6" s="1"/>
  <c r="K220" i="6"/>
  <c r="L220" i="6"/>
  <c r="K221" i="6"/>
  <c r="L221" i="6"/>
  <c r="K222" i="6"/>
  <c r="L222" i="6"/>
  <c r="K223" i="6"/>
  <c r="L223" i="6" s="1"/>
  <c r="K224" i="6"/>
  <c r="L224" i="6"/>
  <c r="K225" i="6"/>
  <c r="L225" i="6"/>
  <c r="K226" i="6"/>
  <c r="L226" i="6"/>
  <c r="K227" i="6"/>
  <c r="L227" i="6" s="1"/>
  <c r="E228" i="6"/>
  <c r="M228" i="6"/>
  <c r="K229" i="6"/>
  <c r="L229" i="6" s="1"/>
  <c r="L285" i="6" s="1"/>
  <c r="K230" i="6"/>
  <c r="L230" i="6"/>
  <c r="K231" i="6"/>
  <c r="L231" i="6"/>
  <c r="K232" i="6"/>
  <c r="L232" i="6" s="1"/>
  <c r="K233" i="6"/>
  <c r="L233" i="6" s="1"/>
  <c r="K234" i="6"/>
  <c r="L234" i="6"/>
  <c r="K235" i="6"/>
  <c r="L235" i="6"/>
  <c r="K236" i="6"/>
  <c r="L236" i="6" s="1"/>
  <c r="K237" i="6"/>
  <c r="L237" i="6" s="1"/>
  <c r="K238" i="6"/>
  <c r="L238" i="6"/>
  <c r="K239" i="6"/>
  <c r="L239" i="6"/>
  <c r="K240" i="6"/>
  <c r="L240" i="6" s="1"/>
  <c r="K241" i="6"/>
  <c r="L241" i="6" s="1"/>
  <c r="K242" i="6"/>
  <c r="L242" i="6"/>
  <c r="K243" i="6"/>
  <c r="L243" i="6"/>
  <c r="K244" i="6"/>
  <c r="L244" i="6" s="1"/>
  <c r="K245" i="6"/>
  <c r="L245" i="6" s="1"/>
  <c r="K246" i="6"/>
  <c r="L246" i="6"/>
  <c r="K247" i="6"/>
  <c r="L247" i="6"/>
  <c r="K248" i="6"/>
  <c r="L248" i="6" s="1"/>
  <c r="K249" i="6"/>
  <c r="L249" i="6" s="1"/>
  <c r="K250" i="6"/>
  <c r="L250" i="6"/>
  <c r="K251" i="6"/>
  <c r="L251" i="6"/>
  <c r="K252" i="6"/>
  <c r="L252" i="6" s="1"/>
  <c r="K253" i="6"/>
  <c r="L253" i="6" s="1"/>
  <c r="K254" i="6"/>
  <c r="L254" i="6"/>
  <c r="K255" i="6"/>
  <c r="L255" i="6"/>
  <c r="K256" i="6"/>
  <c r="L256" i="6" s="1"/>
  <c r="K257" i="6"/>
  <c r="L257" i="6" s="1"/>
  <c r="K258" i="6"/>
  <c r="L258" i="6"/>
  <c r="K259" i="6"/>
  <c r="L259" i="6"/>
  <c r="K260" i="6"/>
  <c r="L260" i="6" s="1"/>
  <c r="K261" i="6"/>
  <c r="L261" i="6" s="1"/>
  <c r="K262" i="6"/>
  <c r="L262" i="6"/>
  <c r="K263" i="6"/>
  <c r="L263" i="6"/>
  <c r="K264" i="6"/>
  <c r="L264" i="6" s="1"/>
  <c r="K265" i="6"/>
  <c r="L265" i="6" s="1"/>
  <c r="K266" i="6"/>
  <c r="L266" i="6"/>
  <c r="K267" i="6"/>
  <c r="L267" i="6"/>
  <c r="K268" i="6"/>
  <c r="L268" i="6" s="1"/>
  <c r="K269" i="6"/>
  <c r="L269" i="6" s="1"/>
  <c r="K270" i="6"/>
  <c r="L270" i="6"/>
  <c r="K271" i="6"/>
  <c r="L271" i="6"/>
  <c r="K272" i="6"/>
  <c r="L272" i="6" s="1"/>
  <c r="K273" i="6"/>
  <c r="L273" i="6" s="1"/>
  <c r="K274" i="6"/>
  <c r="L274" i="6"/>
  <c r="K275" i="6"/>
  <c r="L275" i="6"/>
  <c r="K276" i="6"/>
  <c r="L276" i="6" s="1"/>
  <c r="K277" i="6"/>
  <c r="L277" i="6" s="1"/>
  <c r="K278" i="6"/>
  <c r="L278" i="6"/>
  <c r="K279" i="6"/>
  <c r="L279" i="6"/>
  <c r="K280" i="6"/>
  <c r="L280" i="6" s="1"/>
  <c r="K281" i="6"/>
  <c r="L281" i="6" s="1"/>
  <c r="K282" i="6"/>
  <c r="L282" i="6"/>
  <c r="K283" i="6"/>
  <c r="L283" i="6"/>
  <c r="K284" i="6"/>
  <c r="L284" i="6" s="1"/>
  <c r="E285" i="6"/>
  <c r="M285" i="6"/>
  <c r="L57" i="6" l="1"/>
  <c r="L137" i="6"/>
  <c r="L113" i="6"/>
  <c r="L78" i="6"/>
  <c r="L97" i="6"/>
  <c r="L212" i="6"/>
  <c r="L128" i="6"/>
  <c r="L35" i="6"/>
  <c r="L287" i="6" s="1"/>
  <c r="K4" i="5"/>
  <c r="L4" i="5"/>
  <c r="K5" i="5"/>
  <c r="L5" i="5" s="1"/>
  <c r="K6" i="5"/>
  <c r="L6" i="5"/>
  <c r="K7" i="5"/>
  <c r="L7" i="5"/>
  <c r="K8" i="5"/>
  <c r="L8" i="5"/>
  <c r="K9" i="5"/>
  <c r="L9" i="5" s="1"/>
  <c r="K10" i="5"/>
  <c r="L10" i="5"/>
  <c r="K11" i="5"/>
  <c r="L11" i="5"/>
  <c r="K12" i="5"/>
  <c r="L12" i="5"/>
  <c r="K13" i="5"/>
  <c r="L13" i="5" s="1"/>
  <c r="K14" i="5"/>
  <c r="L14" i="5"/>
  <c r="K15" i="5"/>
  <c r="L15" i="5"/>
  <c r="E16" i="5"/>
  <c r="M16" i="5"/>
  <c r="K17" i="5"/>
  <c r="L17" i="5" s="1"/>
  <c r="K18" i="5"/>
  <c r="L18" i="5"/>
  <c r="K19" i="5"/>
  <c r="L19" i="5" s="1"/>
  <c r="K20" i="5"/>
  <c r="L20" i="5" s="1"/>
  <c r="K21" i="5"/>
  <c r="L21" i="5" s="1"/>
  <c r="K22" i="5"/>
  <c r="L22" i="5"/>
  <c r="K23" i="5"/>
  <c r="L23" i="5" s="1"/>
  <c r="K24" i="5"/>
  <c r="L24" i="5" s="1"/>
  <c r="K25" i="5"/>
  <c r="L25" i="5" s="1"/>
  <c r="E26" i="5"/>
  <c r="E183" i="5" s="1"/>
  <c r="M26" i="5"/>
  <c r="M183" i="5" s="1"/>
  <c r="K27" i="5"/>
  <c r="L27" i="5"/>
  <c r="K28" i="5"/>
  <c r="L28" i="5" s="1"/>
  <c r="L30" i="5" s="1"/>
  <c r="K29" i="5"/>
  <c r="L29" i="5"/>
  <c r="E30" i="5"/>
  <c r="M30" i="5"/>
  <c r="K31" i="5"/>
  <c r="L31" i="5" s="1"/>
  <c r="L39" i="5" s="1"/>
  <c r="K32" i="5"/>
  <c r="L32" i="5" s="1"/>
  <c r="K33" i="5"/>
  <c r="L33" i="5"/>
  <c r="K34" i="5"/>
  <c r="L34" i="5" s="1"/>
  <c r="K35" i="5"/>
  <c r="L35" i="5" s="1"/>
  <c r="K36" i="5"/>
  <c r="L36" i="5" s="1"/>
  <c r="K37" i="5"/>
  <c r="L37" i="5"/>
  <c r="K38" i="5"/>
  <c r="L38" i="5" s="1"/>
  <c r="E39" i="5"/>
  <c r="M39" i="5"/>
  <c r="K40" i="5"/>
  <c r="L40" i="5"/>
  <c r="K41" i="5"/>
  <c r="L41" i="5"/>
  <c r="L42" i="5" s="1"/>
  <c r="E42" i="5"/>
  <c r="M42" i="5"/>
  <c r="K43" i="5"/>
  <c r="L43" i="5" s="1"/>
  <c r="K44" i="5"/>
  <c r="L44" i="5"/>
  <c r="K45" i="5"/>
  <c r="L45" i="5" s="1"/>
  <c r="K46" i="5"/>
  <c r="L46" i="5" s="1"/>
  <c r="K47" i="5"/>
  <c r="L47" i="5" s="1"/>
  <c r="K48" i="5"/>
  <c r="L48" i="5"/>
  <c r="E49" i="5"/>
  <c r="M49" i="5"/>
  <c r="K50" i="5"/>
  <c r="L50" i="5" s="1"/>
  <c r="K51" i="5"/>
  <c r="L51" i="5"/>
  <c r="K52" i="5"/>
  <c r="L52" i="5"/>
  <c r="K53" i="5"/>
  <c r="L53" i="5"/>
  <c r="K54" i="5"/>
  <c r="L54" i="5" s="1"/>
  <c r="K55" i="5"/>
  <c r="L55" i="5"/>
  <c r="K56" i="5"/>
  <c r="L56" i="5"/>
  <c r="K57" i="5"/>
  <c r="L57" i="5"/>
  <c r="E58" i="5"/>
  <c r="M58" i="5"/>
  <c r="K59" i="5"/>
  <c r="L59" i="5"/>
  <c r="K60" i="5"/>
  <c r="L60" i="5" s="1"/>
  <c r="K61" i="5"/>
  <c r="L61" i="5" s="1"/>
  <c r="K62" i="5"/>
  <c r="L62" i="5" s="1"/>
  <c r="E63" i="5"/>
  <c r="M63" i="5"/>
  <c r="K64" i="5"/>
  <c r="L64" i="5"/>
  <c r="K65" i="5"/>
  <c r="L65" i="5" s="1"/>
  <c r="K66" i="5"/>
  <c r="L66" i="5"/>
  <c r="K67" i="5"/>
  <c r="L67" i="5"/>
  <c r="K68" i="5"/>
  <c r="L68" i="5"/>
  <c r="K69" i="5"/>
  <c r="L69" i="5" s="1"/>
  <c r="K70" i="5"/>
  <c r="L70" i="5"/>
  <c r="K71" i="5"/>
  <c r="L71" i="5"/>
  <c r="K72" i="5"/>
  <c r="L72" i="5"/>
  <c r="K73" i="5"/>
  <c r="L73" i="5" s="1"/>
  <c r="K74" i="5"/>
  <c r="L74" i="5"/>
  <c r="K75" i="5"/>
  <c r="L75" i="5"/>
  <c r="E76" i="5"/>
  <c r="M76" i="5"/>
  <c r="K77" i="5"/>
  <c r="L77" i="5" s="1"/>
  <c r="K78" i="5"/>
  <c r="L78" i="5"/>
  <c r="K79" i="5"/>
  <c r="L79" i="5" s="1"/>
  <c r="K80" i="5"/>
  <c r="L80" i="5" s="1"/>
  <c r="K81" i="5"/>
  <c r="L81" i="5" s="1"/>
  <c r="K82" i="5"/>
  <c r="L82" i="5"/>
  <c r="K83" i="5"/>
  <c r="L83" i="5" s="1"/>
  <c r="K84" i="5"/>
  <c r="L84" i="5" s="1"/>
  <c r="K85" i="5"/>
  <c r="L85" i="5" s="1"/>
  <c r="K86" i="5"/>
  <c r="L86" i="5"/>
  <c r="K87" i="5"/>
  <c r="L87" i="5" s="1"/>
  <c r="K88" i="5"/>
  <c r="L88" i="5" s="1"/>
  <c r="E89" i="5"/>
  <c r="M89" i="5"/>
  <c r="K90" i="5"/>
  <c r="L90" i="5"/>
  <c r="L91" i="5" s="1"/>
  <c r="E91" i="5"/>
  <c r="M91" i="5"/>
  <c r="K92" i="5"/>
  <c r="L92" i="5" s="1"/>
  <c r="L94" i="5" s="1"/>
  <c r="K93" i="5"/>
  <c r="L93" i="5"/>
  <c r="E94" i="5"/>
  <c r="M94" i="5"/>
  <c r="K95" i="5"/>
  <c r="L95" i="5" s="1"/>
  <c r="L138" i="5" s="1"/>
  <c r="K96" i="5"/>
  <c r="L96" i="5"/>
  <c r="K97" i="5"/>
  <c r="L97" i="5"/>
  <c r="K98" i="5"/>
  <c r="L98" i="5"/>
  <c r="K99" i="5"/>
  <c r="L99" i="5" s="1"/>
  <c r="K100" i="5"/>
  <c r="L100" i="5"/>
  <c r="K101" i="5"/>
  <c r="L101" i="5"/>
  <c r="K102" i="5"/>
  <c r="L102" i="5"/>
  <c r="K103" i="5"/>
  <c r="L103" i="5" s="1"/>
  <c r="K104" i="5"/>
  <c r="L104" i="5"/>
  <c r="K105" i="5"/>
  <c r="L105" i="5"/>
  <c r="K106" i="5"/>
  <c r="L106" i="5"/>
  <c r="K107" i="5"/>
  <c r="L107" i="5" s="1"/>
  <c r="K108" i="5"/>
  <c r="L108" i="5"/>
  <c r="K109" i="5"/>
  <c r="L109" i="5"/>
  <c r="K110" i="5"/>
  <c r="L110" i="5"/>
  <c r="K111" i="5"/>
  <c r="L111" i="5" s="1"/>
  <c r="K112" i="5"/>
  <c r="L112" i="5"/>
  <c r="K113" i="5"/>
  <c r="L113" i="5"/>
  <c r="K114" i="5"/>
  <c r="L114" i="5"/>
  <c r="K115" i="5"/>
  <c r="L115" i="5" s="1"/>
  <c r="K116" i="5"/>
  <c r="L116" i="5"/>
  <c r="K117" i="5"/>
  <c r="L117" i="5"/>
  <c r="K118" i="5"/>
  <c r="L118" i="5"/>
  <c r="K119" i="5"/>
  <c r="L119" i="5" s="1"/>
  <c r="K120" i="5"/>
  <c r="L120" i="5"/>
  <c r="K121" i="5"/>
  <c r="L121" i="5"/>
  <c r="K122" i="5"/>
  <c r="L122" i="5"/>
  <c r="K123" i="5"/>
  <c r="L123" i="5" s="1"/>
  <c r="K124" i="5"/>
  <c r="L124" i="5"/>
  <c r="K125" i="5"/>
  <c r="L125" i="5"/>
  <c r="K126" i="5"/>
  <c r="L126" i="5"/>
  <c r="K127" i="5"/>
  <c r="L127" i="5" s="1"/>
  <c r="K128" i="5"/>
  <c r="L128" i="5"/>
  <c r="K129" i="5"/>
  <c r="L129" i="5"/>
  <c r="K130" i="5"/>
  <c r="L130" i="5"/>
  <c r="K131" i="5"/>
  <c r="L131" i="5" s="1"/>
  <c r="K132" i="5"/>
  <c r="L132" i="5"/>
  <c r="K133" i="5"/>
  <c r="L133" i="5"/>
  <c r="K134" i="5"/>
  <c r="L134" i="5"/>
  <c r="K135" i="5"/>
  <c r="L135" i="5" s="1"/>
  <c r="K136" i="5"/>
  <c r="L136" i="5"/>
  <c r="K137" i="5"/>
  <c r="L137" i="5"/>
  <c r="E138" i="5"/>
  <c r="M138" i="5"/>
  <c r="K139" i="5"/>
  <c r="L139" i="5" s="1"/>
  <c r="K140" i="5"/>
  <c r="L140" i="5"/>
  <c r="K141" i="5"/>
  <c r="L141" i="5" s="1"/>
  <c r="K142" i="5"/>
  <c r="L142" i="5" s="1"/>
  <c r="K143" i="5"/>
  <c r="L143" i="5" s="1"/>
  <c r="K144" i="5"/>
  <c r="L144" i="5"/>
  <c r="K145" i="5"/>
  <c r="L145" i="5" s="1"/>
  <c r="E146" i="5"/>
  <c r="M146" i="5"/>
  <c r="K147" i="5"/>
  <c r="L147" i="5"/>
  <c r="K148" i="5"/>
  <c r="L148" i="5"/>
  <c r="K149" i="5"/>
  <c r="L149" i="5"/>
  <c r="K150" i="5"/>
  <c r="L150" i="5" s="1"/>
  <c r="K151" i="5"/>
  <c r="L151" i="5"/>
  <c r="K152" i="5"/>
  <c r="L152" i="5"/>
  <c r="K153" i="5"/>
  <c r="L153" i="5"/>
  <c r="K154" i="5"/>
  <c r="L154" i="5" s="1"/>
  <c r="K155" i="5"/>
  <c r="L155" i="5"/>
  <c r="K156" i="5"/>
  <c r="L156" i="5"/>
  <c r="K157" i="5"/>
  <c r="L157" i="5"/>
  <c r="K158" i="5"/>
  <c r="L158" i="5" s="1"/>
  <c r="K159" i="5"/>
  <c r="L159" i="5"/>
  <c r="K160" i="5"/>
  <c r="L160" i="5"/>
  <c r="K161" i="5"/>
  <c r="L161" i="5"/>
  <c r="K162" i="5"/>
  <c r="L162" i="5" s="1"/>
  <c r="K163" i="5"/>
  <c r="L163" i="5"/>
  <c r="K164" i="5"/>
  <c r="L164" i="5"/>
  <c r="K165" i="5"/>
  <c r="L165" i="5"/>
  <c r="K166" i="5"/>
  <c r="L166" i="5" s="1"/>
  <c r="K167" i="5"/>
  <c r="L167" i="5"/>
  <c r="K168" i="5"/>
  <c r="L168" i="5"/>
  <c r="K169" i="5"/>
  <c r="L169" i="5"/>
  <c r="K170" i="5"/>
  <c r="L170" i="5" s="1"/>
  <c r="K171" i="5"/>
  <c r="L171" i="5"/>
  <c r="K172" i="5"/>
  <c r="L172" i="5"/>
  <c r="K173" i="5"/>
  <c r="L173" i="5"/>
  <c r="K174" i="5"/>
  <c r="L174" i="5" s="1"/>
  <c r="K175" i="5"/>
  <c r="L175" i="5"/>
  <c r="K176" i="5"/>
  <c r="L176" i="5"/>
  <c r="K177" i="5"/>
  <c r="L177" i="5"/>
  <c r="K178" i="5"/>
  <c r="L178" i="5" s="1"/>
  <c r="K179" i="5"/>
  <c r="L179" i="5"/>
  <c r="K180" i="5"/>
  <c r="L180" i="5"/>
  <c r="E181" i="5"/>
  <c r="M181" i="5"/>
  <c r="L58" i="5" l="1"/>
  <c r="L26" i="5"/>
  <c r="L89" i="5"/>
  <c r="L49" i="5"/>
  <c r="L146" i="5"/>
  <c r="L16" i="5"/>
  <c r="L183" i="5"/>
  <c r="L181" i="5"/>
  <c r="L76" i="5"/>
  <c r="L63" i="5"/>
  <c r="K4" i="4"/>
  <c r="L4" i="4"/>
  <c r="K5" i="4"/>
  <c r="L5" i="4"/>
  <c r="K6" i="4"/>
  <c r="L6" i="4"/>
  <c r="K7" i="4"/>
  <c r="L7" i="4" s="1"/>
  <c r="K8" i="4"/>
  <c r="L8" i="4"/>
  <c r="K9" i="4"/>
  <c r="L9" i="4"/>
  <c r="K10" i="4"/>
  <c r="L10" i="4"/>
  <c r="E11" i="4"/>
  <c r="E116" i="4" s="1"/>
  <c r="M11" i="4"/>
  <c r="K12" i="4"/>
  <c r="L12" i="4" s="1"/>
  <c r="K13" i="4"/>
  <c r="L13" i="4" s="1"/>
  <c r="K14" i="4"/>
  <c r="L14" i="4"/>
  <c r="K15" i="4"/>
  <c r="L15" i="4"/>
  <c r="K16" i="4"/>
  <c r="L16" i="4" s="1"/>
  <c r="K17" i="4"/>
  <c r="L17" i="4" s="1"/>
  <c r="K18" i="4"/>
  <c r="L18" i="4"/>
  <c r="K19" i="4"/>
  <c r="L19" i="4"/>
  <c r="E20" i="4"/>
  <c r="M20" i="4"/>
  <c r="K21" i="4"/>
  <c r="L21" i="4"/>
  <c r="L22" i="4" s="1"/>
  <c r="E22" i="4"/>
  <c r="M22" i="4"/>
  <c r="K23" i="4"/>
  <c r="L23" i="4" s="1"/>
  <c r="L24" i="4" s="1"/>
  <c r="E24" i="4"/>
  <c r="M24" i="4"/>
  <c r="K25" i="4"/>
  <c r="L25" i="4" s="1"/>
  <c r="L29" i="4" s="1"/>
  <c r="K26" i="4"/>
  <c r="L26" i="4"/>
  <c r="K27" i="4"/>
  <c r="L27" i="4"/>
  <c r="K28" i="4"/>
  <c r="L28" i="4"/>
  <c r="E29" i="4"/>
  <c r="M29" i="4"/>
  <c r="K30" i="4"/>
  <c r="L30" i="4" s="1"/>
  <c r="K31" i="4"/>
  <c r="L31" i="4" s="1"/>
  <c r="K32" i="4"/>
  <c r="L32" i="4"/>
  <c r="K33" i="4"/>
  <c r="L33" i="4"/>
  <c r="K34" i="4"/>
  <c r="L34" i="4" s="1"/>
  <c r="E35" i="4"/>
  <c r="M35" i="4"/>
  <c r="K36" i="4"/>
  <c r="L36" i="4" s="1"/>
  <c r="L40" i="4" s="1"/>
  <c r="K37" i="4"/>
  <c r="L37" i="4"/>
  <c r="K38" i="4"/>
  <c r="L38" i="4"/>
  <c r="K39" i="4"/>
  <c r="L39" i="4"/>
  <c r="E40" i="4"/>
  <c r="M40" i="4"/>
  <c r="K41" i="4"/>
  <c r="L41" i="4" s="1"/>
  <c r="K42" i="4"/>
  <c r="L42" i="4" s="1"/>
  <c r="K43" i="4"/>
  <c r="L43" i="4"/>
  <c r="K44" i="4"/>
  <c r="L44" i="4"/>
  <c r="K45" i="4"/>
  <c r="L45" i="4" s="1"/>
  <c r="K46" i="4"/>
  <c r="L46" i="4" s="1"/>
  <c r="K47" i="4"/>
  <c r="L47" i="4"/>
  <c r="K48" i="4"/>
  <c r="L48" i="4"/>
  <c r="K49" i="4"/>
  <c r="L49" i="4" s="1"/>
  <c r="E50" i="4"/>
  <c r="M50" i="4"/>
  <c r="K51" i="4"/>
  <c r="L51" i="4" s="1"/>
  <c r="L61" i="4" s="1"/>
  <c r="K52" i="4"/>
  <c r="L52" i="4"/>
  <c r="K53" i="4"/>
  <c r="L53" i="4"/>
  <c r="K54" i="4"/>
  <c r="L54" i="4"/>
  <c r="K55" i="4"/>
  <c r="L55" i="4" s="1"/>
  <c r="K56" i="4"/>
  <c r="L56" i="4"/>
  <c r="K57" i="4"/>
  <c r="L57" i="4"/>
  <c r="K58" i="4"/>
  <c r="L58" i="4"/>
  <c r="K59" i="4"/>
  <c r="L59" i="4" s="1"/>
  <c r="K60" i="4"/>
  <c r="L60" i="4"/>
  <c r="E61" i="4"/>
  <c r="M61" i="4"/>
  <c r="K62" i="4"/>
  <c r="L62" i="4"/>
  <c r="L63" i="4" s="1"/>
  <c r="E63" i="4"/>
  <c r="M63" i="4"/>
  <c r="M116" i="4" s="1"/>
  <c r="K64" i="4"/>
  <c r="L64" i="4"/>
  <c r="K65" i="4"/>
  <c r="L65" i="4"/>
  <c r="K66" i="4"/>
  <c r="L66" i="4" s="1"/>
  <c r="K67" i="4"/>
  <c r="L67" i="4"/>
  <c r="K68" i="4"/>
  <c r="L68" i="4"/>
  <c r="K69" i="4"/>
  <c r="L69" i="4"/>
  <c r="K70" i="4"/>
  <c r="L70" i="4" s="1"/>
  <c r="K71" i="4"/>
  <c r="L71" i="4"/>
  <c r="K72" i="4"/>
  <c r="L72" i="4"/>
  <c r="K73" i="4"/>
  <c r="L73" i="4"/>
  <c r="K74" i="4"/>
  <c r="L74" i="4" s="1"/>
  <c r="K75" i="4"/>
  <c r="L75" i="4"/>
  <c r="K76" i="4"/>
  <c r="L76" i="4"/>
  <c r="K77" i="4"/>
  <c r="L77" i="4"/>
  <c r="K78" i="4"/>
  <c r="L78" i="4" s="1"/>
  <c r="K79" i="4"/>
  <c r="L79" i="4"/>
  <c r="K80" i="4"/>
  <c r="L80" i="4"/>
  <c r="K81" i="4"/>
  <c r="L81" i="4"/>
  <c r="K82" i="4"/>
  <c r="L82" i="4" s="1"/>
  <c r="K83" i="4"/>
  <c r="L83" i="4"/>
  <c r="E84" i="4"/>
  <c r="M84" i="4"/>
  <c r="K85" i="4"/>
  <c r="L85" i="4"/>
  <c r="K86" i="4"/>
  <c r="L86" i="4"/>
  <c r="K87" i="4"/>
  <c r="L87" i="4" s="1"/>
  <c r="K88" i="4"/>
  <c r="L88" i="4" s="1"/>
  <c r="K89" i="4"/>
  <c r="L89" i="4"/>
  <c r="E90" i="4"/>
  <c r="M90" i="4"/>
  <c r="K91" i="4"/>
  <c r="L91" i="4"/>
  <c r="K92" i="4"/>
  <c r="L92" i="4"/>
  <c r="K93" i="4"/>
  <c r="L93" i="4" s="1"/>
  <c r="K94" i="4"/>
  <c r="L94" i="4"/>
  <c r="K95" i="4"/>
  <c r="L95" i="4"/>
  <c r="K96" i="4"/>
  <c r="L96" i="4"/>
  <c r="K97" i="4"/>
  <c r="L97" i="4" s="1"/>
  <c r="K98" i="4"/>
  <c r="L98" i="4"/>
  <c r="K99" i="4"/>
  <c r="L99" i="4"/>
  <c r="K100" i="4"/>
  <c r="L100" i="4"/>
  <c r="K101" i="4"/>
  <c r="L101" i="4" s="1"/>
  <c r="K102" i="4"/>
  <c r="L102" i="4"/>
  <c r="K103" i="4"/>
  <c r="L103" i="4"/>
  <c r="K104" i="4"/>
  <c r="L104" i="4"/>
  <c r="K105" i="4"/>
  <c r="L105" i="4" s="1"/>
  <c r="K106" i="4"/>
  <c r="L106" i="4"/>
  <c r="K107" i="4"/>
  <c r="L107" i="4"/>
  <c r="K108" i="4"/>
  <c r="L108" i="4"/>
  <c r="K109" i="4"/>
  <c r="L109" i="4" s="1"/>
  <c r="K110" i="4"/>
  <c r="L110" i="4"/>
  <c r="K111" i="4"/>
  <c r="L111" i="4"/>
  <c r="K112" i="4"/>
  <c r="L112" i="4"/>
  <c r="K113" i="4"/>
  <c r="L113" i="4" s="1"/>
  <c r="E114" i="4"/>
  <c r="M114" i="4"/>
  <c r="K4" i="3"/>
  <c r="L4" i="3" s="1"/>
  <c r="K5" i="3"/>
  <c r="L5" i="3" s="1"/>
  <c r="K6" i="3"/>
  <c r="L6" i="3" s="1"/>
  <c r="K7" i="3"/>
  <c r="L7" i="3"/>
  <c r="K8" i="3"/>
  <c r="L8" i="3" s="1"/>
  <c r="E9" i="3"/>
  <c r="M9" i="3"/>
  <c r="M48" i="3" s="1"/>
  <c r="K10" i="3"/>
  <c r="L10" i="3"/>
  <c r="E11" i="3"/>
  <c r="L11" i="3"/>
  <c r="M11" i="3"/>
  <c r="K12" i="3"/>
  <c r="L12" i="3"/>
  <c r="K13" i="3"/>
  <c r="L13" i="3" s="1"/>
  <c r="K14" i="3"/>
  <c r="L14" i="3"/>
  <c r="E15" i="3"/>
  <c r="M15" i="3"/>
  <c r="K16" i="3"/>
  <c r="L16" i="3"/>
  <c r="K17" i="3"/>
  <c r="L17" i="3"/>
  <c r="E18" i="3"/>
  <c r="L18" i="3"/>
  <c r="M18" i="3"/>
  <c r="K19" i="3"/>
  <c r="L19" i="3"/>
  <c r="L22" i="3" s="1"/>
  <c r="K20" i="3"/>
  <c r="L20" i="3" s="1"/>
  <c r="K21" i="3"/>
  <c r="L21" i="3"/>
  <c r="E22" i="3"/>
  <c r="M22" i="3"/>
  <c r="K23" i="3"/>
  <c r="L23" i="3"/>
  <c r="L27" i="3" s="1"/>
  <c r="K24" i="3"/>
  <c r="L24" i="3"/>
  <c r="K25" i="3"/>
  <c r="L25" i="3"/>
  <c r="K26" i="3"/>
  <c r="L26" i="3" s="1"/>
  <c r="E27" i="3"/>
  <c r="M27" i="3"/>
  <c r="K28" i="3"/>
  <c r="L28" i="3"/>
  <c r="L29" i="3" s="1"/>
  <c r="E29" i="3"/>
  <c r="M29" i="3"/>
  <c r="K30" i="3"/>
  <c r="L30" i="3"/>
  <c r="K31" i="3"/>
  <c r="L31" i="3"/>
  <c r="E32" i="3"/>
  <c r="L32" i="3"/>
  <c r="M32" i="3"/>
  <c r="K33" i="3"/>
  <c r="L33" i="3"/>
  <c r="L36" i="3" s="1"/>
  <c r="K34" i="3"/>
  <c r="L34" i="3" s="1"/>
  <c r="K35" i="3"/>
  <c r="L35" i="3"/>
  <c r="E36" i="3"/>
  <c r="M36" i="3"/>
  <c r="K37" i="3"/>
  <c r="L37" i="3"/>
  <c r="L46" i="3" s="1"/>
  <c r="K38" i="3"/>
  <c r="L38" i="3"/>
  <c r="K39" i="3"/>
  <c r="L39" i="3"/>
  <c r="K40" i="3"/>
  <c r="L40" i="3" s="1"/>
  <c r="K41" i="3"/>
  <c r="L41" i="3"/>
  <c r="K42" i="3"/>
  <c r="L42" i="3"/>
  <c r="K43" i="3"/>
  <c r="L43" i="3"/>
  <c r="K44" i="3"/>
  <c r="L44" i="3" s="1"/>
  <c r="K45" i="3"/>
  <c r="L45" i="3"/>
  <c r="E46" i="3"/>
  <c r="M46" i="3"/>
  <c r="E48" i="3"/>
  <c r="L50" i="4" l="1"/>
  <c r="L20" i="4"/>
  <c r="L35" i="4"/>
  <c r="L90" i="4"/>
  <c r="L84" i="4"/>
  <c r="L114" i="4"/>
  <c r="L11" i="4"/>
  <c r="L116" i="4" s="1"/>
  <c r="L15" i="3"/>
  <c r="L9" i="3"/>
  <c r="L48" i="3" s="1"/>
  <c r="K4" i="2"/>
  <c r="L4" i="2"/>
  <c r="K5" i="2"/>
  <c r="L5" i="2"/>
  <c r="E6" i="2"/>
  <c r="M6" i="2"/>
  <c r="M19" i="2" s="1"/>
  <c r="K7" i="2"/>
  <c r="L7" i="2"/>
  <c r="L8" i="2" s="1"/>
  <c r="E8" i="2"/>
  <c r="M8" i="2"/>
  <c r="K9" i="2"/>
  <c r="L9" i="2"/>
  <c r="L10" i="2" s="1"/>
  <c r="E10" i="2"/>
  <c r="M10" i="2"/>
  <c r="K11" i="2"/>
  <c r="L11" i="2" s="1"/>
  <c r="L12" i="2" s="1"/>
  <c r="E12" i="2"/>
  <c r="M12" i="2"/>
  <c r="K13" i="2"/>
  <c r="L13" i="2" s="1"/>
  <c r="L17" i="2" s="1"/>
  <c r="K14" i="2"/>
  <c r="L14" i="2"/>
  <c r="K15" i="2"/>
  <c r="L15" i="2"/>
  <c r="K16" i="2"/>
  <c r="L16" i="2"/>
  <c r="E17" i="2"/>
  <c r="M17" i="2"/>
  <c r="E19" i="2"/>
  <c r="L6" i="2" l="1"/>
  <c r="L19" i="2" s="1"/>
  <c r="K4" i="1" l="1"/>
  <c r="L4" i="1" s="1"/>
  <c r="L6" i="1" s="1"/>
</calcChain>
</file>

<file path=xl/sharedStrings.xml><?xml version="1.0" encoding="utf-8"?>
<sst xmlns="http://schemas.openxmlformats.org/spreadsheetml/2006/main" count="8915" uniqueCount="467">
  <si>
    <t>金融機構辦理國發基金「歡迎台商回台投資專案貸款」--申請委辦手續費明細表</t>
    <phoneticPr fontId="2" type="noConversion"/>
  </si>
  <si>
    <t>申請月份:</t>
    <phoneticPr fontId="2" type="noConversion"/>
  </si>
  <si>
    <t>單位：元</t>
    <phoneticPr fontId="1" type="noConversion"/>
  </si>
  <si>
    <t>銀行代號
及名稱</t>
    <phoneticPr fontId="2" type="noConversion"/>
  </si>
  <si>
    <t>編號</t>
    <phoneticPr fontId="2" type="noConversion"/>
  </si>
  <si>
    <t>借款人姓名</t>
    <phoneticPr fontId="2" type="noConversion"/>
  </si>
  <si>
    <t>統一編號</t>
    <phoneticPr fontId="2" type="noConversion"/>
  </si>
  <si>
    <t>原貸金額</t>
    <phoneticPr fontId="2" type="noConversion"/>
  </si>
  <si>
    <t>初貸日期</t>
    <phoneticPr fontId="2" type="noConversion"/>
  </si>
  <si>
    <t>實際
貸款餘額</t>
    <phoneticPr fontId="2" type="noConversion"/>
  </si>
  <si>
    <t>年利率</t>
    <phoneticPr fontId="2" type="noConversion"/>
  </si>
  <si>
    <t>起日</t>
    <phoneticPr fontId="2" type="noConversion"/>
  </si>
  <si>
    <t>迄日</t>
    <phoneticPr fontId="2" type="noConversion"/>
  </si>
  <si>
    <t>實際貸
放天數</t>
    <phoneticPr fontId="2" type="noConversion"/>
  </si>
  <si>
    <t>手續費
金額</t>
    <phoneticPr fontId="2" type="noConversion"/>
  </si>
  <si>
    <t>月底餘額</t>
    <phoneticPr fontId="2" type="noConversion"/>
  </si>
  <si>
    <t>048_王道商銀</t>
    <phoneticPr fontId="2" type="noConversion"/>
  </si>
  <si>
    <t>1</t>
    <phoneticPr fontId="2" type="noConversion"/>
  </si>
  <si>
    <t>迅得機械股份有限公司</t>
    <phoneticPr fontId="2" type="noConversion"/>
  </si>
  <si>
    <t>70753397</t>
    <phoneticPr fontId="2" type="noConversion"/>
  </si>
  <si>
    <t>合計</t>
    <phoneticPr fontId="2" type="noConversion"/>
  </si>
  <si>
    <t>經辦：</t>
    <phoneticPr fontId="1" type="noConversion"/>
  </si>
  <si>
    <t>協(副)理：</t>
    <phoneticPr fontId="1" type="noConversion"/>
  </si>
  <si>
    <t>襄理：</t>
    <phoneticPr fontId="1" type="noConversion"/>
  </si>
  <si>
    <t>總計</t>
  </si>
  <si>
    <t>822_中國信託 合計</t>
  </si>
  <si>
    <t>16347324</t>
    <phoneticPr fontId="2" type="noConversion"/>
  </si>
  <si>
    <t>台郡科技股份有限公司</t>
    <phoneticPr fontId="2" type="noConversion"/>
  </si>
  <si>
    <t>4</t>
    <phoneticPr fontId="2" type="noConversion"/>
  </si>
  <si>
    <t>822_中國信託</t>
    <phoneticPr fontId="2" type="noConversion"/>
  </si>
  <si>
    <t>3</t>
    <phoneticPr fontId="2" type="noConversion"/>
  </si>
  <si>
    <t>2</t>
    <phoneticPr fontId="2" type="noConversion"/>
  </si>
  <si>
    <t>048_王道商銀 合計</t>
  </si>
  <si>
    <t>011_上海商業儲蓄銀行 合計</t>
  </si>
  <si>
    <t>04226091</t>
    <phoneticPr fontId="2" type="noConversion"/>
  </si>
  <si>
    <t>台燿科技股份有限公司</t>
    <phoneticPr fontId="2" type="noConversion"/>
  </si>
  <si>
    <t>011_上海商業儲蓄銀行</t>
    <phoneticPr fontId="2" type="noConversion"/>
  </si>
  <si>
    <t>009_彰化商業銀行 合計</t>
  </si>
  <si>
    <t>22099287</t>
    <phoneticPr fontId="2" type="noConversion"/>
  </si>
  <si>
    <t>智邦科技股份有限公司</t>
    <phoneticPr fontId="2" type="noConversion"/>
  </si>
  <si>
    <t>009_彰化商業銀行</t>
    <phoneticPr fontId="2" type="noConversion"/>
  </si>
  <si>
    <t>004_台灣銀行 合計</t>
  </si>
  <si>
    <t>004_台灣銀行</t>
    <phoneticPr fontId="2" type="noConversion"/>
  </si>
  <si>
    <t>台郡科技(股)公司</t>
    <phoneticPr fontId="2" type="noConversion"/>
  </si>
  <si>
    <t>9</t>
    <phoneticPr fontId="2" type="noConversion"/>
  </si>
  <si>
    <t>8</t>
    <phoneticPr fontId="2" type="noConversion"/>
  </si>
  <si>
    <t>7</t>
    <phoneticPr fontId="2" type="noConversion"/>
  </si>
  <si>
    <t>6</t>
    <phoneticPr fontId="2" type="noConversion"/>
  </si>
  <si>
    <t>5</t>
    <phoneticPr fontId="2" type="noConversion"/>
  </si>
  <si>
    <t>812_台新銀行 合計</t>
  </si>
  <si>
    <t>22822281</t>
    <phoneticPr fontId="2" type="noConversion"/>
  </si>
  <si>
    <t>廣達電腦(股)公司</t>
    <phoneticPr fontId="2" type="noConversion"/>
  </si>
  <si>
    <t>812_台新銀行</t>
    <phoneticPr fontId="2" type="noConversion"/>
  </si>
  <si>
    <t>808_玉山銀行 合計</t>
  </si>
  <si>
    <t>台燿科技(股)公司</t>
    <phoneticPr fontId="2" type="noConversion"/>
  </si>
  <si>
    <t>808_玉山銀行</t>
    <phoneticPr fontId="2" type="noConversion"/>
  </si>
  <si>
    <t>050_臺灣企銀 合計</t>
  </si>
  <si>
    <t>52264848</t>
    <phoneticPr fontId="2" type="noConversion"/>
  </si>
  <si>
    <t>和大工業(股)公司</t>
    <phoneticPr fontId="2" type="noConversion"/>
  </si>
  <si>
    <t>050_臺灣企銀</t>
    <phoneticPr fontId="2" type="noConversion"/>
  </si>
  <si>
    <t>86757124</t>
    <phoneticPr fontId="2" type="noConversion"/>
  </si>
  <si>
    <t>康普材料科技(股)公司</t>
    <phoneticPr fontId="2" type="noConversion"/>
  </si>
  <si>
    <t>73686632</t>
    <phoneticPr fontId="2" type="noConversion"/>
  </si>
  <si>
    <t>得力實業(股)公司</t>
    <phoneticPr fontId="2" type="noConversion"/>
  </si>
  <si>
    <t>017_兆豐商銀 合計</t>
  </si>
  <si>
    <t>017_兆豐商銀</t>
    <phoneticPr fontId="2" type="noConversion"/>
  </si>
  <si>
    <t>012_台北富邦銀行 合計</t>
  </si>
  <si>
    <t>012_台北富邦銀行</t>
    <phoneticPr fontId="2" type="noConversion"/>
  </si>
  <si>
    <t>22702791</t>
    <phoneticPr fontId="2" type="noConversion"/>
  </si>
  <si>
    <t>宇隆科技(股)公司</t>
    <phoneticPr fontId="2" type="noConversion"/>
  </si>
  <si>
    <t>16347324</t>
  </si>
  <si>
    <t>台郡科技(股)公司</t>
  </si>
  <si>
    <t>9</t>
  </si>
  <si>
    <t>822_中國信託</t>
  </si>
  <si>
    <t>8</t>
  </si>
  <si>
    <t>7</t>
  </si>
  <si>
    <t>6</t>
  </si>
  <si>
    <t>5</t>
  </si>
  <si>
    <t>4</t>
  </si>
  <si>
    <t>3</t>
  </si>
  <si>
    <t>68326665</t>
  </si>
  <si>
    <t>東陽實業廠(股)公司</t>
  </si>
  <si>
    <t>23</t>
  </si>
  <si>
    <t>22</t>
  </si>
  <si>
    <t>22822281</t>
  </si>
  <si>
    <t>廣達電腦(股)公司</t>
  </si>
  <si>
    <t>21</t>
  </si>
  <si>
    <t>20</t>
  </si>
  <si>
    <t>2</t>
  </si>
  <si>
    <t>59353423</t>
  </si>
  <si>
    <t>橋椿金屬（股）公司</t>
  </si>
  <si>
    <t>19</t>
  </si>
  <si>
    <t>18</t>
  </si>
  <si>
    <t>55991080</t>
  </si>
  <si>
    <t>矽品精密工業（股）公司</t>
  </si>
  <si>
    <t>17</t>
  </si>
  <si>
    <t>16</t>
  </si>
  <si>
    <t>15</t>
  </si>
  <si>
    <t>14</t>
  </si>
  <si>
    <t>13</t>
  </si>
  <si>
    <t>12</t>
  </si>
  <si>
    <t>11</t>
  </si>
  <si>
    <t>10</t>
  </si>
  <si>
    <t>1</t>
  </si>
  <si>
    <t>812_台新銀行</t>
  </si>
  <si>
    <t>廣達電腦（股）公司</t>
  </si>
  <si>
    <t>808_玉山銀行</t>
  </si>
  <si>
    <t>04226091</t>
  </si>
  <si>
    <t>台耀科技(股)公司</t>
  </si>
  <si>
    <t>58176511</t>
  </si>
  <si>
    <t>宏全國際(股)公司</t>
  </si>
  <si>
    <t>台燿科技(股)公司</t>
  </si>
  <si>
    <t>56054251</t>
  </si>
  <si>
    <t>巨大機械工業(股)公司</t>
  </si>
  <si>
    <t>12636560</t>
  </si>
  <si>
    <t>界霖科技(股)公司</t>
  </si>
  <si>
    <t>52264848</t>
  </si>
  <si>
    <t>和大工業(股)公司</t>
  </si>
  <si>
    <t>050_臺灣企銀</t>
  </si>
  <si>
    <t>048_王道商銀</t>
  </si>
  <si>
    <t>73686632</t>
  </si>
  <si>
    <t>得力實業(股)公司</t>
  </si>
  <si>
    <t>86757124</t>
  </si>
  <si>
    <t>康普材料科技(股)公司</t>
  </si>
  <si>
    <t>70753397</t>
  </si>
  <si>
    <t>迅得機械(股)公司</t>
  </si>
  <si>
    <t>22099287</t>
  </si>
  <si>
    <t>智邦科技(股)公司</t>
  </si>
  <si>
    <t>017_兆豐商銀</t>
  </si>
  <si>
    <t>75989858</t>
  </si>
  <si>
    <t>南六企業(股)公司</t>
  </si>
  <si>
    <t>矽品精密工業(股)公司</t>
  </si>
  <si>
    <t>012_台北富邦銀行</t>
  </si>
  <si>
    <t>011_上海商業儲蓄銀行</t>
  </si>
  <si>
    <t>009_彰化商業銀行</t>
  </si>
  <si>
    <t>007_第一銀行 合計</t>
  </si>
  <si>
    <t>007_第一銀行</t>
  </si>
  <si>
    <t>006_合作金庫 合計</t>
  </si>
  <si>
    <t>59198197</t>
  </si>
  <si>
    <t>慶豐富實業有限公司</t>
  </si>
  <si>
    <t>006_合作金庫</t>
  </si>
  <si>
    <t>005_台灣土地銀行 合計</t>
  </si>
  <si>
    <t>慶豐富實業(股)公司</t>
  </si>
  <si>
    <t>005_台灣土地銀行</t>
  </si>
  <si>
    <t>97532545</t>
  </si>
  <si>
    <t>銓寶工業（股）公司</t>
  </si>
  <si>
    <t>004_台灣銀行</t>
  </si>
  <si>
    <t>22702791</t>
  </si>
  <si>
    <t>宇隆科技(股)公司</t>
  </si>
  <si>
    <t>22636630</t>
    <phoneticPr fontId="2" type="noConversion"/>
  </si>
  <si>
    <t>國巨(股)公司</t>
    <phoneticPr fontId="2" type="noConversion"/>
  </si>
  <si>
    <t>34</t>
    <phoneticPr fontId="2" type="noConversion"/>
  </si>
  <si>
    <t>33</t>
    <phoneticPr fontId="2" type="noConversion"/>
  </si>
  <si>
    <t>32</t>
    <phoneticPr fontId="2" type="noConversion"/>
  </si>
  <si>
    <t>31</t>
    <phoneticPr fontId="2" type="noConversion"/>
  </si>
  <si>
    <t>30</t>
    <phoneticPr fontId="2" type="noConversion"/>
  </si>
  <si>
    <t>29</t>
    <phoneticPr fontId="2" type="noConversion"/>
  </si>
  <si>
    <t>28</t>
    <phoneticPr fontId="2" type="noConversion"/>
  </si>
  <si>
    <t>68326665</t>
    <phoneticPr fontId="2" type="noConversion"/>
  </si>
  <si>
    <t>東陽實業廠(股)公司</t>
    <phoneticPr fontId="2" type="noConversion"/>
  </si>
  <si>
    <t>27</t>
    <phoneticPr fontId="2" type="noConversion"/>
  </si>
  <si>
    <t>26</t>
    <phoneticPr fontId="2" type="noConversion"/>
  </si>
  <si>
    <t>59353423</t>
    <phoneticPr fontId="2" type="noConversion"/>
  </si>
  <si>
    <t>橋椿金屬(股)公司</t>
    <phoneticPr fontId="2" type="noConversion"/>
  </si>
  <si>
    <t>25</t>
    <phoneticPr fontId="2" type="noConversion"/>
  </si>
  <si>
    <t>24</t>
    <phoneticPr fontId="2" type="noConversion"/>
  </si>
  <si>
    <t>23</t>
    <phoneticPr fontId="2" type="noConversion"/>
  </si>
  <si>
    <t>22</t>
    <phoneticPr fontId="2" type="noConversion"/>
  </si>
  <si>
    <t>21</t>
    <phoneticPr fontId="2" type="noConversion"/>
  </si>
  <si>
    <t>20</t>
    <phoneticPr fontId="2" type="noConversion"/>
  </si>
  <si>
    <t>19</t>
    <phoneticPr fontId="2" type="noConversion"/>
  </si>
  <si>
    <t>18</t>
    <phoneticPr fontId="2" type="noConversion"/>
  </si>
  <si>
    <t>55991080</t>
    <phoneticPr fontId="2" type="noConversion"/>
  </si>
  <si>
    <t>矽品精密工業(股)公司</t>
    <phoneticPr fontId="2" type="noConversion"/>
  </si>
  <si>
    <t>17</t>
    <phoneticPr fontId="2" type="noConversion"/>
  </si>
  <si>
    <t>16</t>
    <phoneticPr fontId="2" type="noConversion"/>
  </si>
  <si>
    <t>15</t>
    <phoneticPr fontId="2" type="noConversion"/>
  </si>
  <si>
    <t>14</t>
    <phoneticPr fontId="2" type="noConversion"/>
  </si>
  <si>
    <t>13</t>
    <phoneticPr fontId="2" type="noConversion"/>
  </si>
  <si>
    <t>12</t>
    <phoneticPr fontId="2" type="noConversion"/>
  </si>
  <si>
    <t>11</t>
    <phoneticPr fontId="2" type="noConversion"/>
  </si>
  <si>
    <t>10</t>
    <phoneticPr fontId="2" type="noConversion"/>
  </si>
  <si>
    <t>12636560</t>
    <phoneticPr fontId="2" type="noConversion"/>
  </si>
  <si>
    <t>界霖科技(股)公司</t>
    <phoneticPr fontId="2" type="noConversion"/>
  </si>
  <si>
    <t>70774800</t>
    <phoneticPr fontId="2" type="noConversion"/>
  </si>
  <si>
    <t>新揚科技(股)公司</t>
    <phoneticPr fontId="2" type="noConversion"/>
  </si>
  <si>
    <t>43</t>
    <phoneticPr fontId="2" type="noConversion"/>
  </si>
  <si>
    <t>58176511</t>
    <phoneticPr fontId="2" type="noConversion"/>
  </si>
  <si>
    <t>宏全國際(股)公司</t>
    <phoneticPr fontId="2" type="noConversion"/>
  </si>
  <si>
    <t>42</t>
    <phoneticPr fontId="2" type="noConversion"/>
  </si>
  <si>
    <t>41</t>
    <phoneticPr fontId="2" type="noConversion"/>
  </si>
  <si>
    <t>40</t>
    <phoneticPr fontId="2" type="noConversion"/>
  </si>
  <si>
    <t>39</t>
    <phoneticPr fontId="2" type="noConversion"/>
  </si>
  <si>
    <t>38</t>
    <phoneticPr fontId="2" type="noConversion"/>
  </si>
  <si>
    <t>37</t>
    <phoneticPr fontId="2" type="noConversion"/>
  </si>
  <si>
    <t>36</t>
    <phoneticPr fontId="2" type="noConversion"/>
  </si>
  <si>
    <t>35</t>
    <phoneticPr fontId="2" type="noConversion"/>
  </si>
  <si>
    <t>56054251</t>
    <phoneticPr fontId="2" type="noConversion"/>
  </si>
  <si>
    <t>巨大機械工業(股)公司</t>
    <phoneticPr fontId="2" type="noConversion"/>
  </si>
  <si>
    <t>807_永豐商銀 合計</t>
  </si>
  <si>
    <t>22101050</t>
    <phoneticPr fontId="2" type="noConversion"/>
  </si>
  <si>
    <t>旺銓(股)公司</t>
    <phoneticPr fontId="2" type="noConversion"/>
  </si>
  <si>
    <t>807_永豐商銀</t>
    <phoneticPr fontId="2" type="noConversion"/>
  </si>
  <si>
    <t>28674272</t>
    <phoneticPr fontId="2" type="noConversion"/>
  </si>
  <si>
    <t>復盛(股)公司</t>
    <phoneticPr fontId="2" type="noConversion"/>
  </si>
  <si>
    <t>迅得機械(股)公司</t>
    <phoneticPr fontId="2" type="noConversion"/>
  </si>
  <si>
    <t>智邦科技(股)公司</t>
    <phoneticPr fontId="2" type="noConversion"/>
  </si>
  <si>
    <t>75989858</t>
    <phoneticPr fontId="2" type="noConversion"/>
  </si>
  <si>
    <t>南六企業(股)公司</t>
    <phoneticPr fontId="2" type="noConversion"/>
  </si>
  <si>
    <t>36268804</t>
    <phoneticPr fontId="2" type="noConversion"/>
  </si>
  <si>
    <t>南俊國際(股)公司</t>
    <phoneticPr fontId="2" type="noConversion"/>
  </si>
  <si>
    <t>008_華南商業銀行 合計</t>
  </si>
  <si>
    <t>008_華南商業銀行</t>
    <phoneticPr fontId="2" type="noConversion"/>
  </si>
  <si>
    <t>007_第一銀行</t>
    <phoneticPr fontId="2" type="noConversion"/>
  </si>
  <si>
    <t>連訊通信(股)公司</t>
    <phoneticPr fontId="2" type="noConversion"/>
  </si>
  <si>
    <t>68566480</t>
    <phoneticPr fontId="2" type="noConversion"/>
  </si>
  <si>
    <t/>
  </si>
  <si>
    <t>006_合作金庫</t>
    <phoneticPr fontId="2" type="noConversion"/>
  </si>
  <si>
    <t>慶豐富實業(股)公司</t>
    <phoneticPr fontId="2" type="noConversion"/>
  </si>
  <si>
    <t>59198197</t>
    <phoneticPr fontId="2" type="noConversion"/>
  </si>
  <si>
    <t>005_台灣土地銀行</t>
    <phoneticPr fontId="2" type="noConversion"/>
  </si>
  <si>
    <t>銓寶工業(股)公司</t>
    <phoneticPr fontId="2" type="noConversion"/>
  </si>
  <si>
    <t>97532545</t>
    <phoneticPr fontId="2" type="noConversion"/>
  </si>
  <si>
    <t>47</t>
    <phoneticPr fontId="2" type="noConversion"/>
  </si>
  <si>
    <t>58506816</t>
    <phoneticPr fontId="2" type="noConversion"/>
  </si>
  <si>
    <t>順德工業(股)公司</t>
    <phoneticPr fontId="2" type="noConversion"/>
  </si>
  <si>
    <t>46</t>
    <phoneticPr fontId="2" type="noConversion"/>
  </si>
  <si>
    <t>45</t>
    <phoneticPr fontId="2" type="noConversion"/>
  </si>
  <si>
    <t>44</t>
    <phoneticPr fontId="2" type="noConversion"/>
  </si>
  <si>
    <t>20939460</t>
    <phoneticPr fontId="2" type="noConversion"/>
  </si>
  <si>
    <t>立安東化工(股)公司</t>
    <phoneticPr fontId="2" type="noConversion"/>
  </si>
  <si>
    <t>56</t>
    <phoneticPr fontId="2" type="noConversion"/>
  </si>
  <si>
    <t>70849957</t>
    <phoneticPr fontId="2" type="noConversion"/>
  </si>
  <si>
    <t>長華科技(股)公司</t>
    <phoneticPr fontId="2" type="noConversion"/>
  </si>
  <si>
    <t>55</t>
    <phoneticPr fontId="2" type="noConversion"/>
  </si>
  <si>
    <t>54</t>
    <phoneticPr fontId="2" type="noConversion"/>
  </si>
  <si>
    <t>53</t>
    <phoneticPr fontId="2" type="noConversion"/>
  </si>
  <si>
    <t>52</t>
    <phoneticPr fontId="2" type="noConversion"/>
  </si>
  <si>
    <t>51</t>
    <phoneticPr fontId="2" type="noConversion"/>
  </si>
  <si>
    <t>50</t>
    <phoneticPr fontId="2" type="noConversion"/>
  </si>
  <si>
    <t>49</t>
    <phoneticPr fontId="2" type="noConversion"/>
  </si>
  <si>
    <t>48</t>
    <phoneticPr fontId="2" type="noConversion"/>
  </si>
  <si>
    <t>34051920</t>
    <phoneticPr fontId="2" type="noConversion"/>
  </si>
  <si>
    <t>台達電子工業(股)公司</t>
    <phoneticPr fontId="2" type="noConversion"/>
  </si>
  <si>
    <t>47006693</t>
    <phoneticPr fontId="2" type="noConversion"/>
  </si>
  <si>
    <t>奇力新電子(股)公司</t>
    <phoneticPr fontId="2" type="noConversion"/>
  </si>
  <si>
    <t>810_星展銀行 合計</t>
  </si>
  <si>
    <t>21204867</t>
    <phoneticPr fontId="2" type="noConversion"/>
  </si>
  <si>
    <t>台灣晶技(股)公司</t>
    <phoneticPr fontId="2" type="noConversion"/>
  </si>
  <si>
    <t>810_星展銀行</t>
    <phoneticPr fontId="2" type="noConversion"/>
  </si>
  <si>
    <t>809_凱基銀行 合計</t>
  </si>
  <si>
    <t>809_凱基銀行</t>
    <phoneticPr fontId="2" type="noConversion"/>
  </si>
  <si>
    <t>81486019</t>
    <phoneticPr fontId="2" type="noConversion"/>
  </si>
  <si>
    <t>鼎基先進材料(股)公司</t>
    <phoneticPr fontId="2" type="noConversion"/>
  </si>
  <si>
    <t>65</t>
    <phoneticPr fontId="2" type="noConversion"/>
  </si>
  <si>
    <t>64</t>
    <phoneticPr fontId="2" type="noConversion"/>
  </si>
  <si>
    <t>52353530</t>
    <phoneticPr fontId="2" type="noConversion"/>
  </si>
  <si>
    <t>程泰機械(股)公司</t>
    <phoneticPr fontId="2" type="noConversion"/>
  </si>
  <si>
    <t>63</t>
    <phoneticPr fontId="2" type="noConversion"/>
  </si>
  <si>
    <t>33923363</t>
    <phoneticPr fontId="2" type="noConversion"/>
  </si>
  <si>
    <t>松川精密(股)公司</t>
    <phoneticPr fontId="2" type="noConversion"/>
  </si>
  <si>
    <t>62</t>
    <phoneticPr fontId="2" type="noConversion"/>
  </si>
  <si>
    <t>61</t>
    <phoneticPr fontId="2" type="noConversion"/>
  </si>
  <si>
    <t>60</t>
    <phoneticPr fontId="2" type="noConversion"/>
  </si>
  <si>
    <t>04827138</t>
    <phoneticPr fontId="2" type="noConversion"/>
  </si>
  <si>
    <t>車王電子(股)公司</t>
    <phoneticPr fontId="2" type="noConversion"/>
  </si>
  <si>
    <t>59</t>
    <phoneticPr fontId="2" type="noConversion"/>
  </si>
  <si>
    <t>58</t>
    <phoneticPr fontId="2" type="noConversion"/>
  </si>
  <si>
    <t>57</t>
    <phoneticPr fontId="2" type="noConversion"/>
  </si>
  <si>
    <t>69640348</t>
    <phoneticPr fontId="2" type="noConversion"/>
  </si>
  <si>
    <t>穩泰化工興業(股)公司</t>
    <phoneticPr fontId="2" type="noConversion"/>
  </si>
  <si>
    <t>54258218</t>
    <phoneticPr fontId="2" type="noConversion"/>
  </si>
  <si>
    <t>中揚光電(股)公司</t>
    <phoneticPr fontId="2" type="noConversion"/>
  </si>
  <si>
    <t>013_國泰世華銀行 合計</t>
  </si>
  <si>
    <t>013_國泰世華銀行</t>
    <phoneticPr fontId="2" type="noConversion"/>
  </si>
  <si>
    <t>59619900</t>
    <phoneticPr fontId="2" type="noConversion"/>
  </si>
  <si>
    <t>建大工業(股)公司</t>
    <phoneticPr fontId="2" type="noConversion"/>
  </si>
  <si>
    <t>16095404</t>
    <phoneticPr fontId="2" type="noConversion"/>
  </si>
  <si>
    <t>豐達科技(股)公司</t>
    <phoneticPr fontId="2" type="noConversion"/>
  </si>
  <si>
    <t>22269487</t>
    <phoneticPr fontId="2" type="noConversion"/>
  </si>
  <si>
    <t>堤維西交通工業(股)公司</t>
    <phoneticPr fontId="2" type="noConversion"/>
  </si>
  <si>
    <t>07435515</t>
    <phoneticPr fontId="2" type="noConversion"/>
  </si>
  <si>
    <t>新光合成纖維(股)公司</t>
    <phoneticPr fontId="2" type="noConversion"/>
  </si>
  <si>
    <t>52347361</t>
    <phoneticPr fontId="2" type="noConversion"/>
  </si>
  <si>
    <t>喬山健康科技(股)公司</t>
    <phoneticPr fontId="2" type="noConversion"/>
  </si>
  <si>
    <t>23691266</t>
    <phoneticPr fontId="2" type="noConversion"/>
  </si>
  <si>
    <t>美磊科技(股)公司</t>
    <phoneticPr fontId="2" type="noConversion"/>
  </si>
  <si>
    <t>16596982</t>
    <phoneticPr fontId="2" type="noConversion"/>
  </si>
  <si>
    <t>順達科技(股)公司</t>
    <phoneticPr fontId="2" type="noConversion"/>
  </si>
  <si>
    <t>83</t>
    <phoneticPr fontId="2" type="noConversion"/>
  </si>
  <si>
    <t>82</t>
    <phoneticPr fontId="2" type="noConversion"/>
  </si>
  <si>
    <t>81</t>
    <phoneticPr fontId="2" type="noConversion"/>
  </si>
  <si>
    <t>80</t>
    <phoneticPr fontId="2" type="noConversion"/>
  </si>
  <si>
    <t>79</t>
    <phoneticPr fontId="2" type="noConversion"/>
  </si>
  <si>
    <t>78</t>
    <phoneticPr fontId="2" type="noConversion"/>
  </si>
  <si>
    <t>77</t>
    <phoneticPr fontId="2" type="noConversion"/>
  </si>
  <si>
    <t>76</t>
    <phoneticPr fontId="2" type="noConversion"/>
  </si>
  <si>
    <t>75</t>
    <phoneticPr fontId="2" type="noConversion"/>
  </si>
  <si>
    <t>74</t>
    <phoneticPr fontId="2" type="noConversion"/>
  </si>
  <si>
    <t>73</t>
    <phoneticPr fontId="2" type="noConversion"/>
  </si>
  <si>
    <t>72</t>
    <phoneticPr fontId="2" type="noConversion"/>
  </si>
  <si>
    <t>71</t>
    <phoneticPr fontId="2" type="noConversion"/>
  </si>
  <si>
    <t>70</t>
    <phoneticPr fontId="2" type="noConversion"/>
  </si>
  <si>
    <t>69</t>
    <phoneticPr fontId="2" type="noConversion"/>
  </si>
  <si>
    <t>68</t>
    <phoneticPr fontId="2" type="noConversion"/>
  </si>
  <si>
    <t>67</t>
    <phoneticPr fontId="2" type="noConversion"/>
  </si>
  <si>
    <t>66</t>
    <phoneticPr fontId="2" type="noConversion"/>
  </si>
  <si>
    <t>12490306</t>
    <phoneticPr fontId="2" type="noConversion"/>
  </si>
  <si>
    <t>佳世達科技(股)公司</t>
    <phoneticPr fontId="2" type="noConversion"/>
  </si>
  <si>
    <t>28113764</t>
    <phoneticPr fontId="2" type="noConversion"/>
  </si>
  <si>
    <t>神雲科技(股)公司</t>
    <phoneticPr fontId="2" type="noConversion"/>
  </si>
  <si>
    <t>旺詮(股)公司</t>
    <phoneticPr fontId="2" type="noConversion"/>
  </si>
  <si>
    <t>89593343</t>
    <phoneticPr fontId="2" type="noConversion"/>
  </si>
  <si>
    <t>凌華科技(股)公司</t>
    <phoneticPr fontId="2" type="noConversion"/>
  </si>
  <si>
    <t>90</t>
    <phoneticPr fontId="2" type="noConversion"/>
  </si>
  <si>
    <t>53764125</t>
    <phoneticPr fontId="2" type="noConversion"/>
  </si>
  <si>
    <t>望隼科技(股)公司</t>
    <phoneticPr fontId="2" type="noConversion"/>
  </si>
  <si>
    <t>89</t>
    <phoneticPr fontId="2" type="noConversion"/>
  </si>
  <si>
    <t>88</t>
    <phoneticPr fontId="2" type="noConversion"/>
  </si>
  <si>
    <t>52543363</t>
    <phoneticPr fontId="2" type="noConversion"/>
  </si>
  <si>
    <t>先益電子工業(股)公司</t>
    <phoneticPr fontId="2" type="noConversion"/>
  </si>
  <si>
    <t>87</t>
    <phoneticPr fontId="2" type="noConversion"/>
  </si>
  <si>
    <t>86</t>
    <phoneticPr fontId="2" type="noConversion"/>
  </si>
  <si>
    <t>85</t>
    <phoneticPr fontId="2" type="noConversion"/>
  </si>
  <si>
    <t>84</t>
    <phoneticPr fontId="2" type="noConversion"/>
  </si>
  <si>
    <t>807_永豐銀行 合計</t>
  </si>
  <si>
    <t>807_永豐銀行</t>
    <phoneticPr fontId="2" type="noConversion"/>
  </si>
  <si>
    <t>806_元大銀行 合計</t>
  </si>
  <si>
    <t>34202841</t>
    <phoneticPr fontId="2" type="noConversion"/>
  </si>
  <si>
    <t>榮成紙業(股)公司</t>
    <phoneticPr fontId="2" type="noConversion"/>
  </si>
  <si>
    <t>806_元大銀行</t>
    <phoneticPr fontId="2" type="noConversion"/>
  </si>
  <si>
    <t>13000453</t>
    <phoneticPr fontId="2" type="noConversion"/>
  </si>
  <si>
    <t>達邦蛋白(股)公司</t>
    <phoneticPr fontId="2" type="noConversion"/>
  </si>
  <si>
    <t>013_國泰世華 合計</t>
  </si>
  <si>
    <t>013_國泰世華</t>
    <phoneticPr fontId="2" type="noConversion"/>
  </si>
  <si>
    <t>012_台北富邦 合計</t>
  </si>
  <si>
    <t>012_台北富邦</t>
    <phoneticPr fontId="2" type="noConversion"/>
  </si>
  <si>
    <t>011_上海商銀 合計</t>
  </si>
  <si>
    <t>011_上海商銀</t>
    <phoneticPr fontId="2" type="noConversion"/>
  </si>
  <si>
    <t>69383517</t>
    <phoneticPr fontId="2" type="noConversion"/>
  </si>
  <si>
    <t>全一電子(股)公司</t>
    <phoneticPr fontId="2" type="noConversion"/>
  </si>
  <si>
    <t>009_彰化銀行 合計</t>
  </si>
  <si>
    <t>009_彰化銀行</t>
    <phoneticPr fontId="2" type="noConversion"/>
  </si>
  <si>
    <t>73649454</t>
    <phoneticPr fontId="2" type="noConversion"/>
  </si>
  <si>
    <t>廣泰金屬工業(股)公司</t>
    <phoneticPr fontId="2" type="noConversion"/>
  </si>
  <si>
    <t>23603284</t>
    <phoneticPr fontId="2" type="noConversion"/>
  </si>
  <si>
    <t>瑞智精密(股)公司</t>
    <phoneticPr fontId="2" type="noConversion"/>
  </si>
  <si>
    <t>008_華南銀行 合計</t>
  </si>
  <si>
    <t>12341051</t>
    <phoneticPr fontId="2" type="noConversion"/>
  </si>
  <si>
    <t>康舒科技(股)公司</t>
    <phoneticPr fontId="2" type="noConversion"/>
  </si>
  <si>
    <t>008_華南銀行</t>
    <phoneticPr fontId="2" type="noConversion"/>
  </si>
  <si>
    <t>22777510</t>
    <phoneticPr fontId="2" type="noConversion"/>
  </si>
  <si>
    <t>高鼎精密材料(股)公司</t>
    <phoneticPr fontId="2" type="noConversion"/>
  </si>
  <si>
    <t>005_土地銀行 合計</t>
  </si>
  <si>
    <t>005_土地銀行</t>
    <phoneticPr fontId="2" type="noConversion"/>
  </si>
  <si>
    <t>52878846</t>
    <phoneticPr fontId="2" type="noConversion"/>
  </si>
  <si>
    <t>環隆科技(股)公司</t>
    <phoneticPr fontId="2" type="noConversion"/>
  </si>
  <si>
    <t>16450500</t>
    <phoneticPr fontId="2" type="noConversion"/>
  </si>
  <si>
    <t>瀚宇彩晶(股)公司</t>
    <phoneticPr fontId="2" type="noConversion"/>
  </si>
  <si>
    <t>月底
餘額</t>
    <phoneticPr fontId="2" type="noConversion"/>
  </si>
  <si>
    <t>99</t>
    <phoneticPr fontId="2" type="noConversion"/>
  </si>
  <si>
    <t>98</t>
    <phoneticPr fontId="2" type="noConversion"/>
  </si>
  <si>
    <t>97</t>
    <phoneticPr fontId="2" type="noConversion"/>
  </si>
  <si>
    <t>96</t>
    <phoneticPr fontId="2" type="noConversion"/>
  </si>
  <si>
    <t>95</t>
    <phoneticPr fontId="2" type="noConversion"/>
  </si>
  <si>
    <t>94</t>
    <phoneticPr fontId="2" type="noConversion"/>
  </si>
  <si>
    <t>93</t>
    <phoneticPr fontId="2" type="noConversion"/>
  </si>
  <si>
    <t>92</t>
    <phoneticPr fontId="2" type="noConversion"/>
  </si>
  <si>
    <t>91</t>
    <phoneticPr fontId="2" type="noConversion"/>
  </si>
  <si>
    <t>74229304</t>
    <phoneticPr fontId="2" type="noConversion"/>
  </si>
  <si>
    <t>南寶樹脂化學工廠(股)公司</t>
    <phoneticPr fontId="2" type="noConversion"/>
  </si>
  <si>
    <t>113</t>
    <phoneticPr fontId="2" type="noConversion"/>
  </si>
  <si>
    <t>112</t>
    <phoneticPr fontId="2" type="noConversion"/>
  </si>
  <si>
    <t>111</t>
    <phoneticPr fontId="2" type="noConversion"/>
  </si>
  <si>
    <t>110</t>
    <phoneticPr fontId="2" type="noConversion"/>
  </si>
  <si>
    <t>109</t>
    <phoneticPr fontId="2" type="noConversion"/>
  </si>
  <si>
    <t>108</t>
    <phoneticPr fontId="2" type="noConversion"/>
  </si>
  <si>
    <t>107</t>
    <phoneticPr fontId="2" type="noConversion"/>
  </si>
  <si>
    <t>106</t>
    <phoneticPr fontId="2" type="noConversion"/>
  </si>
  <si>
    <t>105</t>
    <phoneticPr fontId="2" type="noConversion"/>
  </si>
  <si>
    <t>104</t>
    <phoneticPr fontId="2" type="noConversion"/>
  </si>
  <si>
    <t>103</t>
    <phoneticPr fontId="2" type="noConversion"/>
  </si>
  <si>
    <t>102</t>
    <phoneticPr fontId="2" type="noConversion"/>
  </si>
  <si>
    <t>101</t>
    <phoneticPr fontId="2" type="noConversion"/>
  </si>
  <si>
    <t>100</t>
    <phoneticPr fontId="2" type="noConversion"/>
  </si>
  <si>
    <t>33750329</t>
    <phoneticPr fontId="2" type="noConversion"/>
  </si>
  <si>
    <t>美隆工業(股)公司</t>
    <phoneticPr fontId="2" type="noConversion"/>
  </si>
  <si>
    <t>86436593</t>
    <phoneticPr fontId="2" type="noConversion"/>
  </si>
  <si>
    <t>翔名科技(股)公司</t>
    <phoneticPr fontId="2" type="noConversion"/>
  </si>
  <si>
    <t>70748276</t>
    <phoneticPr fontId="2" type="noConversion"/>
  </si>
  <si>
    <t>新鉅科技(股)公司</t>
    <phoneticPr fontId="2" type="noConversion"/>
  </si>
  <si>
    <t>43958066</t>
    <phoneticPr fontId="2" type="noConversion"/>
  </si>
  <si>
    <t>誼山精機(股)公司</t>
    <phoneticPr fontId="2" type="noConversion"/>
  </si>
  <si>
    <t>89647050</t>
    <phoneticPr fontId="2" type="noConversion"/>
  </si>
  <si>
    <t>旺矽科技(股)公司</t>
    <phoneticPr fontId="2" type="noConversion"/>
  </si>
  <si>
    <t>86723722</t>
    <phoneticPr fontId="2" type="noConversion"/>
  </si>
  <si>
    <t>優你康光學(股)公司</t>
    <phoneticPr fontId="2" type="noConversion"/>
  </si>
  <si>
    <t>89396315</t>
    <phoneticPr fontId="2" type="noConversion"/>
  </si>
  <si>
    <t>聯嘉光電(股)公司</t>
    <phoneticPr fontId="2" type="noConversion"/>
  </si>
  <si>
    <t>84149738</t>
    <phoneticPr fontId="2" type="noConversion"/>
  </si>
  <si>
    <t>友達光電(股)公司</t>
    <phoneticPr fontId="2" type="noConversion"/>
  </si>
  <si>
    <t>70785139</t>
    <phoneticPr fontId="2" type="noConversion"/>
  </si>
  <si>
    <t>景碩科技(股)公司</t>
    <phoneticPr fontId="2" type="noConversion"/>
  </si>
  <si>
    <t>144</t>
    <phoneticPr fontId="2" type="noConversion"/>
  </si>
  <si>
    <t>143</t>
    <phoneticPr fontId="2" type="noConversion"/>
  </si>
  <si>
    <t>34286449</t>
    <phoneticPr fontId="2" type="noConversion"/>
  </si>
  <si>
    <t>台灣半導體(股)公司</t>
    <phoneticPr fontId="2" type="noConversion"/>
  </si>
  <si>
    <t>142</t>
    <phoneticPr fontId="2" type="noConversion"/>
  </si>
  <si>
    <t>141</t>
    <phoneticPr fontId="2" type="noConversion"/>
  </si>
  <si>
    <t>140</t>
    <phoneticPr fontId="2" type="noConversion"/>
  </si>
  <si>
    <t>139</t>
    <phoneticPr fontId="2" type="noConversion"/>
  </si>
  <si>
    <t>138</t>
    <phoneticPr fontId="2" type="noConversion"/>
  </si>
  <si>
    <t>137</t>
    <phoneticPr fontId="2" type="noConversion"/>
  </si>
  <si>
    <t>136</t>
    <phoneticPr fontId="2" type="noConversion"/>
  </si>
  <si>
    <t>135</t>
    <phoneticPr fontId="2" type="noConversion"/>
  </si>
  <si>
    <t>134</t>
    <phoneticPr fontId="2" type="noConversion"/>
  </si>
  <si>
    <t>133</t>
    <phoneticPr fontId="2" type="noConversion"/>
  </si>
  <si>
    <t>132</t>
    <phoneticPr fontId="2" type="noConversion"/>
  </si>
  <si>
    <t>131</t>
    <phoneticPr fontId="2" type="noConversion"/>
  </si>
  <si>
    <t>130</t>
    <phoneticPr fontId="2" type="noConversion"/>
  </si>
  <si>
    <t>129</t>
    <phoneticPr fontId="2" type="noConversion"/>
  </si>
  <si>
    <t>128</t>
    <phoneticPr fontId="2" type="noConversion"/>
  </si>
  <si>
    <t>127</t>
    <phoneticPr fontId="2" type="noConversion"/>
  </si>
  <si>
    <t>126</t>
    <phoneticPr fontId="2" type="noConversion"/>
  </si>
  <si>
    <t>125</t>
    <phoneticPr fontId="2" type="noConversion"/>
  </si>
  <si>
    <t>124</t>
    <phoneticPr fontId="2" type="noConversion"/>
  </si>
  <si>
    <t>123</t>
    <phoneticPr fontId="2" type="noConversion"/>
  </si>
  <si>
    <t>122</t>
    <phoneticPr fontId="2" type="noConversion"/>
  </si>
  <si>
    <t>121</t>
    <phoneticPr fontId="2" type="noConversion"/>
  </si>
  <si>
    <t>120</t>
    <phoneticPr fontId="2" type="noConversion"/>
  </si>
  <si>
    <t>119</t>
    <phoneticPr fontId="2" type="noConversion"/>
  </si>
  <si>
    <t>118</t>
    <phoneticPr fontId="2" type="noConversion"/>
  </si>
  <si>
    <t>117</t>
    <phoneticPr fontId="2" type="noConversion"/>
  </si>
  <si>
    <t>116</t>
    <phoneticPr fontId="2" type="noConversion"/>
  </si>
  <si>
    <t>115</t>
    <phoneticPr fontId="2" type="noConversion"/>
  </si>
  <si>
    <t>114</t>
    <phoneticPr fontId="2" type="noConversion"/>
  </si>
  <si>
    <t>23641338</t>
    <phoneticPr fontId="2" type="noConversion"/>
  </si>
  <si>
    <t>信昌電子陶瓷(股)公司</t>
    <phoneticPr fontId="2" type="noConversion"/>
  </si>
  <si>
    <t>22145016</t>
    <phoneticPr fontId="2" type="noConversion"/>
  </si>
  <si>
    <t>強茂(股)公司</t>
    <phoneticPr fontId="2" type="noConversion"/>
  </si>
  <si>
    <t>27393491</t>
    <phoneticPr fontId="2" type="noConversion"/>
  </si>
  <si>
    <t>兆利科技工業(股)公司</t>
    <phoneticPr fontId="2" type="noConversion"/>
  </si>
  <si>
    <t>22224692</t>
    <phoneticPr fontId="2" type="noConversion"/>
  </si>
  <si>
    <t>亞崴機電(股)公司</t>
    <phoneticPr fontId="2" type="noConversion"/>
  </si>
  <si>
    <t>20947969</t>
    <phoneticPr fontId="2" type="noConversion"/>
  </si>
  <si>
    <t>輝創電子(股)公司</t>
    <phoneticPr fontId="2" type="noConversion"/>
  </si>
  <si>
    <t>南寶樹脂化學(股)公司</t>
    <phoneticPr fontId="2" type="noConversion"/>
  </si>
  <si>
    <t>52753108</t>
    <phoneticPr fontId="2" type="noConversion"/>
  </si>
  <si>
    <t>百容電子(股)公司</t>
    <phoneticPr fontId="2" type="noConversion"/>
  </si>
  <si>
    <t>47255762</t>
    <phoneticPr fontId="2" type="noConversion"/>
  </si>
  <si>
    <t>台揚科技(股)公司</t>
    <phoneticPr fontId="2" type="noConversion"/>
  </si>
  <si>
    <t>015_輸出入銀行 合計</t>
  </si>
  <si>
    <t>015_輸出入銀行</t>
    <phoneticPr fontId="2" type="noConversion"/>
  </si>
  <si>
    <t>12645385</t>
    <phoneticPr fontId="2" type="noConversion"/>
  </si>
  <si>
    <t>衡欣醫療器材(股)公司</t>
    <phoneticPr fontId="2" type="noConversion"/>
  </si>
  <si>
    <t>12156196</t>
    <phoneticPr fontId="2" type="noConversion"/>
  </si>
  <si>
    <t>復盛精密工業(股)公司</t>
    <phoneticPr fontId="2" type="noConversion"/>
  </si>
  <si>
    <t>97331723</t>
    <phoneticPr fontId="2" type="noConversion"/>
  </si>
  <si>
    <t>啟碁科技(股)公司</t>
    <phoneticPr fontId="2" type="noConversion"/>
  </si>
  <si>
    <t>23535435</t>
    <phoneticPr fontId="2" type="noConversion"/>
  </si>
  <si>
    <t>欣興電子(股)公司</t>
    <phoneticPr fontId="2" type="noConversion"/>
  </si>
  <si>
    <t>74231126</t>
    <phoneticPr fontId="2" type="noConversion"/>
  </si>
  <si>
    <t>康那香企業(股)公司</t>
    <phoneticPr fontId="2" type="noConversion"/>
  </si>
  <si>
    <t>45911735</t>
    <phoneticPr fontId="2" type="noConversion"/>
  </si>
  <si>
    <t>岳豐科技(股)公司</t>
    <phoneticPr fontId="2" type="noConversion"/>
  </si>
  <si>
    <t>22078327</t>
    <phoneticPr fontId="2" type="noConversion"/>
  </si>
  <si>
    <t>昭輝實業(股)公司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</si>
</sst>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/d;@"/>
    <numFmt numFmtId="177" formatCode="#,##0_);[Red]\(#,##0\)"/>
    <numFmt numFmtId="178" formatCode="0.0%"/>
  </numFmts>
  <fonts count="6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76" fontId="0" fillId="0" borderId="0">
      <alignment vertical="center"/>
    </xf>
  </cellStyleXfs>
  <cellXfs count="54">
    <xf numFmtId="176" fontId="0" fillId="0" borderId="0" xfId="0">
      <alignment vertical="center"/>
    </xf>
    <xf numFmtId="176" fontId="4" fillId="0" borderId="2" xfId="0" applyFont="1" applyBorder="1" applyAlignment="1">
      <alignment horizontal="center" vertical="center" wrapText="1"/>
    </xf>
    <xf numFmtId="178" fontId="4" fillId="0" borderId="3" xfId="0" applyNumberFormat="1" applyFont="1" applyBorder="1" applyAlignment="1">
      <alignment horizontal="center" vertical="center" shrinkToFit="1"/>
    </xf>
    <xf numFmtId="177" fontId="4" fillId="0" borderId="3" xfId="0" applyNumberFormat="1" applyFont="1" applyBorder="1" applyAlignment="1">
      <alignment horizontal="right" vertical="center" shrinkToFit="1"/>
    </xf>
    <xf numFmtId="49" fontId="4" fillId="0" borderId="0" xfId="0" applyNumberFormat="1" applyFont="1" applyAlignment="1">
      <alignment horizontal="center" vertical="center"/>
    </xf>
    <xf numFmtId="176" fontId="4" fillId="0" borderId="0" xfId="0" applyFont="1" applyAlignment="1">
      <alignment vertical="center" shrinkToFit="1"/>
    </xf>
    <xf numFmtId="176" fontId="4" fillId="0" borderId="1" xfId="0" applyFont="1" applyBorder="1" applyAlignment="1">
      <alignment horizontal="right" vertical="center"/>
    </xf>
    <xf numFmtId="58" fontId="5" fillId="0" borderId="0" xfId="0" applyNumberFormat="1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176" fontId="4" fillId="0" borderId="0" xfId="0" applyFont="1" applyAlignment="1">
      <alignment horizontal="center" vertical="center" shrinkToFit="1"/>
    </xf>
    <xf numFmtId="178" fontId="4" fillId="0" borderId="0" xfId="0" applyNumberFormat="1" applyFont="1" applyAlignment="1">
      <alignment vertical="center" shrinkToFit="1"/>
    </xf>
    <xf numFmtId="49" fontId="4" fillId="0" borderId="2" xfId="0" applyNumberFormat="1" applyFont="1" applyBorder="1" applyAlignment="1">
      <alignment horizontal="center" vertical="center" wrapText="1"/>
    </xf>
    <xf numFmtId="176" fontId="4" fillId="0" borderId="2" xfId="0" applyFont="1" applyBorder="1" applyAlignment="1">
      <alignment horizontal="center" vertical="center" shrinkToFit="1"/>
    </xf>
    <xf numFmtId="177" fontId="4" fillId="0" borderId="2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 shrinkToFit="1"/>
    </xf>
    <xf numFmtId="178" fontId="4" fillId="0" borderId="2" xfId="0" applyNumberFormat="1" applyFont="1" applyBorder="1" applyAlignment="1">
      <alignment horizontal="center" vertical="center" wrapText="1" shrinkToFit="1"/>
    </xf>
    <xf numFmtId="176" fontId="4" fillId="0" borderId="0" xfId="0" applyFont="1" applyAlignment="1">
      <alignment horizontal="center" vertical="center" wrapText="1"/>
    </xf>
    <xf numFmtId="176" fontId="4" fillId="0" borderId="3" xfId="0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  <xf numFmtId="176" fontId="4" fillId="0" borderId="3" xfId="0" applyFont="1" applyBorder="1" applyAlignment="1">
      <alignment horizontal="left" vertical="center" shrinkToFit="1"/>
    </xf>
    <xf numFmtId="176" fontId="5" fillId="2" borderId="3" xfId="0" applyFont="1" applyFill="1" applyBorder="1" applyAlignment="1">
      <alignment horizontal="center" vertical="center" shrinkToFit="1"/>
    </xf>
    <xf numFmtId="49" fontId="5" fillId="2" borderId="3" xfId="0" applyNumberFormat="1" applyFont="1" applyFill="1" applyBorder="1" applyAlignment="1">
      <alignment horizontal="center" vertical="center" shrinkToFit="1"/>
    </xf>
    <xf numFmtId="176" fontId="5" fillId="2" borderId="3" xfId="0" applyFont="1" applyFill="1" applyBorder="1" applyAlignment="1">
      <alignment horizontal="left" vertical="center" shrinkToFit="1"/>
    </xf>
    <xf numFmtId="177" fontId="5" fillId="2" borderId="3" xfId="0" applyNumberFormat="1" applyFont="1" applyFill="1" applyBorder="1" applyAlignment="1">
      <alignment horizontal="right" vertical="center" shrinkToFit="1"/>
    </xf>
    <xf numFmtId="178" fontId="5" fillId="2" borderId="3" xfId="0" applyNumberFormat="1" applyFont="1" applyFill="1" applyBorder="1" applyAlignment="1">
      <alignment horizontal="center" vertical="center" shrinkToFit="1"/>
    </xf>
    <xf numFmtId="176" fontId="4" fillId="0" borderId="0" xfId="0" applyFont="1">
      <alignment vertical="center"/>
    </xf>
    <xf numFmtId="176" fontId="4" fillId="0" borderId="0" xfId="0" applyFont="1" applyAlignment="1">
      <alignment horizontal="right" vertical="center"/>
    </xf>
    <xf numFmtId="176" fontId="4" fillId="0" borderId="0" xfId="0" applyFont="1" applyAlignment="1">
      <alignment horizontal="center" vertical="center"/>
    </xf>
    <xf numFmtId="176" fontId="5" fillId="2" borderId="3" xfId="0" applyFont="1" applyFill="1" applyBorder="1" applyAlignment="1">
      <alignment horizontal="left" vertical="center"/>
    </xf>
    <xf numFmtId="176" fontId="5" fillId="3" borderId="3" xfId="0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center" vertical="center" shrinkToFit="1"/>
    </xf>
    <xf numFmtId="176" fontId="5" fillId="3" borderId="3" xfId="0" applyFont="1" applyFill="1" applyBorder="1" applyAlignment="1">
      <alignment horizontal="left" vertical="center" shrinkToFit="1"/>
    </xf>
    <xf numFmtId="177" fontId="5" fillId="3" borderId="3" xfId="0" applyNumberFormat="1" applyFont="1" applyFill="1" applyBorder="1" applyAlignment="1">
      <alignment horizontal="right" vertical="center" shrinkToFit="1"/>
    </xf>
    <xf numFmtId="176" fontId="5" fillId="3" borderId="3" xfId="0" applyFont="1" applyFill="1" applyBorder="1" applyAlignment="1">
      <alignment horizontal="center" vertical="center" shrinkToFit="1"/>
    </xf>
    <xf numFmtId="178" fontId="5" fillId="3" borderId="3" xfId="0" applyNumberFormat="1" applyFont="1" applyFill="1" applyBorder="1" applyAlignment="1">
      <alignment horizontal="center" vertical="center" shrinkToFit="1"/>
    </xf>
    <xf numFmtId="176" fontId="4" fillId="3" borderId="0" xfId="0" applyFont="1" applyFill="1" applyAlignment="1">
      <alignment horizontal="center" vertical="center" wrapText="1"/>
    </xf>
    <xf numFmtId="176" fontId="3" fillId="0" borderId="3" xfId="0" applyFont="1" applyBorder="1" applyAlignment="1">
      <alignment horizontal="center" vertical="center" shrinkToFit="1"/>
    </xf>
    <xf numFmtId="176" fontId="4" fillId="2" borderId="2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Font="1" applyFill="1" applyBorder="1" applyAlignment="1">
      <alignment horizontal="center" vertical="center" shrinkToFit="1"/>
    </xf>
    <xf numFmtId="177" fontId="4" fillId="2" borderId="2" xfId="0" applyNumberFormat="1" applyFont="1" applyFill="1" applyBorder="1" applyAlignment="1">
      <alignment horizontal="center" vertical="center" wrapText="1"/>
    </xf>
    <xf numFmtId="177" fontId="4" fillId="2" borderId="2" xfId="0" applyNumberFormat="1" applyFont="1" applyFill="1" applyBorder="1" applyAlignment="1">
      <alignment horizontal="center" vertical="center" wrapText="1" shrinkToFit="1"/>
    </xf>
    <xf numFmtId="178" fontId="4" fillId="2" borderId="2" xfId="0" applyNumberFormat="1" applyFont="1" applyFill="1" applyBorder="1" applyAlignment="1">
      <alignment horizontal="center" vertical="center" wrapText="1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176" fontId="4" fillId="2" borderId="3" xfId="0" applyFont="1" applyFill="1" applyBorder="1" applyAlignment="1">
      <alignment horizontal="left" vertical="center" shrinkToFit="1"/>
    </xf>
    <xf numFmtId="177" fontId="4" fillId="2" borderId="3" xfId="0" applyNumberFormat="1" applyFont="1" applyFill="1" applyBorder="1" applyAlignment="1">
      <alignment horizontal="right" vertical="center" shrinkToFit="1"/>
    </xf>
    <xf numFmtId="176" fontId="4" fillId="2" borderId="3" xfId="0" applyFont="1" applyFill="1" applyBorder="1" applyAlignment="1">
      <alignment horizontal="center" vertical="center" shrinkToFit="1"/>
    </xf>
    <xf numFmtId="178" fontId="4" fillId="2" borderId="3" xfId="0" applyNumberFormat="1" applyFont="1" applyFill="1" applyBorder="1" applyAlignment="1">
      <alignment horizontal="center" vertical="center" shrinkToFit="1"/>
    </xf>
    <xf numFmtId="49" fontId="4" fillId="3" borderId="3" xfId="0" applyNumberFormat="1" applyFont="1" applyFill="1" applyBorder="1" applyAlignment="1">
      <alignment horizontal="center" vertical="center" shrinkToFit="1"/>
    </xf>
    <xf numFmtId="176" fontId="4" fillId="3" borderId="3" xfId="0" applyFont="1" applyFill="1" applyBorder="1" applyAlignment="1">
      <alignment horizontal="left" vertical="center" shrinkToFit="1"/>
    </xf>
    <xf numFmtId="177" fontId="4" fillId="3" borderId="3" xfId="0" applyNumberFormat="1" applyFont="1" applyFill="1" applyBorder="1" applyAlignment="1">
      <alignment horizontal="right" vertical="center" shrinkToFit="1"/>
    </xf>
    <xf numFmtId="176" fontId="4" fillId="3" borderId="3" xfId="0" applyFont="1" applyFill="1" applyBorder="1" applyAlignment="1">
      <alignment horizontal="center" vertical="center" shrinkToFit="1"/>
    </xf>
    <xf numFmtId="178" fontId="4" fillId="3" borderId="3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Alignment="1">
      <alignment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94"/>
  <sheetViews>
    <sheetView tabSelected="1" workbookViewId="0">
      <selection activeCell="E13" sqref="E13"/>
    </sheetView>
  </sheetViews>
  <sheetFormatPr defaultColWidth="5.375" defaultRowHeight="13.5" outlineLevelRow="2"/>
  <cols>
    <col min="1" max="1" width="12" style="5" bestFit="1" customWidth="1"/>
    <col min="2" max="2" width="8.375" style="5" bestFit="1" customWidth="1"/>
    <col min="3" max="3" width="18.625" style="5" bestFit="1" customWidth="1"/>
    <col min="4" max="4" width="12" style="5" bestFit="1" customWidth="1"/>
    <col min="5" max="5" width="12.125" style="8" bestFit="1" customWidth="1"/>
    <col min="6" max="6" width="12" style="9" bestFit="1" customWidth="1"/>
    <col min="7" max="7" width="12" style="8" bestFit="1" customWidth="1"/>
    <col min="8" max="8" width="10.375" style="10" bestFit="1" customWidth="1"/>
    <col min="9" max="10" width="8.75" style="5" customWidth="1"/>
    <col min="11" max="11" width="10.375" style="5" bestFit="1" customWidth="1"/>
    <col min="12" max="12" width="10.375" style="8" bestFit="1" customWidth="1"/>
    <col min="13" max="13" width="12" style="5" bestFit="1" customWidth="1"/>
    <col min="14" max="14" width="12.625" style="5" customWidth="1"/>
    <col min="15" max="16384" width="5.375" style="5"/>
  </cols>
  <sheetData>
    <row r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6">
      <c r="B2" s="6" t="s">
        <v>1</v>
      </c>
      <c r="C2" s="7">
        <v>43585</v>
      </c>
      <c r="L2" s="8" t="s">
        <v>2</v>
      </c>
    </row>
    <row r="3" spans="1:16" s="16" customFormat="1" ht="27.75" thickBot="1">
      <c r="A3" s="1" t="s">
        <v>3</v>
      </c>
      <c r="B3" s="11" t="s">
        <v>4</v>
      </c>
      <c r="C3" s="12" t="s">
        <v>5</v>
      </c>
      <c r="D3" s="12" t="s">
        <v>6</v>
      </c>
      <c r="E3" s="13" t="s">
        <v>7</v>
      </c>
      <c r="F3" s="12" t="s">
        <v>8</v>
      </c>
      <c r="G3" s="14" t="s">
        <v>9</v>
      </c>
      <c r="H3" s="15" t="s">
        <v>10</v>
      </c>
      <c r="I3" s="1" t="s">
        <v>11</v>
      </c>
      <c r="J3" s="1" t="s">
        <v>12</v>
      </c>
      <c r="K3" s="1" t="s">
        <v>13</v>
      </c>
      <c r="L3" s="13" t="s">
        <v>14</v>
      </c>
      <c r="M3" s="1" t="s">
        <v>15</v>
      </c>
    </row>
    <row r="4" spans="1:16" s="16" customFormat="1" outlineLevel="2">
      <c r="A4" s="17" t="s">
        <v>16</v>
      </c>
      <c r="B4" s="18" t="s">
        <v>17</v>
      </c>
      <c r="C4" s="19" t="s">
        <v>18</v>
      </c>
      <c r="D4" s="18" t="s">
        <v>19</v>
      </c>
      <c r="E4" s="3">
        <v>200000000</v>
      </c>
      <c r="F4" s="17">
        <v>43556</v>
      </c>
      <c r="G4" s="3">
        <v>200000000</v>
      </c>
      <c r="H4" s="2">
        <v>1.4999999999999999E-2</v>
      </c>
      <c r="I4" s="17">
        <v>43556</v>
      </c>
      <c r="J4" s="17">
        <v>43585</v>
      </c>
      <c r="K4" s="3">
        <f>J4-I4+1</f>
        <v>30</v>
      </c>
      <c r="L4" s="3">
        <f>ROUND(G4*H4*K4/365,0)</f>
        <v>246575</v>
      </c>
      <c r="M4" s="3">
        <v>200000000</v>
      </c>
    </row>
    <row r="5" spans="1:16" s="16" customFormat="1" outlineLevel="2">
      <c r="A5" s="17"/>
      <c r="B5" s="18"/>
      <c r="C5" s="19"/>
      <c r="D5" s="18"/>
      <c r="E5" s="3"/>
      <c r="F5" s="17"/>
      <c r="G5" s="3"/>
      <c r="H5" s="2"/>
      <c r="I5" s="17"/>
      <c r="J5" s="17"/>
      <c r="K5" s="3"/>
      <c r="L5" s="3"/>
      <c r="M5" s="3"/>
    </row>
    <row r="6" spans="1:16" s="16" customFormat="1" outlineLevel="2">
      <c r="A6" s="20"/>
      <c r="B6" s="21"/>
      <c r="C6" s="22" t="s">
        <v>20</v>
      </c>
      <c r="D6" s="21"/>
      <c r="E6" s="23">
        <v>200000000</v>
      </c>
      <c r="F6" s="20"/>
      <c r="G6" s="23"/>
      <c r="H6" s="24"/>
      <c r="I6" s="20"/>
      <c r="J6" s="20"/>
      <c r="K6" s="23"/>
      <c r="L6" s="23">
        <f>SUBTOTAL(9,L3:L5)</f>
        <v>246575</v>
      </c>
      <c r="M6" s="23"/>
    </row>
    <row r="7" spans="1:16" s="16" customFormat="1" outlineLevel="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25" t="s">
        <v>22</v>
      </c>
      <c r="B8" s="25"/>
      <c r="D8" s="26" t="s">
        <v>23</v>
      </c>
      <c r="E8" s="5"/>
      <c r="G8" s="27" t="s">
        <v>21</v>
      </c>
    </row>
    <row r="9" spans="1:16" s="16" customFormat="1" outlineLevel="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s="16" customFormat="1" outlineLevel="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s="16" customFormat="1" outlineLevel="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s="16" customFormat="1" outlineLevel="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s="16" customFormat="1" outlineLevel="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 s="16" customFormat="1" outlineLevel="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s="16" customFormat="1" outlineLevel="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 s="16" customFormat="1" outlineLevel="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s="16" customFormat="1" outlineLevel="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s="16" customFormat="1" outlineLevel="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s="16" customFormat="1" outlineLevel="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 s="16" customFormat="1" outlineLevel="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s="16" customFormat="1" outlineLevel="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s="16" customFormat="1" outlineLevel="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s="16" customFormat="1" outlineLevel="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s="16" customFormat="1" outlineLevel="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s="16" customFormat="1" outlineLevel="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s="16" customFormat="1" outlineLevel="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s="16" customFormat="1" outlineLevel="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s="16" customFormat="1" outlineLevel="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s="16" customFormat="1" outlineLevel="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s="16" customFormat="1" outlineLevel="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s="16" customFormat="1" outlineLevel="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 s="16" customFormat="1" outlineLevel="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s="16" customFormat="1" outlineLevel="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s="16" customFormat="1" outlineLevel="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s="16" customFormat="1" outlineLevel="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s="16" customFormat="1" outlineLevel="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s="16" customFormat="1" outlineLevel="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s="16" customFormat="1" outlineLevel="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s="16" customFormat="1" outlineLevel="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s="16" customFormat="1" outlineLevel="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s="16" customFormat="1" outlineLevel="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s="16" customFormat="1" outlineLevel="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s="16" customFormat="1" outlineLevel="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s="16" customFormat="1" outlineLevel="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s="16" customFormat="1" outlineLevel="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s="16" customFormat="1" outlineLevel="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 spans="1:16" s="16" customFormat="1" outlineLevel="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s="16" customFormat="1" outlineLevel="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s="16" customFormat="1" outlineLevel="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1:16" s="16" customFormat="1" outlineLevel="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1:16" s="16" customFormat="1" outlineLevel="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s="16" customFormat="1" outlineLevel="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1:16" s="16" customFormat="1" outlineLevel="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s="16" customFormat="1" outlineLevel="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s="16" customFormat="1" outlineLevel="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1:16" s="16" customFormat="1" outlineLevel="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s="16" customFormat="1" outlineLevel="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6" s="16" customFormat="1" outlineLevel="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s="16" customFormat="1" outlineLevel="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6" s="16" customFormat="1" outlineLevel="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s="16" customFormat="1" outlineLevel="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s="16" customFormat="1" outlineLevel="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1:16" s="16" customFormat="1" outlineLevel="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s="16" customFormat="1" outlineLevel="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s="16" customFormat="1" outlineLevel="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s="16" customFormat="1" outlineLevel="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1:16" s="16" customFormat="1" outlineLevel="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s="16" customFormat="1" outlineLevel="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s="16" customForma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s="16" customForma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s="16" customForma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s="16" customForma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spans="1:16" s="16" customForma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spans="1:16" s="16" customForma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s="16" customForma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1:16" s="16" customForma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s="16" customForma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s="16" customForma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s="16" customForma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s="16" customForma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s="16" customForma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s="16" customForma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s="16" customForma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s="16" customForma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s="16" customForma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s="16" customForma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s="16" customForma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s="16" customForma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s="16" customForma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s="16" customForma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1:16" s="16" customForma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s="16" customForma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</sheetData>
  <autoFilter ref="A3:M3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orientation="landscape" r:id="rId1"/>
  <headerFooter alignWithMargins="0">
    <oddHeader>&amp;R附件2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491E-F19D-4014-83E9-0BE08DC49E23}">
  <dimension ref="A1:P99"/>
  <sheetViews>
    <sheetView workbookViewId="0">
      <selection activeCell="E13" sqref="E13"/>
    </sheetView>
  </sheetViews>
  <sheetFormatPr defaultColWidth="5.375" defaultRowHeight="13.5" outlineLevelRow="2"/>
  <cols>
    <col min="1" max="1" width="23.125" style="5" bestFit="1" customWidth="1"/>
    <col min="2" max="2" width="8.375" style="5" bestFit="1" customWidth="1"/>
    <col min="3" max="3" width="18.625" style="5" bestFit="1" customWidth="1"/>
    <col min="4" max="4" width="12" style="5" bestFit="1" customWidth="1"/>
    <col min="5" max="5" width="12.125" style="8" bestFit="1" customWidth="1"/>
    <col min="6" max="6" width="12" style="9" bestFit="1" customWidth="1"/>
    <col min="7" max="7" width="12" style="8" bestFit="1" customWidth="1"/>
    <col min="8" max="8" width="10.375" style="10" bestFit="1" customWidth="1"/>
    <col min="9" max="10" width="8.75" style="5" customWidth="1"/>
    <col min="11" max="11" width="10.375" style="5" bestFit="1" customWidth="1"/>
    <col min="12" max="12" width="10.375" style="8" bestFit="1" customWidth="1"/>
    <col min="13" max="13" width="12.125" style="5" bestFit="1" customWidth="1"/>
    <col min="14" max="14" width="12.625" style="5" customWidth="1"/>
    <col min="15" max="16384" width="5.375" style="5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6" t="s">
        <v>1</v>
      </c>
      <c r="C2" s="7">
        <v>43616</v>
      </c>
      <c r="L2" s="8" t="s">
        <v>2</v>
      </c>
    </row>
    <row r="3" spans="1:13" s="16" customFormat="1" ht="27.75" thickBot="1">
      <c r="A3" s="1" t="s">
        <v>3</v>
      </c>
      <c r="B3" s="11" t="s">
        <v>4</v>
      </c>
      <c r="C3" s="12" t="s">
        <v>5</v>
      </c>
      <c r="D3" s="12" t="s">
        <v>6</v>
      </c>
      <c r="E3" s="13" t="s">
        <v>7</v>
      </c>
      <c r="F3" s="12" t="s">
        <v>8</v>
      </c>
      <c r="G3" s="14" t="s">
        <v>9</v>
      </c>
      <c r="H3" s="15" t="s">
        <v>10</v>
      </c>
      <c r="I3" s="1" t="s">
        <v>11</v>
      </c>
      <c r="J3" s="1" t="s">
        <v>12</v>
      </c>
      <c r="K3" s="1" t="s">
        <v>13</v>
      </c>
      <c r="L3" s="13" t="s">
        <v>14</v>
      </c>
      <c r="M3" s="1" t="s">
        <v>15</v>
      </c>
    </row>
    <row r="4" spans="1:13" s="16" customFormat="1" outlineLevel="2">
      <c r="A4" s="17" t="s">
        <v>42</v>
      </c>
      <c r="B4" s="18" t="s">
        <v>17</v>
      </c>
      <c r="C4" s="19" t="s">
        <v>35</v>
      </c>
      <c r="D4" s="18" t="s">
        <v>34</v>
      </c>
      <c r="E4" s="3">
        <v>14900000</v>
      </c>
      <c r="F4" s="17">
        <v>43591</v>
      </c>
      <c r="G4" s="3">
        <v>14900000</v>
      </c>
      <c r="H4" s="2">
        <v>1.4999999999999999E-2</v>
      </c>
      <c r="I4" s="17">
        <v>43591</v>
      </c>
      <c r="J4" s="17">
        <v>43616</v>
      </c>
      <c r="K4" s="3">
        <f>J4-I4+1</f>
        <v>26</v>
      </c>
      <c r="L4" s="3">
        <f>ROUND(G4*H4*K4/365,0)</f>
        <v>15921</v>
      </c>
      <c r="M4" s="3">
        <v>14900000</v>
      </c>
    </row>
    <row r="5" spans="1:13" s="16" customFormat="1" outlineLevel="2">
      <c r="A5" s="17" t="s">
        <v>42</v>
      </c>
      <c r="B5" s="18" t="s">
        <v>31</v>
      </c>
      <c r="C5" s="19" t="s">
        <v>35</v>
      </c>
      <c r="D5" s="18" t="s">
        <v>34</v>
      </c>
      <c r="E5" s="3">
        <v>3080000</v>
      </c>
      <c r="F5" s="17">
        <v>43612</v>
      </c>
      <c r="G5" s="3">
        <v>3080000</v>
      </c>
      <c r="H5" s="2">
        <v>1.4999999999999999E-2</v>
      </c>
      <c r="I5" s="17">
        <v>43612</v>
      </c>
      <c r="J5" s="17">
        <v>43616</v>
      </c>
      <c r="K5" s="3">
        <f>J5-I5+1</f>
        <v>5</v>
      </c>
      <c r="L5" s="3">
        <f>ROUND(G5*H5*K5/365,0)</f>
        <v>633</v>
      </c>
      <c r="M5" s="3">
        <v>3080000</v>
      </c>
    </row>
    <row r="6" spans="1:13" s="16" customFormat="1" outlineLevel="1">
      <c r="A6" s="28" t="s">
        <v>41</v>
      </c>
      <c r="B6" s="21"/>
      <c r="C6" s="22"/>
      <c r="D6" s="21"/>
      <c r="E6" s="23">
        <f>SUBTOTAL(9,E4:E5)</f>
        <v>17980000</v>
      </c>
      <c r="F6" s="20"/>
      <c r="G6" s="23"/>
      <c r="H6" s="24"/>
      <c r="I6" s="20"/>
      <c r="J6" s="20"/>
      <c r="K6" s="23"/>
      <c r="L6" s="23">
        <f>SUBTOTAL(9,L4:L5)</f>
        <v>16554</v>
      </c>
      <c r="M6" s="23">
        <f>SUBTOTAL(9,M4:M5)</f>
        <v>17980000</v>
      </c>
    </row>
    <row r="7" spans="1:13" s="16" customFormat="1" outlineLevel="2">
      <c r="A7" s="17" t="s">
        <v>40</v>
      </c>
      <c r="B7" s="18" t="s">
        <v>17</v>
      </c>
      <c r="C7" s="19" t="s">
        <v>39</v>
      </c>
      <c r="D7" s="18" t="s">
        <v>38</v>
      </c>
      <c r="E7" s="3">
        <v>100000000</v>
      </c>
      <c r="F7" s="17">
        <v>43594</v>
      </c>
      <c r="G7" s="3">
        <v>100000000</v>
      </c>
      <c r="H7" s="2">
        <v>1.4999999999999999E-2</v>
      </c>
      <c r="I7" s="17">
        <v>43594</v>
      </c>
      <c r="J7" s="17">
        <v>43616</v>
      </c>
      <c r="K7" s="3">
        <f>J7-I7+1</f>
        <v>23</v>
      </c>
      <c r="L7" s="3">
        <f>ROUND(G7*H7*K7/365,0)</f>
        <v>94521</v>
      </c>
      <c r="M7" s="3">
        <v>100000000</v>
      </c>
    </row>
    <row r="8" spans="1:13" s="16" customFormat="1" outlineLevel="1">
      <c r="A8" s="28" t="s">
        <v>37</v>
      </c>
      <c r="B8" s="21"/>
      <c r="C8" s="22"/>
      <c r="D8" s="21"/>
      <c r="E8" s="23">
        <f>SUBTOTAL(9,E7:E7)</f>
        <v>100000000</v>
      </c>
      <c r="F8" s="20"/>
      <c r="G8" s="23"/>
      <c r="H8" s="24"/>
      <c r="I8" s="20"/>
      <c r="J8" s="20"/>
      <c r="K8" s="23"/>
      <c r="L8" s="23">
        <f>SUBTOTAL(9,L7:L7)</f>
        <v>94521</v>
      </c>
      <c r="M8" s="23">
        <f>SUBTOTAL(9,M7:M7)</f>
        <v>100000000</v>
      </c>
    </row>
    <row r="9" spans="1:13" s="16" customFormat="1" outlineLevel="2">
      <c r="A9" s="17" t="s">
        <v>36</v>
      </c>
      <c r="B9" s="18" t="s">
        <v>17</v>
      </c>
      <c r="C9" s="19" t="s">
        <v>35</v>
      </c>
      <c r="D9" s="18" t="s">
        <v>34</v>
      </c>
      <c r="E9" s="3">
        <v>21800000</v>
      </c>
      <c r="F9" s="17">
        <v>43591</v>
      </c>
      <c r="G9" s="3">
        <v>21800000</v>
      </c>
      <c r="H9" s="2">
        <v>1.4999999999999999E-2</v>
      </c>
      <c r="I9" s="17">
        <v>43591</v>
      </c>
      <c r="J9" s="17">
        <v>43616</v>
      </c>
      <c r="K9" s="3">
        <f>J9-I9+1</f>
        <v>26</v>
      </c>
      <c r="L9" s="3">
        <f>ROUND(G9*H9*K9/365,0)</f>
        <v>23293</v>
      </c>
      <c r="M9" s="3">
        <v>21800000</v>
      </c>
    </row>
    <row r="10" spans="1:13" s="16" customFormat="1" outlineLevel="1">
      <c r="A10" s="28" t="s">
        <v>33</v>
      </c>
      <c r="B10" s="21"/>
      <c r="C10" s="22"/>
      <c r="D10" s="21"/>
      <c r="E10" s="23">
        <f>SUBTOTAL(9,E9:E9)</f>
        <v>21800000</v>
      </c>
      <c r="F10" s="20"/>
      <c r="G10" s="23"/>
      <c r="H10" s="24"/>
      <c r="I10" s="20"/>
      <c r="J10" s="20"/>
      <c r="K10" s="23"/>
      <c r="L10" s="23">
        <f>SUBTOTAL(9,L9:L9)</f>
        <v>23293</v>
      </c>
      <c r="M10" s="23">
        <f>SUBTOTAL(9,M9:M9)</f>
        <v>21800000</v>
      </c>
    </row>
    <row r="11" spans="1:13" s="16" customFormat="1" outlineLevel="2">
      <c r="A11" s="17" t="s">
        <v>16</v>
      </c>
      <c r="B11" s="18" t="s">
        <v>17</v>
      </c>
      <c r="C11" s="19" t="s">
        <v>18</v>
      </c>
      <c r="D11" s="18" t="s">
        <v>19</v>
      </c>
      <c r="E11" s="3">
        <v>200000000</v>
      </c>
      <c r="F11" s="17">
        <v>43556</v>
      </c>
      <c r="G11" s="3">
        <v>200000000</v>
      </c>
      <c r="H11" s="2">
        <v>1.4999999999999999E-2</v>
      </c>
      <c r="I11" s="17">
        <v>43586</v>
      </c>
      <c r="J11" s="17">
        <v>43616</v>
      </c>
      <c r="K11" s="3">
        <f>J11-I11+1</f>
        <v>31</v>
      </c>
      <c r="L11" s="3">
        <f>ROUND(G11*H11*K11/365,0)</f>
        <v>254795</v>
      </c>
      <c r="M11" s="3">
        <v>200000000</v>
      </c>
    </row>
    <row r="12" spans="1:13" s="16" customFormat="1" outlineLevel="1">
      <c r="A12" s="28" t="s">
        <v>32</v>
      </c>
      <c r="B12" s="21"/>
      <c r="C12" s="22"/>
      <c r="D12" s="21"/>
      <c r="E12" s="23">
        <f>SUBTOTAL(9,E11:E11)</f>
        <v>200000000</v>
      </c>
      <c r="F12" s="20"/>
      <c r="G12" s="23"/>
      <c r="H12" s="24"/>
      <c r="I12" s="20"/>
      <c r="J12" s="20"/>
      <c r="K12" s="23"/>
      <c r="L12" s="23">
        <f>SUBTOTAL(9,L11:L11)</f>
        <v>254795</v>
      </c>
      <c r="M12" s="23">
        <f>SUBTOTAL(9,M11:M11)</f>
        <v>200000000</v>
      </c>
    </row>
    <row r="13" spans="1:13" s="16" customFormat="1" outlineLevel="2">
      <c r="A13" s="17" t="s">
        <v>29</v>
      </c>
      <c r="B13" s="18" t="s">
        <v>17</v>
      </c>
      <c r="C13" s="19" t="s">
        <v>27</v>
      </c>
      <c r="D13" s="18" t="s">
        <v>26</v>
      </c>
      <c r="E13" s="3">
        <v>25874221</v>
      </c>
      <c r="F13" s="17">
        <v>43605</v>
      </c>
      <c r="G13" s="3">
        <v>25874221</v>
      </c>
      <c r="H13" s="2">
        <v>1.4999999999999999E-2</v>
      </c>
      <c r="I13" s="17">
        <v>43605</v>
      </c>
      <c r="J13" s="17">
        <v>43616</v>
      </c>
      <c r="K13" s="3">
        <f>J13-I13+1</f>
        <v>12</v>
      </c>
      <c r="L13" s="3">
        <f>ROUND(G13*H13*K13/365,0)</f>
        <v>12760</v>
      </c>
      <c r="M13" s="3">
        <v>25874221</v>
      </c>
    </row>
    <row r="14" spans="1:13" s="16" customFormat="1" outlineLevel="2">
      <c r="A14" s="17" t="s">
        <v>29</v>
      </c>
      <c r="B14" s="18" t="s">
        <v>31</v>
      </c>
      <c r="C14" s="19" t="s">
        <v>27</v>
      </c>
      <c r="D14" s="18" t="s">
        <v>26</v>
      </c>
      <c r="E14" s="3">
        <v>7967807</v>
      </c>
      <c r="F14" s="17">
        <v>43613</v>
      </c>
      <c r="G14" s="3">
        <v>7967807</v>
      </c>
      <c r="H14" s="2">
        <v>1.4999999999999999E-2</v>
      </c>
      <c r="I14" s="17">
        <v>43613</v>
      </c>
      <c r="J14" s="17">
        <v>43616</v>
      </c>
      <c r="K14" s="3">
        <f>J14-I14+1</f>
        <v>4</v>
      </c>
      <c r="L14" s="3">
        <f>ROUND(G14*H14*K14/365,0)</f>
        <v>1310</v>
      </c>
      <c r="M14" s="3">
        <v>7967807</v>
      </c>
    </row>
    <row r="15" spans="1:13" s="16" customFormat="1" outlineLevel="2">
      <c r="A15" s="17" t="s">
        <v>29</v>
      </c>
      <c r="B15" s="18" t="s">
        <v>30</v>
      </c>
      <c r="C15" s="19" t="s">
        <v>27</v>
      </c>
      <c r="D15" s="18" t="s">
        <v>26</v>
      </c>
      <c r="E15" s="3">
        <v>40136695</v>
      </c>
      <c r="F15" s="17">
        <v>43605</v>
      </c>
      <c r="G15" s="3">
        <v>40136695</v>
      </c>
      <c r="H15" s="2">
        <v>1.4999999999999999E-2</v>
      </c>
      <c r="I15" s="17">
        <v>43605</v>
      </c>
      <c r="J15" s="17">
        <v>43616</v>
      </c>
      <c r="K15" s="3">
        <f>J15-I15+1</f>
        <v>12</v>
      </c>
      <c r="L15" s="3">
        <f>ROUND(G15*H15*K15/365,0)</f>
        <v>19793</v>
      </c>
      <c r="M15" s="3">
        <v>40136695</v>
      </c>
    </row>
    <row r="16" spans="1:13" s="16" customFormat="1" outlineLevel="2">
      <c r="A16" s="17" t="s">
        <v>29</v>
      </c>
      <c r="B16" s="18" t="s">
        <v>28</v>
      </c>
      <c r="C16" s="19" t="s">
        <v>27</v>
      </c>
      <c r="D16" s="18" t="s">
        <v>26</v>
      </c>
      <c r="E16" s="3">
        <v>2356988</v>
      </c>
      <c r="F16" s="17">
        <v>43613</v>
      </c>
      <c r="G16" s="3">
        <v>2356988</v>
      </c>
      <c r="H16" s="2">
        <v>1.4999999999999999E-2</v>
      </c>
      <c r="I16" s="17">
        <v>43613</v>
      </c>
      <c r="J16" s="17">
        <v>43616</v>
      </c>
      <c r="K16" s="3">
        <f>J16-I16+1</f>
        <v>4</v>
      </c>
      <c r="L16" s="3">
        <f>ROUND(G16*H16*K16/365,0)</f>
        <v>387</v>
      </c>
      <c r="M16" s="3">
        <v>2356988</v>
      </c>
    </row>
    <row r="17" spans="1:16" s="16" customFormat="1" outlineLevel="1">
      <c r="A17" s="28" t="s">
        <v>25</v>
      </c>
      <c r="B17" s="21"/>
      <c r="C17" s="22"/>
      <c r="D17" s="21"/>
      <c r="E17" s="23">
        <f>SUBTOTAL(9,E13:E16)</f>
        <v>76335711</v>
      </c>
      <c r="F17" s="20"/>
      <c r="G17" s="23"/>
      <c r="H17" s="24"/>
      <c r="I17" s="20"/>
      <c r="J17" s="20"/>
      <c r="K17" s="23"/>
      <c r="L17" s="23">
        <f>SUBTOTAL(9,L13:L16)</f>
        <v>34250</v>
      </c>
      <c r="M17" s="23">
        <f>SUBTOTAL(9,M13:M16)</f>
        <v>76335711</v>
      </c>
    </row>
    <row r="18" spans="1:16" s="35" customFormat="1" outlineLevel="1">
      <c r="A18" s="29"/>
      <c r="B18" s="30"/>
      <c r="C18" s="31"/>
      <c r="D18" s="30"/>
      <c r="E18" s="32"/>
      <c r="F18" s="33"/>
      <c r="G18" s="32"/>
      <c r="H18" s="34"/>
      <c r="I18" s="33"/>
      <c r="J18" s="33"/>
      <c r="K18" s="32"/>
      <c r="L18" s="32"/>
      <c r="M18" s="32"/>
    </row>
    <row r="19" spans="1:16" s="16" customFormat="1">
      <c r="A19" s="20" t="s">
        <v>24</v>
      </c>
      <c r="B19" s="21"/>
      <c r="C19" s="22"/>
      <c r="D19" s="21"/>
      <c r="E19" s="23">
        <f>SUBTOTAL(9,E4:E16)</f>
        <v>416115711</v>
      </c>
      <c r="F19" s="20"/>
      <c r="G19" s="23"/>
      <c r="H19" s="24"/>
      <c r="I19" s="20"/>
      <c r="J19" s="20"/>
      <c r="K19" s="23"/>
      <c r="L19" s="23">
        <f>SUBTOTAL(9,L4:L16)</f>
        <v>423413</v>
      </c>
      <c r="M19" s="23">
        <f>SUBTOTAL(9,M4:M16)</f>
        <v>416115711</v>
      </c>
    </row>
    <row r="20" spans="1:16" s="16" customFormat="1" outlineLevel="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5" t="s">
        <v>22</v>
      </c>
      <c r="B21" s="25"/>
      <c r="D21" s="26" t="s">
        <v>23</v>
      </c>
      <c r="E21" s="5"/>
      <c r="G21" s="27" t="s">
        <v>21</v>
      </c>
    </row>
    <row r="22" spans="1:16" s="16" customFormat="1" outlineLevel="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s="16" customFormat="1" outlineLevel="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s="16" customFormat="1" outlineLevel="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s="16" customFormat="1" outlineLevel="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s="16" customFormat="1" outlineLevel="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s="16" customFormat="1" outlineLevel="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s="16" customFormat="1" outlineLevel="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s="16" customFormat="1" outlineLevel="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s="16" customFormat="1" outlineLevel="2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s="16" customFormat="1" outlineLevel="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1:16" s="16" customFormat="1" outlineLevel="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s="16" customFormat="1" outlineLevel="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s="16" customFormat="1" outlineLevel="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s="16" customFormat="1" outlineLevel="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s="16" customFormat="1" outlineLevel="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s="16" customFormat="1" outlineLevel="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s="16" customFormat="1" outlineLevel="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s="16" customFormat="1" outlineLevel="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s="16" customFormat="1" outlineLevel="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s="16" customFormat="1" outlineLevel="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s="16" customFormat="1" outlineLevel="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s="16" customFormat="1" outlineLevel="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s="16" customFormat="1" outlineLevel="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s="16" customFormat="1" outlineLevel="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s="16" customFormat="1" outlineLevel="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 spans="1:16" s="16" customFormat="1" outlineLevel="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s="16" customFormat="1" outlineLevel="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s="16" customFormat="1" outlineLevel="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1:16" s="16" customFormat="1" outlineLevel="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1:16" s="16" customFormat="1" outlineLevel="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s="16" customFormat="1" outlineLevel="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1:16" s="16" customFormat="1" outlineLevel="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s="16" customFormat="1" outlineLevel="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s="16" customFormat="1" outlineLevel="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1:16" s="16" customFormat="1" outlineLevel="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s="16" customFormat="1" outlineLevel="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6" s="16" customFormat="1" outlineLevel="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s="16" customFormat="1" outlineLevel="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6" s="16" customFormat="1" outlineLevel="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s="16" customFormat="1" outlineLevel="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s="16" customFormat="1" outlineLevel="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1:16" s="16" customFormat="1" outlineLevel="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s="16" customFormat="1" outlineLevel="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s="16" customFormat="1" outlineLevel="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s="16" customFormat="1" outlineLevel="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1:16" s="16" customFormat="1" outlineLevel="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s="16" customFormat="1" outlineLevel="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s="16" customFormat="1" outlineLevel="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s="16" customFormat="1" outlineLevel="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s="16" customFormat="1" outlineLevel="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s="16" customFormat="1" outlineLevel="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spans="1:16" s="16" customFormat="1" outlineLevel="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spans="1:16" s="16" customForma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s="16" customForma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1:16" s="16" customForma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s="16" customForma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s="16" customForma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s="16" customForma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s="16" customForma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s="16" customForma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s="16" customForma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s="16" customForma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s="16" customForma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s="16" customForma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s="16" customForma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s="16" customForma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s="16" customForma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s="16" customForma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s="16" customForma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1:16" s="16" customForma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 s="16" customForma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s="16" customForma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s="16" customForma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s="16" customForma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s="16" customForma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1:16" s="16" customForma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</sheetData>
  <autoFilter ref="A3:M17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orientation="landscape" r:id="rId1"/>
  <headerFooter alignWithMargins="0">
    <oddHeader>&amp;R附件2</oddHead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A4FD-0D3B-401F-8EB4-49F1654AC984}">
  <dimension ref="A1:P104"/>
  <sheetViews>
    <sheetView workbookViewId="0">
      <selection activeCell="E13" sqref="E13"/>
    </sheetView>
  </sheetViews>
  <sheetFormatPr defaultColWidth="5.375" defaultRowHeight="13.5" outlineLevelRow="2"/>
  <cols>
    <col min="1" max="1" width="23.125" style="5" bestFit="1" customWidth="1"/>
    <col min="2" max="2" width="8.375" style="5" bestFit="1" customWidth="1"/>
    <col min="3" max="3" width="18.625" style="5" bestFit="1" customWidth="1"/>
    <col min="4" max="4" width="12" style="5" bestFit="1" customWidth="1"/>
    <col min="5" max="5" width="13.625" style="8" bestFit="1" customWidth="1"/>
    <col min="6" max="6" width="12" style="9" bestFit="1" customWidth="1"/>
    <col min="7" max="7" width="12" style="8" bestFit="1" customWidth="1"/>
    <col min="8" max="8" width="10.375" style="10" bestFit="1" customWidth="1"/>
    <col min="9" max="10" width="8.75" style="5" customWidth="1"/>
    <col min="11" max="11" width="10.375" style="5" bestFit="1" customWidth="1"/>
    <col min="12" max="12" width="10.375" style="8" bestFit="1" customWidth="1"/>
    <col min="13" max="13" width="13.625" style="5" bestFit="1" customWidth="1"/>
    <col min="14" max="14" width="12.625" style="5" customWidth="1"/>
    <col min="15" max="16384" width="5.375" style="5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6" t="s">
        <v>1</v>
      </c>
      <c r="C2" s="7">
        <v>43646</v>
      </c>
      <c r="L2" s="8" t="s">
        <v>2</v>
      </c>
    </row>
    <row r="3" spans="1:13" s="16" customFormat="1" ht="27.75" thickBot="1">
      <c r="A3" s="1" t="s">
        <v>3</v>
      </c>
      <c r="B3" s="11" t="s">
        <v>4</v>
      </c>
      <c r="C3" s="12" t="s">
        <v>5</v>
      </c>
      <c r="D3" s="12" t="s">
        <v>6</v>
      </c>
      <c r="E3" s="13" t="s">
        <v>7</v>
      </c>
      <c r="F3" s="12" t="s">
        <v>8</v>
      </c>
      <c r="G3" s="14" t="s">
        <v>9</v>
      </c>
      <c r="H3" s="15" t="s">
        <v>10</v>
      </c>
      <c r="I3" s="1" t="s">
        <v>11</v>
      </c>
      <c r="J3" s="1" t="s">
        <v>12</v>
      </c>
      <c r="K3" s="1" t="s">
        <v>13</v>
      </c>
      <c r="L3" s="13" t="s">
        <v>14</v>
      </c>
      <c r="M3" s="1" t="s">
        <v>15</v>
      </c>
    </row>
    <row r="4" spans="1:13" s="16" customFormat="1" outlineLevel="2">
      <c r="A4" s="17" t="s">
        <v>42</v>
      </c>
      <c r="B4" s="18" t="s">
        <v>17</v>
      </c>
      <c r="C4" s="19" t="s">
        <v>35</v>
      </c>
      <c r="D4" s="18" t="s">
        <v>34</v>
      </c>
      <c r="E4" s="3">
        <v>14900000</v>
      </c>
      <c r="F4" s="17">
        <v>43591</v>
      </c>
      <c r="G4" s="3">
        <v>14900000</v>
      </c>
      <c r="H4" s="2">
        <v>1.4999999999999999E-2</v>
      </c>
      <c r="I4" s="17">
        <v>43617</v>
      </c>
      <c r="J4" s="17">
        <v>43646</v>
      </c>
      <c r="K4" s="3">
        <f>J4-I4+1</f>
        <v>30</v>
      </c>
      <c r="L4" s="3">
        <f>ROUND(G4*H4*K4/365,0)</f>
        <v>18370</v>
      </c>
      <c r="M4" s="3">
        <v>14900000</v>
      </c>
    </row>
    <row r="5" spans="1:13" s="16" customFormat="1" outlineLevel="2">
      <c r="A5" s="17" t="s">
        <v>42</v>
      </c>
      <c r="B5" s="18" t="s">
        <v>31</v>
      </c>
      <c r="C5" s="19" t="s">
        <v>35</v>
      </c>
      <c r="D5" s="18" t="s">
        <v>34</v>
      </c>
      <c r="E5" s="3">
        <v>3080000</v>
      </c>
      <c r="F5" s="17">
        <v>43612</v>
      </c>
      <c r="G5" s="3">
        <v>3080000</v>
      </c>
      <c r="H5" s="2">
        <v>1.4999999999999999E-2</v>
      </c>
      <c r="I5" s="17">
        <v>43617</v>
      </c>
      <c r="J5" s="17">
        <v>43646</v>
      </c>
      <c r="K5" s="3">
        <f>J5-I5+1</f>
        <v>30</v>
      </c>
      <c r="L5" s="3">
        <f>ROUND(G5*H5*K5/365,0)</f>
        <v>3797</v>
      </c>
      <c r="M5" s="3">
        <v>3080000</v>
      </c>
    </row>
    <row r="6" spans="1:13" s="16" customFormat="1" outlineLevel="2">
      <c r="A6" s="17" t="s">
        <v>42</v>
      </c>
      <c r="B6" s="18" t="s">
        <v>30</v>
      </c>
      <c r="C6" s="19" t="s">
        <v>54</v>
      </c>
      <c r="D6" s="18" t="s">
        <v>34</v>
      </c>
      <c r="E6" s="3">
        <v>29720000</v>
      </c>
      <c r="F6" s="17">
        <v>43621</v>
      </c>
      <c r="G6" s="3">
        <v>29720000</v>
      </c>
      <c r="H6" s="2">
        <v>1.4999999999999999E-2</v>
      </c>
      <c r="I6" s="17">
        <v>43621</v>
      </c>
      <c r="J6" s="17">
        <v>43646</v>
      </c>
      <c r="K6" s="3">
        <f>J6-I6+1</f>
        <v>26</v>
      </c>
      <c r="L6" s="3">
        <f>ROUND(G6*H6*K6/365,0)</f>
        <v>31756</v>
      </c>
      <c r="M6" s="3">
        <v>29720000</v>
      </c>
    </row>
    <row r="7" spans="1:13" s="16" customFormat="1" outlineLevel="2">
      <c r="A7" s="17" t="s">
        <v>42</v>
      </c>
      <c r="B7" s="18" t="s">
        <v>28</v>
      </c>
      <c r="C7" s="19" t="s">
        <v>54</v>
      </c>
      <c r="D7" s="18" t="s">
        <v>34</v>
      </c>
      <c r="E7" s="3">
        <v>42908000</v>
      </c>
      <c r="F7" s="17">
        <v>43633</v>
      </c>
      <c r="G7" s="3">
        <v>42908000</v>
      </c>
      <c r="H7" s="2">
        <v>1.4999999999999999E-2</v>
      </c>
      <c r="I7" s="17">
        <v>43633</v>
      </c>
      <c r="J7" s="17">
        <v>43646</v>
      </c>
      <c r="K7" s="3">
        <f>J7-I7+1</f>
        <v>14</v>
      </c>
      <c r="L7" s="3">
        <f>ROUND(G7*H7*K7/365,0)</f>
        <v>24687</v>
      </c>
      <c r="M7" s="3">
        <v>42908000</v>
      </c>
    </row>
    <row r="8" spans="1:13" s="16" customFormat="1" outlineLevel="2">
      <c r="A8" s="17" t="s">
        <v>42</v>
      </c>
      <c r="B8" s="18" t="s">
        <v>48</v>
      </c>
      <c r="C8" s="19" t="s">
        <v>69</v>
      </c>
      <c r="D8" s="18" t="s">
        <v>68</v>
      </c>
      <c r="E8" s="3">
        <v>315000</v>
      </c>
      <c r="F8" s="17">
        <v>43644</v>
      </c>
      <c r="G8" s="3">
        <v>315000</v>
      </c>
      <c r="H8" s="2">
        <v>1.4999999999999999E-2</v>
      </c>
      <c r="I8" s="17">
        <v>43644</v>
      </c>
      <c r="J8" s="17">
        <v>43646</v>
      </c>
      <c r="K8" s="3">
        <f>J8-I8+1</f>
        <v>3</v>
      </c>
      <c r="L8" s="3">
        <f>ROUND(G8*H8*K8/365,0)</f>
        <v>39</v>
      </c>
      <c r="M8" s="3">
        <v>315000</v>
      </c>
    </row>
    <row r="9" spans="1:13" s="16" customFormat="1" outlineLevel="1">
      <c r="A9" s="28" t="s">
        <v>41</v>
      </c>
      <c r="B9" s="21"/>
      <c r="C9" s="22"/>
      <c r="D9" s="21"/>
      <c r="E9" s="23">
        <f>SUBTOTAL(9,E4:E8)</f>
        <v>90923000</v>
      </c>
      <c r="F9" s="20"/>
      <c r="G9" s="23"/>
      <c r="H9" s="24"/>
      <c r="I9" s="20"/>
      <c r="J9" s="20"/>
      <c r="K9" s="23"/>
      <c r="L9" s="23">
        <f>SUBTOTAL(9,L4:L8)</f>
        <v>78649</v>
      </c>
      <c r="M9" s="23">
        <f>SUBTOTAL(9,M4:M8)</f>
        <v>90923000</v>
      </c>
    </row>
    <row r="10" spans="1:13" s="16" customFormat="1" outlineLevel="2">
      <c r="A10" s="17" t="s">
        <v>40</v>
      </c>
      <c r="B10" s="18" t="s">
        <v>17</v>
      </c>
      <c r="C10" s="19" t="s">
        <v>39</v>
      </c>
      <c r="D10" s="18" t="s">
        <v>38</v>
      </c>
      <c r="E10" s="3">
        <v>100000000</v>
      </c>
      <c r="F10" s="17">
        <v>43594</v>
      </c>
      <c r="G10" s="3">
        <v>100000000</v>
      </c>
      <c r="H10" s="2">
        <v>1.4999999999999999E-2</v>
      </c>
      <c r="I10" s="17">
        <v>43617</v>
      </c>
      <c r="J10" s="17">
        <v>43646</v>
      </c>
      <c r="K10" s="3">
        <f>J10-I10+1</f>
        <v>30</v>
      </c>
      <c r="L10" s="3">
        <f>ROUND(G10*H10*K10/365,0)</f>
        <v>123288</v>
      </c>
      <c r="M10" s="3">
        <v>100000000</v>
      </c>
    </row>
    <row r="11" spans="1:13" s="16" customFormat="1" outlineLevel="1">
      <c r="A11" s="28" t="s">
        <v>37</v>
      </c>
      <c r="B11" s="21"/>
      <c r="C11" s="22"/>
      <c r="D11" s="21"/>
      <c r="E11" s="23">
        <f>SUBTOTAL(9,E10:E10)</f>
        <v>100000000</v>
      </c>
      <c r="F11" s="20"/>
      <c r="G11" s="23"/>
      <c r="H11" s="24"/>
      <c r="I11" s="20"/>
      <c r="J11" s="20"/>
      <c r="K11" s="23"/>
      <c r="L11" s="23">
        <f>SUBTOTAL(9,L10:L10)</f>
        <v>123288</v>
      </c>
      <c r="M11" s="23">
        <f>SUBTOTAL(9,M10:M10)</f>
        <v>100000000</v>
      </c>
    </row>
    <row r="12" spans="1:13" s="16" customFormat="1" outlineLevel="2">
      <c r="A12" s="17" t="s">
        <v>36</v>
      </c>
      <c r="B12" s="18" t="s">
        <v>17</v>
      </c>
      <c r="C12" s="19" t="s">
        <v>35</v>
      </c>
      <c r="D12" s="18" t="s">
        <v>34</v>
      </c>
      <c r="E12" s="3">
        <v>21800000</v>
      </c>
      <c r="F12" s="17">
        <v>43591</v>
      </c>
      <c r="G12" s="3">
        <v>21800000</v>
      </c>
      <c r="H12" s="2">
        <v>1.4999999999999999E-2</v>
      </c>
      <c r="I12" s="17">
        <v>43617</v>
      </c>
      <c r="J12" s="17">
        <v>43646</v>
      </c>
      <c r="K12" s="3">
        <f>J12-I12+1</f>
        <v>30</v>
      </c>
      <c r="L12" s="3">
        <f>ROUND(G12*H12*K12/365,0)</f>
        <v>26877</v>
      </c>
      <c r="M12" s="3">
        <v>21800000</v>
      </c>
    </row>
    <row r="13" spans="1:13" s="16" customFormat="1" outlineLevel="2">
      <c r="A13" s="17" t="s">
        <v>36</v>
      </c>
      <c r="B13" s="18" t="s">
        <v>31</v>
      </c>
      <c r="C13" s="19" t="s">
        <v>54</v>
      </c>
      <c r="D13" s="18" t="s">
        <v>34</v>
      </c>
      <c r="E13" s="3">
        <v>32936000</v>
      </c>
      <c r="F13" s="17">
        <v>43621</v>
      </c>
      <c r="G13" s="3">
        <v>32936000</v>
      </c>
      <c r="H13" s="2">
        <v>1.4999999999999999E-2</v>
      </c>
      <c r="I13" s="17">
        <v>43621</v>
      </c>
      <c r="J13" s="17">
        <v>43646</v>
      </c>
      <c r="K13" s="3">
        <f>J13-I13+1</f>
        <v>26</v>
      </c>
      <c r="L13" s="3">
        <f>ROUND(G13*H13*K13/365,0)</f>
        <v>35192</v>
      </c>
      <c r="M13" s="3">
        <v>32936000</v>
      </c>
    </row>
    <row r="14" spans="1:13" s="16" customFormat="1" outlineLevel="2">
      <c r="A14" s="17" t="s">
        <v>36</v>
      </c>
      <c r="B14" s="18" t="s">
        <v>30</v>
      </c>
      <c r="C14" s="19" t="s">
        <v>54</v>
      </c>
      <c r="D14" s="18" t="s">
        <v>34</v>
      </c>
      <c r="E14" s="3">
        <v>1621000</v>
      </c>
      <c r="F14" s="17">
        <v>43641</v>
      </c>
      <c r="G14" s="3">
        <v>1621000</v>
      </c>
      <c r="H14" s="2">
        <v>1.4999999999999999E-2</v>
      </c>
      <c r="I14" s="17">
        <v>43641</v>
      </c>
      <c r="J14" s="17">
        <v>43646</v>
      </c>
      <c r="K14" s="3">
        <f>J14-I14+1</f>
        <v>6</v>
      </c>
      <c r="L14" s="3">
        <f>ROUND(G14*H14*K14/365,0)</f>
        <v>400</v>
      </c>
      <c r="M14" s="3">
        <v>1621000</v>
      </c>
    </row>
    <row r="15" spans="1:13" s="16" customFormat="1" outlineLevel="1">
      <c r="A15" s="28" t="s">
        <v>33</v>
      </c>
      <c r="B15" s="21"/>
      <c r="C15" s="22"/>
      <c r="D15" s="21"/>
      <c r="E15" s="23">
        <f>SUBTOTAL(9,E12:E14)</f>
        <v>56357000</v>
      </c>
      <c r="F15" s="20"/>
      <c r="G15" s="23"/>
      <c r="H15" s="24"/>
      <c r="I15" s="20"/>
      <c r="J15" s="20"/>
      <c r="K15" s="23"/>
      <c r="L15" s="23">
        <f>SUBTOTAL(9,L12:L14)</f>
        <v>62469</v>
      </c>
      <c r="M15" s="23">
        <f>SUBTOTAL(9,M12:M14)</f>
        <v>56357000</v>
      </c>
    </row>
    <row r="16" spans="1:13" s="16" customFormat="1" outlineLevel="2">
      <c r="A16" s="17" t="s">
        <v>67</v>
      </c>
      <c r="B16" s="18" t="s">
        <v>17</v>
      </c>
      <c r="C16" s="19" t="s">
        <v>51</v>
      </c>
      <c r="D16" s="18" t="s">
        <v>50</v>
      </c>
      <c r="E16" s="3">
        <v>200000000</v>
      </c>
      <c r="F16" s="17">
        <v>43620</v>
      </c>
      <c r="G16" s="3">
        <v>200000000</v>
      </c>
      <c r="H16" s="2">
        <v>1.4999999999999999E-2</v>
      </c>
      <c r="I16" s="17">
        <v>43620</v>
      </c>
      <c r="J16" s="17">
        <v>43646</v>
      </c>
      <c r="K16" s="3">
        <f>J16-I16+1</f>
        <v>27</v>
      </c>
      <c r="L16" s="3">
        <f>ROUND(G16*H16*K16/365,0)</f>
        <v>221918</v>
      </c>
      <c r="M16" s="3">
        <v>200000000</v>
      </c>
    </row>
    <row r="17" spans="1:13" s="16" customFormat="1" outlineLevel="2">
      <c r="A17" s="17" t="s">
        <v>67</v>
      </c>
      <c r="B17" s="18" t="s">
        <v>31</v>
      </c>
      <c r="C17" s="19" t="s">
        <v>51</v>
      </c>
      <c r="D17" s="18" t="s">
        <v>50</v>
      </c>
      <c r="E17" s="3">
        <v>170000000</v>
      </c>
      <c r="F17" s="17">
        <v>43643</v>
      </c>
      <c r="G17" s="3">
        <v>170000000</v>
      </c>
      <c r="H17" s="2">
        <v>1.4999999999999999E-2</v>
      </c>
      <c r="I17" s="17">
        <v>43643</v>
      </c>
      <c r="J17" s="17">
        <v>43646</v>
      </c>
      <c r="K17" s="3">
        <f>J17-I17+1</f>
        <v>4</v>
      </c>
      <c r="L17" s="3">
        <f>ROUND(G17*H17*K17/365,0)</f>
        <v>27945</v>
      </c>
      <c r="M17" s="3">
        <v>170000000</v>
      </c>
    </row>
    <row r="18" spans="1:13" s="16" customFormat="1" outlineLevel="1">
      <c r="A18" s="28" t="s">
        <v>66</v>
      </c>
      <c r="B18" s="21"/>
      <c r="C18" s="22"/>
      <c r="D18" s="21"/>
      <c r="E18" s="23">
        <f>SUBTOTAL(9,E16:E17)</f>
        <v>370000000</v>
      </c>
      <c r="F18" s="20"/>
      <c r="G18" s="23"/>
      <c r="H18" s="24"/>
      <c r="I18" s="20"/>
      <c r="J18" s="20"/>
      <c r="K18" s="23"/>
      <c r="L18" s="23">
        <f>SUBTOTAL(9,L16:L17)</f>
        <v>249863</v>
      </c>
      <c r="M18" s="23">
        <f>SUBTOTAL(9,M16:M17)</f>
        <v>370000000</v>
      </c>
    </row>
    <row r="19" spans="1:13" s="16" customFormat="1" outlineLevel="2">
      <c r="A19" s="17" t="s">
        <v>65</v>
      </c>
      <c r="B19" s="18" t="s">
        <v>17</v>
      </c>
      <c r="C19" s="19" t="s">
        <v>51</v>
      </c>
      <c r="D19" s="18" t="s">
        <v>50</v>
      </c>
      <c r="E19" s="3">
        <v>500000000</v>
      </c>
      <c r="F19" s="17">
        <v>43635</v>
      </c>
      <c r="G19" s="3">
        <v>500000000</v>
      </c>
      <c r="H19" s="2">
        <v>1.4999999999999999E-2</v>
      </c>
      <c r="I19" s="17">
        <v>43635</v>
      </c>
      <c r="J19" s="17">
        <v>43646</v>
      </c>
      <c r="K19" s="3">
        <f>J19-I19+1</f>
        <v>12</v>
      </c>
      <c r="L19" s="3">
        <f>ROUND(G19*H19*K19/365,0)</f>
        <v>246575</v>
      </c>
      <c r="M19" s="3">
        <v>500000000</v>
      </c>
    </row>
    <row r="20" spans="1:13" s="16" customFormat="1" outlineLevel="2">
      <c r="A20" s="17" t="s">
        <v>65</v>
      </c>
      <c r="B20" s="18" t="s">
        <v>31</v>
      </c>
      <c r="C20" s="19" t="s">
        <v>51</v>
      </c>
      <c r="D20" s="18" t="s">
        <v>50</v>
      </c>
      <c r="E20" s="3">
        <v>200000000</v>
      </c>
      <c r="F20" s="17">
        <v>43644</v>
      </c>
      <c r="G20" s="3">
        <v>200000000</v>
      </c>
      <c r="H20" s="2">
        <v>1.4999999999999999E-2</v>
      </c>
      <c r="I20" s="17">
        <v>43644</v>
      </c>
      <c r="J20" s="17">
        <v>43646</v>
      </c>
      <c r="K20" s="3">
        <f>J20-I20+1</f>
        <v>3</v>
      </c>
      <c r="L20" s="3">
        <f>ROUND(G20*H20*K20/365,0)</f>
        <v>24658</v>
      </c>
      <c r="M20" s="3">
        <v>200000000</v>
      </c>
    </row>
    <row r="21" spans="1:13" s="16" customFormat="1" outlineLevel="2">
      <c r="A21" s="17" t="s">
        <v>65</v>
      </c>
      <c r="B21" s="18" t="s">
        <v>30</v>
      </c>
      <c r="C21" s="19" t="s">
        <v>61</v>
      </c>
      <c r="D21" s="18" t="s">
        <v>60</v>
      </c>
      <c r="E21" s="3">
        <v>150000000</v>
      </c>
      <c r="F21" s="17">
        <v>43635</v>
      </c>
      <c r="G21" s="3">
        <v>150000000</v>
      </c>
      <c r="H21" s="2">
        <v>1.4999999999999999E-2</v>
      </c>
      <c r="I21" s="17">
        <v>43635</v>
      </c>
      <c r="J21" s="17">
        <v>43646</v>
      </c>
      <c r="K21" s="3">
        <f>J21-I21+1</f>
        <v>12</v>
      </c>
      <c r="L21" s="3">
        <f>ROUND(G21*H21*K21/365,0)</f>
        <v>73973</v>
      </c>
      <c r="M21" s="3">
        <v>150000000</v>
      </c>
    </row>
    <row r="22" spans="1:13" s="16" customFormat="1" outlineLevel="1">
      <c r="A22" s="28" t="s">
        <v>64</v>
      </c>
      <c r="B22" s="21"/>
      <c r="C22" s="22"/>
      <c r="D22" s="21"/>
      <c r="E22" s="23">
        <f>SUBTOTAL(9,E19:E21)</f>
        <v>850000000</v>
      </c>
      <c r="F22" s="20"/>
      <c r="G22" s="23"/>
      <c r="H22" s="24"/>
      <c r="I22" s="20"/>
      <c r="J22" s="20"/>
      <c r="K22" s="23"/>
      <c r="L22" s="23">
        <f>SUBTOTAL(9,L19:L21)</f>
        <v>345206</v>
      </c>
      <c r="M22" s="23">
        <f>SUBTOTAL(9,M19:M21)</f>
        <v>850000000</v>
      </c>
    </row>
    <row r="23" spans="1:13" s="16" customFormat="1" outlineLevel="2">
      <c r="A23" s="17" t="s">
        <v>16</v>
      </c>
      <c r="B23" s="18" t="s">
        <v>17</v>
      </c>
      <c r="C23" s="19" t="s">
        <v>18</v>
      </c>
      <c r="D23" s="18" t="s">
        <v>19</v>
      </c>
      <c r="E23" s="3">
        <v>200000000</v>
      </c>
      <c r="F23" s="17">
        <v>43556</v>
      </c>
      <c r="G23" s="3">
        <v>200000000</v>
      </c>
      <c r="H23" s="2">
        <v>1.4999999999999999E-2</v>
      </c>
      <c r="I23" s="17">
        <v>43617</v>
      </c>
      <c r="J23" s="17">
        <v>43646</v>
      </c>
      <c r="K23" s="3">
        <f>J23-I23+1</f>
        <v>30</v>
      </c>
      <c r="L23" s="3">
        <f>ROUND(G23*H23*K23/365,0)</f>
        <v>246575</v>
      </c>
      <c r="M23" s="3">
        <v>200000000</v>
      </c>
    </row>
    <row r="24" spans="1:13" s="16" customFormat="1" outlineLevel="2">
      <c r="A24" s="17" t="s">
        <v>16</v>
      </c>
      <c r="B24" s="18" t="s">
        <v>31</v>
      </c>
      <c r="C24" s="19" t="s">
        <v>63</v>
      </c>
      <c r="D24" s="18" t="s">
        <v>62</v>
      </c>
      <c r="E24" s="3">
        <v>50000000</v>
      </c>
      <c r="F24" s="17">
        <v>43607</v>
      </c>
      <c r="G24" s="3">
        <v>50000000</v>
      </c>
      <c r="H24" s="2">
        <v>1.4999999999999999E-2</v>
      </c>
      <c r="I24" s="17">
        <v>43607</v>
      </c>
      <c r="J24" s="17">
        <v>43646</v>
      </c>
      <c r="K24" s="3">
        <f>J24-I24+1</f>
        <v>40</v>
      </c>
      <c r="L24" s="3">
        <f>ROUND(G24*H24*K24/365,0)</f>
        <v>82192</v>
      </c>
      <c r="M24" s="3">
        <v>50000000</v>
      </c>
    </row>
    <row r="25" spans="1:13" s="16" customFormat="1" outlineLevel="2">
      <c r="A25" s="17" t="s">
        <v>16</v>
      </c>
      <c r="B25" s="18" t="s">
        <v>30</v>
      </c>
      <c r="C25" s="19" t="s">
        <v>63</v>
      </c>
      <c r="D25" s="18" t="s">
        <v>62</v>
      </c>
      <c r="E25" s="3">
        <v>50000000</v>
      </c>
      <c r="F25" s="17">
        <v>43615</v>
      </c>
      <c r="G25" s="3">
        <v>50000000</v>
      </c>
      <c r="H25" s="2">
        <v>1.4999999999999999E-2</v>
      </c>
      <c r="I25" s="17">
        <v>43615</v>
      </c>
      <c r="J25" s="17">
        <v>43646</v>
      </c>
      <c r="K25" s="3">
        <f>J25-I25+1</f>
        <v>32</v>
      </c>
      <c r="L25" s="3">
        <f>ROUND(G25*H25*K25/365,0)</f>
        <v>65753</v>
      </c>
      <c r="M25" s="3">
        <v>50000000</v>
      </c>
    </row>
    <row r="26" spans="1:13" s="16" customFormat="1" outlineLevel="2">
      <c r="A26" s="17" t="s">
        <v>16</v>
      </c>
      <c r="B26" s="18" t="s">
        <v>28</v>
      </c>
      <c r="C26" s="19" t="s">
        <v>61</v>
      </c>
      <c r="D26" s="18" t="s">
        <v>60</v>
      </c>
      <c r="E26" s="3">
        <v>150000000</v>
      </c>
      <c r="F26" s="17">
        <v>43640</v>
      </c>
      <c r="G26" s="3">
        <v>150000000</v>
      </c>
      <c r="H26" s="2">
        <v>1.4999999999999999E-2</v>
      </c>
      <c r="I26" s="17">
        <v>43640</v>
      </c>
      <c r="J26" s="17">
        <v>43646</v>
      </c>
      <c r="K26" s="3">
        <f>J26-I26+1</f>
        <v>7</v>
      </c>
      <c r="L26" s="3">
        <f>ROUND(G26*H26*K26/365,0)</f>
        <v>43151</v>
      </c>
      <c r="M26" s="3">
        <v>150000000</v>
      </c>
    </row>
    <row r="27" spans="1:13" s="16" customFormat="1" outlineLevel="1">
      <c r="A27" s="28" t="s">
        <v>32</v>
      </c>
      <c r="B27" s="21"/>
      <c r="C27" s="22"/>
      <c r="D27" s="21"/>
      <c r="E27" s="23">
        <f>SUBTOTAL(9,E23:E26)</f>
        <v>450000000</v>
      </c>
      <c r="F27" s="20"/>
      <c r="G27" s="23"/>
      <c r="H27" s="24"/>
      <c r="I27" s="20"/>
      <c r="J27" s="20"/>
      <c r="K27" s="23"/>
      <c r="L27" s="23">
        <f>SUBTOTAL(9,L23:L26)</f>
        <v>437671</v>
      </c>
      <c r="M27" s="23">
        <f>SUBTOTAL(9,M23:M26)</f>
        <v>450000000</v>
      </c>
    </row>
    <row r="28" spans="1:13" s="16" customFormat="1" outlineLevel="2">
      <c r="A28" s="17" t="s">
        <v>59</v>
      </c>
      <c r="B28" s="18" t="s">
        <v>17</v>
      </c>
      <c r="C28" s="19" t="s">
        <v>58</v>
      </c>
      <c r="D28" s="18" t="s">
        <v>57</v>
      </c>
      <c r="E28" s="3">
        <v>200000000</v>
      </c>
      <c r="F28" s="17">
        <v>43613</v>
      </c>
      <c r="G28" s="3">
        <v>200000000</v>
      </c>
      <c r="H28" s="2">
        <v>1.4999999999999999E-2</v>
      </c>
      <c r="I28" s="36">
        <v>43613</v>
      </c>
      <c r="J28" s="17">
        <v>43646</v>
      </c>
      <c r="K28" s="3">
        <f>J28-I28+1</f>
        <v>34</v>
      </c>
      <c r="L28" s="3">
        <f>ROUND(G28*H28*K28/365,0)</f>
        <v>279452</v>
      </c>
      <c r="M28" s="3">
        <v>200000000</v>
      </c>
    </row>
    <row r="29" spans="1:13" s="16" customFormat="1" outlineLevel="1">
      <c r="A29" s="28" t="s">
        <v>56</v>
      </c>
      <c r="B29" s="21"/>
      <c r="C29" s="22"/>
      <c r="D29" s="21"/>
      <c r="E29" s="23">
        <f>SUBTOTAL(9,E28:E28)</f>
        <v>200000000</v>
      </c>
      <c r="F29" s="20"/>
      <c r="G29" s="23"/>
      <c r="H29" s="24"/>
      <c r="I29" s="20"/>
      <c r="J29" s="20"/>
      <c r="K29" s="23"/>
      <c r="L29" s="23">
        <f>SUBTOTAL(9,L28:L28)</f>
        <v>279452</v>
      </c>
      <c r="M29" s="23">
        <f>SUBTOTAL(9,M28:M28)</f>
        <v>200000000</v>
      </c>
    </row>
    <row r="30" spans="1:13" s="16" customFormat="1" outlineLevel="2">
      <c r="A30" s="17" t="s">
        <v>55</v>
      </c>
      <c r="B30" s="18" t="s">
        <v>17</v>
      </c>
      <c r="C30" s="19" t="s">
        <v>54</v>
      </c>
      <c r="D30" s="18" t="s">
        <v>34</v>
      </c>
      <c r="E30" s="3">
        <v>3656000</v>
      </c>
      <c r="F30" s="17">
        <v>43633</v>
      </c>
      <c r="G30" s="3">
        <v>3656000</v>
      </c>
      <c r="H30" s="2">
        <v>1.4999999999999999E-2</v>
      </c>
      <c r="I30" s="17">
        <v>43633</v>
      </c>
      <c r="J30" s="17">
        <v>43646</v>
      </c>
      <c r="K30" s="3">
        <f>J30-I30+1</f>
        <v>14</v>
      </c>
      <c r="L30" s="3">
        <f>ROUND(G30*H30*K30/365,0)</f>
        <v>2103</v>
      </c>
      <c r="M30" s="3">
        <v>3656000</v>
      </c>
    </row>
    <row r="31" spans="1:13" s="16" customFormat="1" outlineLevel="2">
      <c r="A31" s="17" t="s">
        <v>55</v>
      </c>
      <c r="B31" s="18" t="s">
        <v>31</v>
      </c>
      <c r="C31" s="19" t="s">
        <v>54</v>
      </c>
      <c r="D31" s="18" t="s">
        <v>34</v>
      </c>
      <c r="E31" s="3">
        <v>11202000</v>
      </c>
      <c r="F31" s="17">
        <v>43641</v>
      </c>
      <c r="G31" s="3">
        <v>11202000</v>
      </c>
      <c r="H31" s="2">
        <v>1.4999999999999999E-2</v>
      </c>
      <c r="I31" s="17">
        <v>43641</v>
      </c>
      <c r="J31" s="17">
        <v>43646</v>
      </c>
      <c r="K31" s="3">
        <f>J31-I31+1</f>
        <v>6</v>
      </c>
      <c r="L31" s="3">
        <f>ROUND(G31*H31*K31/365,0)</f>
        <v>2762</v>
      </c>
      <c r="M31" s="3">
        <v>11202000</v>
      </c>
    </row>
    <row r="32" spans="1:13" s="16" customFormat="1" outlineLevel="1">
      <c r="A32" s="28" t="s">
        <v>53</v>
      </c>
      <c r="B32" s="21"/>
      <c r="C32" s="22"/>
      <c r="D32" s="21"/>
      <c r="E32" s="23">
        <f>SUBTOTAL(9,E30:E31)</f>
        <v>14858000</v>
      </c>
      <c r="F32" s="20"/>
      <c r="G32" s="23"/>
      <c r="H32" s="24"/>
      <c r="I32" s="20"/>
      <c r="J32" s="20"/>
      <c r="K32" s="23"/>
      <c r="L32" s="23">
        <f>SUBTOTAL(9,L30:L31)</f>
        <v>4865</v>
      </c>
      <c r="M32" s="23">
        <f>SUBTOTAL(9,M30:M31)</f>
        <v>14858000</v>
      </c>
    </row>
    <row r="33" spans="1:13" s="16" customFormat="1" outlineLevel="2">
      <c r="A33" s="17" t="s">
        <v>52</v>
      </c>
      <c r="B33" s="18" t="s">
        <v>17</v>
      </c>
      <c r="C33" s="19" t="s">
        <v>51</v>
      </c>
      <c r="D33" s="18" t="s">
        <v>50</v>
      </c>
      <c r="E33" s="3">
        <v>350000000</v>
      </c>
      <c r="F33" s="17">
        <v>43644</v>
      </c>
      <c r="G33" s="3">
        <v>350000000</v>
      </c>
      <c r="H33" s="2">
        <v>1.4999999999999999E-2</v>
      </c>
      <c r="I33" s="17">
        <v>43644</v>
      </c>
      <c r="J33" s="17">
        <v>43646</v>
      </c>
      <c r="K33" s="3">
        <f>J33-I33+1</f>
        <v>3</v>
      </c>
      <c r="L33" s="3">
        <f>ROUND(G33*H33*K33/365,0)</f>
        <v>43151</v>
      </c>
      <c r="M33" s="3">
        <v>350000000</v>
      </c>
    </row>
    <row r="34" spans="1:13" s="16" customFormat="1" outlineLevel="2">
      <c r="A34" s="17" t="s">
        <v>52</v>
      </c>
      <c r="B34" s="18" t="s">
        <v>31</v>
      </c>
      <c r="C34" s="19" t="s">
        <v>51</v>
      </c>
      <c r="D34" s="18" t="s">
        <v>50</v>
      </c>
      <c r="E34" s="3">
        <v>200000000</v>
      </c>
      <c r="F34" s="17">
        <v>43620</v>
      </c>
      <c r="G34" s="3">
        <v>200000000</v>
      </c>
      <c r="H34" s="2">
        <v>1.4999999999999999E-2</v>
      </c>
      <c r="I34" s="17">
        <v>43620</v>
      </c>
      <c r="J34" s="17">
        <v>43646</v>
      </c>
      <c r="K34" s="3">
        <f>J34-I34+1</f>
        <v>27</v>
      </c>
      <c r="L34" s="3">
        <f>ROUND(G34*H34*K34/365,0)</f>
        <v>221918</v>
      </c>
      <c r="M34" s="3">
        <v>200000000</v>
      </c>
    </row>
    <row r="35" spans="1:13" s="16" customFormat="1" outlineLevel="2">
      <c r="A35" s="17" t="s">
        <v>52</v>
      </c>
      <c r="B35" s="18" t="s">
        <v>30</v>
      </c>
      <c r="C35" s="19" t="s">
        <v>51</v>
      </c>
      <c r="D35" s="18" t="s">
        <v>50</v>
      </c>
      <c r="E35" s="3">
        <v>200000000</v>
      </c>
      <c r="F35" s="17">
        <v>43644</v>
      </c>
      <c r="G35" s="3">
        <v>200000000</v>
      </c>
      <c r="H35" s="2">
        <v>1.4999999999999999E-2</v>
      </c>
      <c r="I35" s="17">
        <v>43644</v>
      </c>
      <c r="J35" s="17">
        <v>43646</v>
      </c>
      <c r="K35" s="3">
        <f>J35-I35+1</f>
        <v>3</v>
      </c>
      <c r="L35" s="3">
        <f>ROUND(G35*H35*K35/365,0)</f>
        <v>24658</v>
      </c>
      <c r="M35" s="3">
        <v>200000000</v>
      </c>
    </row>
    <row r="36" spans="1:13" s="16" customFormat="1" outlineLevel="1">
      <c r="A36" s="28" t="s">
        <v>49</v>
      </c>
      <c r="B36" s="21"/>
      <c r="C36" s="22"/>
      <c r="D36" s="21"/>
      <c r="E36" s="23">
        <f>SUBTOTAL(9,E33:E35)</f>
        <v>750000000</v>
      </c>
      <c r="F36" s="20"/>
      <c r="G36" s="23"/>
      <c r="H36" s="24"/>
      <c r="I36" s="20"/>
      <c r="J36" s="20"/>
      <c r="K36" s="23"/>
      <c r="L36" s="23">
        <f>SUBTOTAL(9,L33:L35)</f>
        <v>289727</v>
      </c>
      <c r="M36" s="23">
        <f>SUBTOTAL(9,M33:M35)</f>
        <v>750000000</v>
      </c>
    </row>
    <row r="37" spans="1:13" s="16" customFormat="1" outlineLevel="2">
      <c r="A37" s="17" t="s">
        <v>29</v>
      </c>
      <c r="B37" s="18" t="s">
        <v>17</v>
      </c>
      <c r="C37" s="19" t="s">
        <v>27</v>
      </c>
      <c r="D37" s="18" t="s">
        <v>26</v>
      </c>
      <c r="E37" s="3">
        <v>25874221</v>
      </c>
      <c r="F37" s="17">
        <v>43605</v>
      </c>
      <c r="G37" s="3">
        <v>25874221</v>
      </c>
      <c r="H37" s="2">
        <v>1.4999999999999999E-2</v>
      </c>
      <c r="I37" s="17">
        <v>43617</v>
      </c>
      <c r="J37" s="17">
        <v>43646</v>
      </c>
      <c r="K37" s="3">
        <f>J37-I37+1</f>
        <v>30</v>
      </c>
      <c r="L37" s="3">
        <f>ROUND(G37*H37*K37/365,0)</f>
        <v>31900</v>
      </c>
      <c r="M37" s="3">
        <v>25874221</v>
      </c>
    </row>
    <row r="38" spans="1:13" s="16" customFormat="1" outlineLevel="2">
      <c r="A38" s="17" t="s">
        <v>29</v>
      </c>
      <c r="B38" s="18" t="s">
        <v>31</v>
      </c>
      <c r="C38" s="19" t="s">
        <v>27</v>
      </c>
      <c r="D38" s="18" t="s">
        <v>26</v>
      </c>
      <c r="E38" s="3">
        <v>7967807</v>
      </c>
      <c r="F38" s="17">
        <v>43613</v>
      </c>
      <c r="G38" s="3">
        <v>7967807</v>
      </c>
      <c r="H38" s="2">
        <v>1.4999999999999999E-2</v>
      </c>
      <c r="I38" s="17">
        <v>43617</v>
      </c>
      <c r="J38" s="17">
        <v>43646</v>
      </c>
      <c r="K38" s="3">
        <f>J38-I38+1</f>
        <v>30</v>
      </c>
      <c r="L38" s="3">
        <f>ROUND(G38*H38*K38/365,0)</f>
        <v>9823</v>
      </c>
      <c r="M38" s="3">
        <v>7967807</v>
      </c>
    </row>
    <row r="39" spans="1:13" s="16" customFormat="1" outlineLevel="2">
      <c r="A39" s="17" t="s">
        <v>29</v>
      </c>
      <c r="B39" s="18" t="s">
        <v>30</v>
      </c>
      <c r="C39" s="19" t="s">
        <v>27</v>
      </c>
      <c r="D39" s="18" t="s">
        <v>26</v>
      </c>
      <c r="E39" s="3">
        <v>40136695</v>
      </c>
      <c r="F39" s="17">
        <v>43605</v>
      </c>
      <c r="G39" s="3">
        <v>40136695</v>
      </c>
      <c r="H39" s="2">
        <v>1.4999999999999999E-2</v>
      </c>
      <c r="I39" s="17">
        <v>43617</v>
      </c>
      <c r="J39" s="17">
        <v>43646</v>
      </c>
      <c r="K39" s="3">
        <f>J39-I39+1</f>
        <v>30</v>
      </c>
      <c r="L39" s="3">
        <f>ROUND(G39*H39*K39/365,0)</f>
        <v>49484</v>
      </c>
      <c r="M39" s="3">
        <v>40136695</v>
      </c>
    </row>
    <row r="40" spans="1:13" s="16" customFormat="1" outlineLevel="2">
      <c r="A40" s="17" t="s">
        <v>29</v>
      </c>
      <c r="B40" s="18" t="s">
        <v>28</v>
      </c>
      <c r="C40" s="19" t="s">
        <v>27</v>
      </c>
      <c r="D40" s="18" t="s">
        <v>26</v>
      </c>
      <c r="E40" s="3">
        <v>2356988</v>
      </c>
      <c r="F40" s="17">
        <v>43613</v>
      </c>
      <c r="G40" s="3">
        <v>2356988</v>
      </c>
      <c r="H40" s="2">
        <v>1.4999999999999999E-2</v>
      </c>
      <c r="I40" s="17">
        <v>43617</v>
      </c>
      <c r="J40" s="17">
        <v>43646</v>
      </c>
      <c r="K40" s="3">
        <f>J40-I40+1</f>
        <v>30</v>
      </c>
      <c r="L40" s="3">
        <f>ROUND(G40*H40*K40/365,0)</f>
        <v>2906</v>
      </c>
      <c r="M40" s="3">
        <v>2356988</v>
      </c>
    </row>
    <row r="41" spans="1:13" s="16" customFormat="1" outlineLevel="2">
      <c r="A41" s="17" t="s">
        <v>29</v>
      </c>
      <c r="B41" s="18" t="s">
        <v>48</v>
      </c>
      <c r="C41" s="19" t="s">
        <v>43</v>
      </c>
      <c r="D41" s="18" t="s">
        <v>26</v>
      </c>
      <c r="E41" s="3">
        <v>46269826</v>
      </c>
      <c r="F41" s="17">
        <v>43626</v>
      </c>
      <c r="G41" s="3">
        <v>46269826</v>
      </c>
      <c r="H41" s="2">
        <v>1.4999999999999999E-2</v>
      </c>
      <c r="I41" s="17">
        <v>43626</v>
      </c>
      <c r="J41" s="17">
        <v>43646</v>
      </c>
      <c r="K41" s="3">
        <f>J41-I41+1</f>
        <v>21</v>
      </c>
      <c r="L41" s="3">
        <f>ROUND(G41*H41*K41/365,0)</f>
        <v>39931</v>
      </c>
      <c r="M41" s="3">
        <v>46269826</v>
      </c>
    </row>
    <row r="42" spans="1:13" s="16" customFormat="1" outlineLevel="2">
      <c r="A42" s="17" t="s">
        <v>29</v>
      </c>
      <c r="B42" s="18" t="s">
        <v>47</v>
      </c>
      <c r="C42" s="19" t="s">
        <v>43</v>
      </c>
      <c r="D42" s="18" t="s">
        <v>26</v>
      </c>
      <c r="E42" s="3">
        <v>3863475</v>
      </c>
      <c r="F42" s="17">
        <v>43634</v>
      </c>
      <c r="G42" s="3">
        <v>3863475</v>
      </c>
      <c r="H42" s="2">
        <v>1.4999999999999999E-2</v>
      </c>
      <c r="I42" s="17">
        <v>43634</v>
      </c>
      <c r="J42" s="17">
        <v>43646</v>
      </c>
      <c r="K42" s="3">
        <f>J42-I42+1</f>
        <v>13</v>
      </c>
      <c r="L42" s="3">
        <f>ROUND(G42*H42*K42/365,0)</f>
        <v>2064</v>
      </c>
      <c r="M42" s="3">
        <v>3863475</v>
      </c>
    </row>
    <row r="43" spans="1:13" s="16" customFormat="1" outlineLevel="2">
      <c r="A43" s="17" t="s">
        <v>29</v>
      </c>
      <c r="B43" s="18" t="s">
        <v>46</v>
      </c>
      <c r="C43" s="19" t="s">
        <v>43</v>
      </c>
      <c r="D43" s="18" t="s">
        <v>26</v>
      </c>
      <c r="E43" s="3">
        <v>8620798</v>
      </c>
      <c r="F43" s="17">
        <v>43644</v>
      </c>
      <c r="G43" s="3">
        <v>8620798</v>
      </c>
      <c r="H43" s="2">
        <v>1.4999999999999999E-2</v>
      </c>
      <c r="I43" s="17">
        <v>43644</v>
      </c>
      <c r="J43" s="17">
        <v>43646</v>
      </c>
      <c r="K43" s="3">
        <f>J43-I43+1</f>
        <v>3</v>
      </c>
      <c r="L43" s="3">
        <f>ROUND(G43*H43*K43/365,0)</f>
        <v>1063</v>
      </c>
      <c r="M43" s="3">
        <v>8620798</v>
      </c>
    </row>
    <row r="44" spans="1:13" s="16" customFormat="1" outlineLevel="2">
      <c r="A44" s="17" t="s">
        <v>29</v>
      </c>
      <c r="B44" s="18" t="s">
        <v>45</v>
      </c>
      <c r="C44" s="19" t="s">
        <v>43</v>
      </c>
      <c r="D44" s="18" t="s">
        <v>26</v>
      </c>
      <c r="E44" s="3">
        <v>14180723</v>
      </c>
      <c r="F44" s="17">
        <v>43626</v>
      </c>
      <c r="G44" s="3">
        <v>14180723</v>
      </c>
      <c r="H44" s="2">
        <v>1.4999999999999999E-2</v>
      </c>
      <c r="I44" s="17">
        <v>43626</v>
      </c>
      <c r="J44" s="17">
        <v>43646</v>
      </c>
      <c r="K44" s="3">
        <f>J44-I44+1</f>
        <v>21</v>
      </c>
      <c r="L44" s="3">
        <f>ROUND(G44*H44*K44/365,0)</f>
        <v>12238</v>
      </c>
      <c r="M44" s="3">
        <v>14180723</v>
      </c>
    </row>
    <row r="45" spans="1:13" s="16" customFormat="1" outlineLevel="2">
      <c r="A45" s="17" t="s">
        <v>29</v>
      </c>
      <c r="B45" s="18" t="s">
        <v>44</v>
      </c>
      <c r="C45" s="19" t="s">
        <v>43</v>
      </c>
      <c r="D45" s="18" t="s">
        <v>26</v>
      </c>
      <c r="E45" s="3">
        <v>10848433</v>
      </c>
      <c r="F45" s="17">
        <v>43634</v>
      </c>
      <c r="G45" s="3">
        <v>10848433</v>
      </c>
      <c r="H45" s="2">
        <v>1.4999999999999999E-2</v>
      </c>
      <c r="I45" s="17">
        <v>43634</v>
      </c>
      <c r="J45" s="17">
        <v>43646</v>
      </c>
      <c r="K45" s="3">
        <f>J45-I45+1</f>
        <v>13</v>
      </c>
      <c r="L45" s="3">
        <f>ROUND(G45*H45*K45/365,0)</f>
        <v>5796</v>
      </c>
      <c r="M45" s="3">
        <v>10848433</v>
      </c>
    </row>
    <row r="46" spans="1:13" s="16" customFormat="1" outlineLevel="1">
      <c r="A46" s="28" t="s">
        <v>25</v>
      </c>
      <c r="B46" s="21"/>
      <c r="C46" s="22"/>
      <c r="D46" s="21"/>
      <c r="E46" s="23">
        <f>SUBTOTAL(9,E37:E45)</f>
        <v>160118966</v>
      </c>
      <c r="F46" s="20"/>
      <c r="G46" s="23"/>
      <c r="H46" s="24"/>
      <c r="I46" s="20"/>
      <c r="J46" s="20"/>
      <c r="K46" s="23"/>
      <c r="L46" s="23">
        <f>SUBTOTAL(9,L37:L45)</f>
        <v>155205</v>
      </c>
      <c r="M46" s="23">
        <f>SUBTOTAL(9,M37:M45)</f>
        <v>160118966</v>
      </c>
    </row>
    <row r="47" spans="1:13" s="35" customFormat="1" outlineLevel="1">
      <c r="A47" s="29"/>
      <c r="B47" s="30"/>
      <c r="C47" s="31"/>
      <c r="D47" s="30"/>
      <c r="E47" s="32"/>
      <c r="F47" s="33"/>
      <c r="G47" s="32"/>
      <c r="H47" s="34"/>
      <c r="I47" s="33"/>
      <c r="J47" s="33"/>
      <c r="K47" s="32"/>
      <c r="L47" s="32"/>
      <c r="M47" s="32"/>
    </row>
    <row r="48" spans="1:13" s="16" customFormat="1">
      <c r="A48" s="20" t="s">
        <v>24</v>
      </c>
      <c r="B48" s="21"/>
      <c r="C48" s="22"/>
      <c r="D48" s="21"/>
      <c r="E48" s="23">
        <f>SUBTOTAL(9,E4:E45)</f>
        <v>3042256966</v>
      </c>
      <c r="F48" s="20"/>
      <c r="G48" s="23"/>
      <c r="H48" s="24"/>
      <c r="I48" s="20"/>
      <c r="J48" s="20"/>
      <c r="K48" s="23"/>
      <c r="L48" s="23">
        <f>SUBTOTAL(9,L4:L45)</f>
        <v>2026395</v>
      </c>
      <c r="M48" s="23">
        <f>SUBTOTAL(9,M4:M45)</f>
        <v>3042256966</v>
      </c>
    </row>
    <row r="49" spans="1:16" s="16" customFormat="1" outlineLevel="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1:16">
      <c r="A50" s="25" t="s">
        <v>22</v>
      </c>
      <c r="B50" s="25"/>
      <c r="D50" s="26" t="s">
        <v>23</v>
      </c>
      <c r="E50" s="5"/>
      <c r="G50" s="27" t="s">
        <v>21</v>
      </c>
    </row>
    <row r="51" spans="1:16" s="16" customFormat="1" outlineLevel="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s="16" customFormat="1" outlineLevel="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1:16" s="16" customFormat="1" outlineLevel="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s="16" customFormat="1" outlineLevel="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s="16" customFormat="1" outlineLevel="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1:16" s="16" customFormat="1" outlineLevel="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s="16" customFormat="1" outlineLevel="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6" s="16" customFormat="1" outlineLevel="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s="16" customFormat="1" outlineLevel="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6" s="16" customFormat="1" outlineLevel="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s="16" customFormat="1" outlineLevel="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s="16" customFormat="1" outlineLevel="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1:16" s="16" customFormat="1" outlineLevel="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s="16" customFormat="1" outlineLevel="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s="16" customFormat="1" outlineLevel="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s="16" customFormat="1" outlineLevel="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1:16" s="16" customFormat="1" outlineLevel="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s="16" customFormat="1" outlineLevel="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s="16" customFormat="1" outlineLevel="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s="16" customFormat="1" outlineLevel="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s="16" customFormat="1" outlineLevel="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s="16" customFormat="1" outlineLevel="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spans="1:16" s="16" customFormat="1" outlineLevel="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spans="1:16" s="16" customFormat="1" outlineLevel="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s="16" customFormat="1" outlineLevel="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1:16" s="16" customFormat="1" outlineLevel="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s="16" customFormat="1" outlineLevel="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s="16" customFormat="1" outlineLevel="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s="16" customForma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s="16" customForma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s="16" customForma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s="16" customForma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s="16" customForma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s="16" customForma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s="16" customForma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s="16" customForma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s="16" customForma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s="16" customForma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s="16" customForma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s="16" customForma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1:16" s="16" customForma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 s="16" customForma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s="16" customForma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s="16" customForma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s="16" customForma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s="16" customForma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s="16" customForma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1:16" s="16" customForma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 s="16" customForma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1:16" s="16" customForma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s="16" customForma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1:16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1:16" s="16" customForma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</sheetData>
  <autoFilter ref="A3:M46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orientation="landscape" r:id="rId1"/>
  <headerFooter alignWithMargins="0">
    <oddHeader>&amp;R附件2</oddHeader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65D7-4B2B-4642-812C-09AA0E563698}">
  <dimension ref="A1:M118"/>
  <sheetViews>
    <sheetView zoomScaleNormal="100" workbookViewId="0">
      <selection activeCell="E13" sqref="E13"/>
    </sheetView>
  </sheetViews>
  <sheetFormatPr defaultColWidth="5.375" defaultRowHeight="13.5" outlineLevelRow="2"/>
  <cols>
    <col min="1" max="1" width="23.125" style="5" bestFit="1" customWidth="1"/>
    <col min="2" max="2" width="8.375" style="5" bestFit="1" customWidth="1"/>
    <col min="3" max="3" width="20.375" style="5" bestFit="1" customWidth="1"/>
    <col min="4" max="4" width="12" style="5" bestFit="1" customWidth="1"/>
    <col min="5" max="5" width="14.625" style="8" bestFit="1" customWidth="1"/>
    <col min="6" max="6" width="12" style="9" bestFit="1" customWidth="1"/>
    <col min="7" max="7" width="13.5" style="8" bestFit="1" customWidth="1"/>
    <col min="8" max="8" width="10.375" style="10" bestFit="1" customWidth="1"/>
    <col min="9" max="10" width="8.75" style="5" customWidth="1"/>
    <col min="11" max="11" width="10.375" style="5" bestFit="1" customWidth="1"/>
    <col min="12" max="12" width="10.875" style="8" bestFit="1" customWidth="1"/>
    <col min="13" max="13" width="14.625" style="5" bestFit="1" customWidth="1"/>
    <col min="14" max="16384" width="5.375" style="5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6" t="s">
        <v>1</v>
      </c>
      <c r="C2" s="7">
        <v>43677</v>
      </c>
      <c r="L2" s="8" t="s">
        <v>2</v>
      </c>
    </row>
    <row r="3" spans="1:13" s="16" customFormat="1" ht="27.75" thickBot="1">
      <c r="A3" s="37" t="s">
        <v>3</v>
      </c>
      <c r="B3" s="38" t="s">
        <v>4</v>
      </c>
      <c r="C3" s="39" t="s">
        <v>5</v>
      </c>
      <c r="D3" s="39" t="s">
        <v>6</v>
      </c>
      <c r="E3" s="40" t="s">
        <v>7</v>
      </c>
      <c r="F3" s="39" t="s">
        <v>8</v>
      </c>
      <c r="G3" s="41" t="s">
        <v>9</v>
      </c>
      <c r="H3" s="42" t="s">
        <v>10</v>
      </c>
      <c r="I3" s="37" t="s">
        <v>11</v>
      </c>
      <c r="J3" s="37" t="s">
        <v>12</v>
      </c>
      <c r="K3" s="37" t="s">
        <v>13</v>
      </c>
      <c r="L3" s="40" t="s">
        <v>14</v>
      </c>
      <c r="M3" s="37" t="s">
        <v>15</v>
      </c>
    </row>
    <row r="4" spans="1:13" s="16" customFormat="1" outlineLevel="2">
      <c r="A4" s="17" t="s">
        <v>146</v>
      </c>
      <c r="B4" s="18" t="s">
        <v>103</v>
      </c>
      <c r="C4" s="19" t="s">
        <v>111</v>
      </c>
      <c r="D4" s="18" t="s">
        <v>107</v>
      </c>
      <c r="E4" s="3">
        <v>14900000</v>
      </c>
      <c r="F4" s="17">
        <v>43591</v>
      </c>
      <c r="G4" s="3">
        <v>14900000</v>
      </c>
      <c r="H4" s="2">
        <v>1.4999999999999999E-2</v>
      </c>
      <c r="I4" s="17">
        <v>43647</v>
      </c>
      <c r="J4" s="17">
        <v>43677</v>
      </c>
      <c r="K4" s="3">
        <f>J4-I4+1</f>
        <v>31</v>
      </c>
      <c r="L4" s="3">
        <f>ROUND(G4*H4*K4/365,0)</f>
        <v>18982</v>
      </c>
      <c r="M4" s="3">
        <v>14900000</v>
      </c>
    </row>
    <row r="5" spans="1:13" s="16" customFormat="1" outlineLevel="2">
      <c r="A5" s="17" t="s">
        <v>146</v>
      </c>
      <c r="B5" s="18" t="s">
        <v>88</v>
      </c>
      <c r="C5" s="19" t="s">
        <v>111</v>
      </c>
      <c r="D5" s="18" t="s">
        <v>107</v>
      </c>
      <c r="E5" s="3">
        <v>3080000</v>
      </c>
      <c r="F5" s="17">
        <v>43612</v>
      </c>
      <c r="G5" s="3">
        <v>3080000</v>
      </c>
      <c r="H5" s="2">
        <v>1.4999999999999999E-2</v>
      </c>
      <c r="I5" s="17">
        <v>43647</v>
      </c>
      <c r="J5" s="17">
        <v>43677</v>
      </c>
      <c r="K5" s="3">
        <f>J5-I5+1</f>
        <v>31</v>
      </c>
      <c r="L5" s="3">
        <f>ROUND(G5*H5*K5/365,0)</f>
        <v>3924</v>
      </c>
      <c r="M5" s="3">
        <v>3080000</v>
      </c>
    </row>
    <row r="6" spans="1:13" s="16" customFormat="1" outlineLevel="2">
      <c r="A6" s="17" t="s">
        <v>146</v>
      </c>
      <c r="B6" s="18" t="s">
        <v>79</v>
      </c>
      <c r="C6" s="19" t="s">
        <v>111</v>
      </c>
      <c r="D6" s="18" t="s">
        <v>107</v>
      </c>
      <c r="E6" s="3">
        <v>29720000</v>
      </c>
      <c r="F6" s="17">
        <v>43621</v>
      </c>
      <c r="G6" s="3">
        <v>29720000</v>
      </c>
      <c r="H6" s="2">
        <v>1.4999999999999999E-2</v>
      </c>
      <c r="I6" s="17">
        <v>43647</v>
      </c>
      <c r="J6" s="17">
        <v>43677</v>
      </c>
      <c r="K6" s="3">
        <f>J6-I6+1</f>
        <v>31</v>
      </c>
      <c r="L6" s="3">
        <f>ROUND(G6*H6*K6/365,0)</f>
        <v>37862</v>
      </c>
      <c r="M6" s="3">
        <v>29720000</v>
      </c>
    </row>
    <row r="7" spans="1:13" s="16" customFormat="1" outlineLevel="2">
      <c r="A7" s="17" t="s">
        <v>146</v>
      </c>
      <c r="B7" s="18" t="s">
        <v>78</v>
      </c>
      <c r="C7" s="19" t="s">
        <v>111</v>
      </c>
      <c r="D7" s="18" t="s">
        <v>107</v>
      </c>
      <c r="E7" s="3">
        <v>42908000</v>
      </c>
      <c r="F7" s="17">
        <v>43633</v>
      </c>
      <c r="G7" s="3">
        <v>42908000</v>
      </c>
      <c r="H7" s="2">
        <v>1.4999999999999999E-2</v>
      </c>
      <c r="I7" s="17">
        <v>43647</v>
      </c>
      <c r="J7" s="17">
        <v>43677</v>
      </c>
      <c r="K7" s="3">
        <f>J7-I7+1</f>
        <v>31</v>
      </c>
      <c r="L7" s="3">
        <f>ROUND(G7*H7*K7/365,0)</f>
        <v>54664</v>
      </c>
      <c r="M7" s="3">
        <v>42908000</v>
      </c>
    </row>
    <row r="8" spans="1:13" s="16" customFormat="1" outlineLevel="2">
      <c r="A8" s="17" t="s">
        <v>146</v>
      </c>
      <c r="B8" s="18" t="s">
        <v>77</v>
      </c>
      <c r="C8" s="19" t="s">
        <v>148</v>
      </c>
      <c r="D8" s="18" t="s">
        <v>147</v>
      </c>
      <c r="E8" s="3">
        <v>315000</v>
      </c>
      <c r="F8" s="17">
        <v>43644</v>
      </c>
      <c r="G8" s="3">
        <v>315000</v>
      </c>
      <c r="H8" s="2">
        <v>1.4999999999999999E-2</v>
      </c>
      <c r="I8" s="17">
        <v>43647</v>
      </c>
      <c r="J8" s="17">
        <v>43677</v>
      </c>
      <c r="K8" s="3">
        <f>J8-I8+1</f>
        <v>31</v>
      </c>
      <c r="L8" s="3">
        <f>ROUND(G8*H8*K8/365,0)</f>
        <v>401</v>
      </c>
      <c r="M8" s="3">
        <v>315000</v>
      </c>
    </row>
    <row r="9" spans="1:13" s="16" customFormat="1" outlineLevel="2">
      <c r="A9" s="17" t="s">
        <v>146</v>
      </c>
      <c r="B9" s="18" t="s">
        <v>76</v>
      </c>
      <c r="C9" s="19" t="s">
        <v>111</v>
      </c>
      <c r="D9" s="18" t="s">
        <v>107</v>
      </c>
      <c r="E9" s="3">
        <v>21895000</v>
      </c>
      <c r="F9" s="17">
        <v>43661</v>
      </c>
      <c r="G9" s="3">
        <v>21895000</v>
      </c>
      <c r="H9" s="2">
        <v>1.4999999999999999E-2</v>
      </c>
      <c r="I9" s="17">
        <v>43661</v>
      </c>
      <c r="J9" s="17">
        <v>43677</v>
      </c>
      <c r="K9" s="3">
        <f>J9-I9+1</f>
        <v>17</v>
      </c>
      <c r="L9" s="3">
        <f>ROUND(G9*H9*K9/365,0)</f>
        <v>15297</v>
      </c>
      <c r="M9" s="3">
        <v>21895000</v>
      </c>
    </row>
    <row r="10" spans="1:13" s="16" customFormat="1" outlineLevel="2">
      <c r="A10" s="17" t="s">
        <v>146</v>
      </c>
      <c r="B10" s="18" t="s">
        <v>75</v>
      </c>
      <c r="C10" s="19" t="s">
        <v>145</v>
      </c>
      <c r="D10" s="18" t="s">
        <v>144</v>
      </c>
      <c r="E10" s="3">
        <v>865657</v>
      </c>
      <c r="F10" s="17">
        <v>43661</v>
      </c>
      <c r="G10" s="3">
        <v>865657</v>
      </c>
      <c r="H10" s="2">
        <v>1.4999999999999999E-2</v>
      </c>
      <c r="I10" s="17">
        <v>43661</v>
      </c>
      <c r="J10" s="17">
        <v>43677</v>
      </c>
      <c r="K10" s="3">
        <f>J10-I10+1</f>
        <v>17</v>
      </c>
      <c r="L10" s="3">
        <f>ROUND(G10*H10*K10/365,0)</f>
        <v>605</v>
      </c>
      <c r="M10" s="3">
        <v>865657</v>
      </c>
    </row>
    <row r="11" spans="1:13" s="16" customFormat="1" outlineLevel="1">
      <c r="A11" s="28" t="s">
        <v>41</v>
      </c>
      <c r="B11" s="43"/>
      <c r="C11" s="44"/>
      <c r="D11" s="43"/>
      <c r="E11" s="45">
        <f>SUBTOTAL(9,E4:E10)</f>
        <v>113683657</v>
      </c>
      <c r="F11" s="46"/>
      <c r="G11" s="45"/>
      <c r="H11" s="47"/>
      <c r="I11" s="46"/>
      <c r="J11" s="46"/>
      <c r="K11" s="45"/>
      <c r="L11" s="45">
        <f>SUBTOTAL(9,L4:L10)</f>
        <v>131735</v>
      </c>
      <c r="M11" s="45">
        <f>SUBTOTAL(9,M4:M10)</f>
        <v>113683657</v>
      </c>
    </row>
    <row r="12" spans="1:13" s="16" customFormat="1" outlineLevel="2">
      <c r="A12" s="17" t="s">
        <v>143</v>
      </c>
      <c r="B12" s="18" t="s">
        <v>103</v>
      </c>
      <c r="C12" s="19" t="s">
        <v>142</v>
      </c>
      <c r="D12" s="18" t="s">
        <v>138</v>
      </c>
      <c r="E12" s="3">
        <v>87650000</v>
      </c>
      <c r="F12" s="17">
        <v>43489</v>
      </c>
      <c r="G12" s="3">
        <v>87650000</v>
      </c>
      <c r="H12" s="2">
        <v>1.4999999999999999E-2</v>
      </c>
      <c r="I12" s="17">
        <v>43489</v>
      </c>
      <c r="J12" s="17">
        <v>43677</v>
      </c>
      <c r="K12" s="3">
        <f>J12-I12+1</f>
        <v>189</v>
      </c>
      <c r="L12" s="3">
        <f>ROUND(G12*H12*K12/365,0)</f>
        <v>680788</v>
      </c>
      <c r="M12" s="3">
        <v>87650000</v>
      </c>
    </row>
    <row r="13" spans="1:13" s="16" customFormat="1" outlineLevel="2">
      <c r="A13" s="17" t="s">
        <v>143</v>
      </c>
      <c r="B13" s="18" t="s">
        <v>88</v>
      </c>
      <c r="C13" s="19" t="s">
        <v>142</v>
      </c>
      <c r="D13" s="18" t="s">
        <v>138</v>
      </c>
      <c r="E13" s="3">
        <v>39730000</v>
      </c>
      <c r="F13" s="17">
        <v>43543</v>
      </c>
      <c r="G13" s="3">
        <v>39730000</v>
      </c>
      <c r="H13" s="2">
        <v>1.4999999999999999E-2</v>
      </c>
      <c r="I13" s="17">
        <v>43543</v>
      </c>
      <c r="J13" s="17">
        <v>43677</v>
      </c>
      <c r="K13" s="3">
        <f>J13-I13+1</f>
        <v>135</v>
      </c>
      <c r="L13" s="3">
        <f>ROUND(G13*H13*K13/365,0)</f>
        <v>220420</v>
      </c>
      <c r="M13" s="3">
        <v>39730000</v>
      </c>
    </row>
    <row r="14" spans="1:13" s="16" customFormat="1" outlineLevel="2">
      <c r="A14" s="17" t="s">
        <v>143</v>
      </c>
      <c r="B14" s="18" t="s">
        <v>79</v>
      </c>
      <c r="C14" s="19" t="s">
        <v>142</v>
      </c>
      <c r="D14" s="18" t="s">
        <v>138</v>
      </c>
      <c r="E14" s="3">
        <v>54420000</v>
      </c>
      <c r="F14" s="17">
        <v>43553</v>
      </c>
      <c r="G14" s="3">
        <v>54420000</v>
      </c>
      <c r="H14" s="2">
        <v>1.4999999999999999E-2</v>
      </c>
      <c r="I14" s="17">
        <v>43553</v>
      </c>
      <c r="J14" s="17">
        <v>43677</v>
      </c>
      <c r="K14" s="3">
        <f>J14-I14+1</f>
        <v>125</v>
      </c>
      <c r="L14" s="3">
        <f>ROUND(G14*H14*K14/365,0)</f>
        <v>279555</v>
      </c>
      <c r="M14" s="3">
        <v>54420000</v>
      </c>
    </row>
    <row r="15" spans="1:13" s="16" customFormat="1" outlineLevel="2">
      <c r="A15" s="17" t="s">
        <v>143</v>
      </c>
      <c r="B15" s="18" t="s">
        <v>78</v>
      </c>
      <c r="C15" s="19" t="s">
        <v>142</v>
      </c>
      <c r="D15" s="18" t="s">
        <v>138</v>
      </c>
      <c r="E15" s="3">
        <v>29000000</v>
      </c>
      <c r="F15" s="17">
        <v>43602</v>
      </c>
      <c r="G15" s="3">
        <v>29000000</v>
      </c>
      <c r="H15" s="2">
        <v>1.4999999999999999E-2</v>
      </c>
      <c r="I15" s="17">
        <v>43602</v>
      </c>
      <c r="J15" s="17">
        <v>43677</v>
      </c>
      <c r="K15" s="3">
        <f>J15-I15+1</f>
        <v>76</v>
      </c>
      <c r="L15" s="3">
        <f>ROUND(G15*H15*K15/365,0)</f>
        <v>90575</v>
      </c>
      <c r="M15" s="3">
        <v>29000000</v>
      </c>
    </row>
    <row r="16" spans="1:13" s="16" customFormat="1" outlineLevel="2">
      <c r="A16" s="17" t="s">
        <v>143</v>
      </c>
      <c r="B16" s="18" t="s">
        <v>77</v>
      </c>
      <c r="C16" s="19" t="s">
        <v>142</v>
      </c>
      <c r="D16" s="18" t="s">
        <v>138</v>
      </c>
      <c r="E16" s="3">
        <v>22340000</v>
      </c>
      <c r="F16" s="17">
        <v>43612</v>
      </c>
      <c r="G16" s="3">
        <v>22340000</v>
      </c>
      <c r="H16" s="2">
        <v>1.4999999999999999E-2</v>
      </c>
      <c r="I16" s="17">
        <v>43612</v>
      </c>
      <c r="J16" s="17">
        <v>43677</v>
      </c>
      <c r="K16" s="3">
        <f>J16-I16+1</f>
        <v>66</v>
      </c>
      <c r="L16" s="3">
        <f>ROUND(G16*H16*K16/365,0)</f>
        <v>60593</v>
      </c>
      <c r="M16" s="3">
        <v>22340000</v>
      </c>
    </row>
    <row r="17" spans="1:13" s="16" customFormat="1" outlineLevel="2">
      <c r="A17" s="17" t="s">
        <v>143</v>
      </c>
      <c r="B17" s="18" t="s">
        <v>76</v>
      </c>
      <c r="C17" s="19" t="s">
        <v>142</v>
      </c>
      <c r="D17" s="18" t="s">
        <v>138</v>
      </c>
      <c r="E17" s="3">
        <v>20000000</v>
      </c>
      <c r="F17" s="17">
        <v>43627</v>
      </c>
      <c r="G17" s="3">
        <v>20000000</v>
      </c>
      <c r="H17" s="2">
        <v>1.4999999999999999E-2</v>
      </c>
      <c r="I17" s="17">
        <v>43627</v>
      </c>
      <c r="J17" s="17">
        <v>43677</v>
      </c>
      <c r="K17" s="3">
        <f>J17-I17+1</f>
        <v>51</v>
      </c>
      <c r="L17" s="3">
        <f>ROUND(G17*H17*K17/365,0)</f>
        <v>41918</v>
      </c>
      <c r="M17" s="3">
        <v>20000000</v>
      </c>
    </row>
    <row r="18" spans="1:13" s="16" customFormat="1" outlineLevel="2">
      <c r="A18" s="17" t="s">
        <v>143</v>
      </c>
      <c r="B18" s="18" t="s">
        <v>75</v>
      </c>
      <c r="C18" s="19" t="s">
        <v>142</v>
      </c>
      <c r="D18" s="18" t="s">
        <v>138</v>
      </c>
      <c r="E18" s="3">
        <v>36000000</v>
      </c>
      <c r="F18" s="17">
        <v>43642</v>
      </c>
      <c r="G18" s="3">
        <v>36000000</v>
      </c>
      <c r="H18" s="2">
        <v>1.4999999999999999E-2</v>
      </c>
      <c r="I18" s="17">
        <v>43642</v>
      </c>
      <c r="J18" s="17">
        <v>43677</v>
      </c>
      <c r="K18" s="3">
        <f>J18-I18+1</f>
        <v>36</v>
      </c>
      <c r="L18" s="3">
        <f>ROUND(G18*H18*K18/365,0)</f>
        <v>53260</v>
      </c>
      <c r="M18" s="3">
        <v>36000000</v>
      </c>
    </row>
    <row r="19" spans="1:13" s="16" customFormat="1" outlineLevel="2">
      <c r="A19" s="17" t="s">
        <v>143</v>
      </c>
      <c r="B19" s="18" t="s">
        <v>74</v>
      </c>
      <c r="C19" s="19" t="s">
        <v>142</v>
      </c>
      <c r="D19" s="18" t="s">
        <v>138</v>
      </c>
      <c r="E19" s="3">
        <v>16040000</v>
      </c>
      <c r="F19" s="17">
        <v>43663</v>
      </c>
      <c r="G19" s="3">
        <v>16040000</v>
      </c>
      <c r="H19" s="2">
        <v>1.4999999999999999E-2</v>
      </c>
      <c r="I19" s="17">
        <v>43663</v>
      </c>
      <c r="J19" s="17">
        <v>43677</v>
      </c>
      <c r="K19" s="3">
        <f>J19-I19+1</f>
        <v>15</v>
      </c>
      <c r="L19" s="3">
        <f>ROUND(G19*H19*K19/365,0)</f>
        <v>9888</v>
      </c>
      <c r="M19" s="3">
        <v>16040000</v>
      </c>
    </row>
    <row r="20" spans="1:13" s="16" customFormat="1" outlineLevel="1">
      <c r="A20" s="28" t="s">
        <v>141</v>
      </c>
      <c r="B20" s="43"/>
      <c r="C20" s="44"/>
      <c r="D20" s="43"/>
      <c r="E20" s="45">
        <f>SUBTOTAL(9,E12:E19)</f>
        <v>305180000</v>
      </c>
      <c r="F20" s="46"/>
      <c r="G20" s="45"/>
      <c r="H20" s="47"/>
      <c r="I20" s="46"/>
      <c r="J20" s="46"/>
      <c r="K20" s="45"/>
      <c r="L20" s="45">
        <f>SUBTOTAL(9,L12:L19)</f>
        <v>1436997</v>
      </c>
      <c r="M20" s="45">
        <f>SUBTOTAL(9,M12:M19)</f>
        <v>305180000</v>
      </c>
    </row>
    <row r="21" spans="1:13" s="16" customFormat="1" outlineLevel="2">
      <c r="A21" s="17" t="s">
        <v>140</v>
      </c>
      <c r="B21" s="18" t="s">
        <v>103</v>
      </c>
      <c r="C21" s="19" t="s">
        <v>139</v>
      </c>
      <c r="D21" s="18" t="s">
        <v>138</v>
      </c>
      <c r="E21" s="3">
        <v>144000000</v>
      </c>
      <c r="F21" s="17">
        <v>43675</v>
      </c>
      <c r="G21" s="3">
        <v>144000000</v>
      </c>
      <c r="H21" s="2">
        <v>5.0000000000000001E-3</v>
      </c>
      <c r="I21" s="17">
        <v>43675</v>
      </c>
      <c r="J21" s="17">
        <v>43677</v>
      </c>
      <c r="K21" s="3">
        <f>J21-I21+1</f>
        <v>3</v>
      </c>
      <c r="L21" s="3">
        <f>ROUND(G21*H21*K21/365,0)</f>
        <v>5918</v>
      </c>
      <c r="M21" s="3">
        <v>144000000</v>
      </c>
    </row>
    <row r="22" spans="1:13" s="16" customFormat="1" outlineLevel="1">
      <c r="A22" s="28" t="s">
        <v>137</v>
      </c>
      <c r="B22" s="43"/>
      <c r="C22" s="44"/>
      <c r="D22" s="43"/>
      <c r="E22" s="45">
        <f>SUBTOTAL(9,E21:E21)</f>
        <v>144000000</v>
      </c>
      <c r="F22" s="46"/>
      <c r="G22" s="45"/>
      <c r="H22" s="47"/>
      <c r="I22" s="46"/>
      <c r="J22" s="46"/>
      <c r="K22" s="45"/>
      <c r="L22" s="45">
        <f>SUBTOTAL(9,L21:L21)</f>
        <v>5918</v>
      </c>
      <c r="M22" s="45">
        <f>SUBTOTAL(9,M21:M21)</f>
        <v>144000000</v>
      </c>
    </row>
    <row r="23" spans="1:13" s="16" customFormat="1" outlineLevel="2">
      <c r="A23" s="17" t="s">
        <v>136</v>
      </c>
      <c r="B23" s="18" t="s">
        <v>103</v>
      </c>
      <c r="C23" s="19" t="s">
        <v>117</v>
      </c>
      <c r="D23" s="18" t="s">
        <v>116</v>
      </c>
      <c r="E23" s="3">
        <v>200000000</v>
      </c>
      <c r="F23" s="17">
        <v>43664</v>
      </c>
      <c r="G23" s="3">
        <v>200000000</v>
      </c>
      <c r="H23" s="2">
        <v>1.4999999999999999E-2</v>
      </c>
      <c r="I23" s="17">
        <v>43664</v>
      </c>
      <c r="J23" s="17">
        <v>43677</v>
      </c>
      <c r="K23" s="3">
        <f>J23-I23+1</f>
        <v>14</v>
      </c>
      <c r="L23" s="3">
        <f>ROUND(G23*H23*K23/365,0)</f>
        <v>115068</v>
      </c>
      <c r="M23" s="3">
        <v>200000000</v>
      </c>
    </row>
    <row r="24" spans="1:13" s="16" customFormat="1" outlineLevel="1">
      <c r="A24" s="28" t="s">
        <v>135</v>
      </c>
      <c r="B24" s="43"/>
      <c r="C24" s="44"/>
      <c r="D24" s="43"/>
      <c r="E24" s="45">
        <f>SUBTOTAL(9,E23:E23)</f>
        <v>200000000</v>
      </c>
      <c r="F24" s="46"/>
      <c r="G24" s="45"/>
      <c r="H24" s="47"/>
      <c r="I24" s="46"/>
      <c r="J24" s="46"/>
      <c r="K24" s="45"/>
      <c r="L24" s="45">
        <f>SUBTOTAL(9,L23:L23)</f>
        <v>115068</v>
      </c>
      <c r="M24" s="45">
        <f>SUBTOTAL(9,M23:M23)</f>
        <v>200000000</v>
      </c>
    </row>
    <row r="25" spans="1:13" s="16" customFormat="1" outlineLevel="2">
      <c r="A25" s="17" t="s">
        <v>134</v>
      </c>
      <c r="B25" s="18" t="s">
        <v>103</v>
      </c>
      <c r="C25" s="19" t="s">
        <v>127</v>
      </c>
      <c r="D25" s="18" t="s">
        <v>126</v>
      </c>
      <c r="E25" s="3">
        <v>100000000</v>
      </c>
      <c r="F25" s="17">
        <v>43594</v>
      </c>
      <c r="G25" s="3">
        <v>100000000</v>
      </c>
      <c r="H25" s="2">
        <v>1.4999999999999999E-2</v>
      </c>
      <c r="I25" s="17">
        <v>43647</v>
      </c>
      <c r="J25" s="17">
        <v>43677</v>
      </c>
      <c r="K25" s="3">
        <f>J25-I25+1</f>
        <v>31</v>
      </c>
      <c r="L25" s="3">
        <f>ROUND(G25*H25*K25/365,0)</f>
        <v>127397</v>
      </c>
      <c r="M25" s="3">
        <v>100000000</v>
      </c>
    </row>
    <row r="26" spans="1:13" s="16" customFormat="1" outlineLevel="2">
      <c r="A26" s="17" t="s">
        <v>134</v>
      </c>
      <c r="B26" s="18" t="s">
        <v>88</v>
      </c>
      <c r="C26" s="19" t="s">
        <v>81</v>
      </c>
      <c r="D26" s="18" t="s">
        <v>80</v>
      </c>
      <c r="E26" s="3">
        <v>38097000</v>
      </c>
      <c r="F26" s="17">
        <v>43663</v>
      </c>
      <c r="G26" s="3">
        <v>38097000</v>
      </c>
      <c r="H26" s="2">
        <v>1.4999999999999999E-2</v>
      </c>
      <c r="I26" s="17">
        <v>43663</v>
      </c>
      <c r="J26" s="17">
        <v>43677</v>
      </c>
      <c r="K26" s="3">
        <f>J26-I26+1</f>
        <v>15</v>
      </c>
      <c r="L26" s="3">
        <f>ROUND(G26*H26*K26/365,0)</f>
        <v>23484</v>
      </c>
      <c r="M26" s="3">
        <v>38097000</v>
      </c>
    </row>
    <row r="27" spans="1:13" s="16" customFormat="1" outlineLevel="2">
      <c r="A27" s="17" t="s">
        <v>134</v>
      </c>
      <c r="B27" s="18" t="s">
        <v>79</v>
      </c>
      <c r="C27" s="19" t="s">
        <v>81</v>
      </c>
      <c r="D27" s="18" t="s">
        <v>80</v>
      </c>
      <c r="E27" s="3">
        <v>79839000</v>
      </c>
      <c r="F27" s="17">
        <v>43663</v>
      </c>
      <c r="G27" s="3">
        <v>79839000</v>
      </c>
      <c r="H27" s="2">
        <v>1.4999999999999999E-2</v>
      </c>
      <c r="I27" s="17">
        <v>43663</v>
      </c>
      <c r="J27" s="17">
        <v>43677</v>
      </c>
      <c r="K27" s="3">
        <f>J27-I27+1</f>
        <v>15</v>
      </c>
      <c r="L27" s="3">
        <f>ROUND(G27*H27*K27/365,0)</f>
        <v>49216</v>
      </c>
      <c r="M27" s="3">
        <v>79839000</v>
      </c>
    </row>
    <row r="28" spans="1:13" s="16" customFormat="1" outlineLevel="2">
      <c r="A28" s="17" t="s">
        <v>134</v>
      </c>
      <c r="B28" s="18" t="s">
        <v>78</v>
      </c>
      <c r="C28" s="19" t="s">
        <v>127</v>
      </c>
      <c r="D28" s="18" t="s">
        <v>126</v>
      </c>
      <c r="E28" s="3">
        <v>67000000</v>
      </c>
      <c r="F28" s="17">
        <v>43671</v>
      </c>
      <c r="G28" s="3">
        <v>67000000</v>
      </c>
      <c r="H28" s="2">
        <v>1.4999999999999999E-2</v>
      </c>
      <c r="I28" s="17">
        <v>43671</v>
      </c>
      <c r="J28" s="17">
        <v>43677</v>
      </c>
      <c r="K28" s="3">
        <f>J28-I28+1</f>
        <v>7</v>
      </c>
      <c r="L28" s="3">
        <f>ROUND(G28*H28*K28/365,0)</f>
        <v>19274</v>
      </c>
      <c r="M28" s="3">
        <v>67000000</v>
      </c>
    </row>
    <row r="29" spans="1:13" s="16" customFormat="1" outlineLevel="1">
      <c r="A29" s="28" t="s">
        <v>37</v>
      </c>
      <c r="B29" s="43"/>
      <c r="C29" s="44"/>
      <c r="D29" s="43"/>
      <c r="E29" s="45">
        <f>SUBTOTAL(9,E25:E28)</f>
        <v>284936000</v>
      </c>
      <c r="F29" s="46"/>
      <c r="G29" s="45"/>
      <c r="H29" s="47"/>
      <c r="I29" s="46"/>
      <c r="J29" s="46"/>
      <c r="K29" s="45"/>
      <c r="L29" s="45">
        <f>SUBTOTAL(9,L25:L28)</f>
        <v>219371</v>
      </c>
      <c r="M29" s="45">
        <f>SUBTOTAL(9,M25:M28)</f>
        <v>284936000</v>
      </c>
    </row>
    <row r="30" spans="1:13" s="16" customFormat="1" outlineLevel="2">
      <c r="A30" s="17" t="s">
        <v>133</v>
      </c>
      <c r="B30" s="18" t="s">
        <v>103</v>
      </c>
      <c r="C30" s="19" t="s">
        <v>111</v>
      </c>
      <c r="D30" s="18" t="s">
        <v>107</v>
      </c>
      <c r="E30" s="3">
        <v>21800000</v>
      </c>
      <c r="F30" s="17">
        <v>43591</v>
      </c>
      <c r="G30" s="3">
        <v>21800000</v>
      </c>
      <c r="H30" s="2">
        <v>1.4999999999999999E-2</v>
      </c>
      <c r="I30" s="17">
        <v>43647</v>
      </c>
      <c r="J30" s="17">
        <v>43677</v>
      </c>
      <c r="K30" s="3">
        <f>J30-I30+1</f>
        <v>31</v>
      </c>
      <c r="L30" s="3">
        <f>ROUND(G30*H30*K30/365,0)</f>
        <v>27773</v>
      </c>
      <c r="M30" s="3">
        <v>21800000</v>
      </c>
    </row>
    <row r="31" spans="1:13" s="16" customFormat="1" outlineLevel="2">
      <c r="A31" s="17" t="s">
        <v>133</v>
      </c>
      <c r="B31" s="18" t="s">
        <v>88</v>
      </c>
      <c r="C31" s="19" t="s">
        <v>111</v>
      </c>
      <c r="D31" s="18" t="s">
        <v>107</v>
      </c>
      <c r="E31" s="3">
        <v>32936000</v>
      </c>
      <c r="F31" s="17">
        <v>43621</v>
      </c>
      <c r="G31" s="3">
        <v>32936000</v>
      </c>
      <c r="H31" s="2">
        <v>1.4999999999999999E-2</v>
      </c>
      <c r="I31" s="17">
        <v>43647</v>
      </c>
      <c r="J31" s="17">
        <v>43677</v>
      </c>
      <c r="K31" s="3">
        <f>J31-I31+1</f>
        <v>31</v>
      </c>
      <c r="L31" s="3">
        <f>ROUND(G31*H31*K31/365,0)</f>
        <v>41960</v>
      </c>
      <c r="M31" s="3">
        <v>32936000</v>
      </c>
    </row>
    <row r="32" spans="1:13" s="16" customFormat="1" outlineLevel="2">
      <c r="A32" s="17" t="s">
        <v>133</v>
      </c>
      <c r="B32" s="18" t="s">
        <v>79</v>
      </c>
      <c r="C32" s="19" t="s">
        <v>111</v>
      </c>
      <c r="D32" s="18" t="s">
        <v>107</v>
      </c>
      <c r="E32" s="3">
        <v>1621000</v>
      </c>
      <c r="F32" s="17">
        <v>43641</v>
      </c>
      <c r="G32" s="3">
        <v>1621000</v>
      </c>
      <c r="H32" s="2">
        <v>1.4999999999999999E-2</v>
      </c>
      <c r="I32" s="17">
        <v>43647</v>
      </c>
      <c r="J32" s="17">
        <v>43677</v>
      </c>
      <c r="K32" s="3">
        <f>J32-I32+1</f>
        <v>31</v>
      </c>
      <c r="L32" s="3">
        <f>ROUND(G32*H32*K32/365,0)</f>
        <v>2065</v>
      </c>
      <c r="M32" s="3">
        <v>1621000</v>
      </c>
    </row>
    <row r="33" spans="1:13" s="16" customFormat="1" outlineLevel="2">
      <c r="A33" s="17" t="s">
        <v>133</v>
      </c>
      <c r="B33" s="18" t="s">
        <v>78</v>
      </c>
      <c r="C33" s="19" t="s">
        <v>108</v>
      </c>
      <c r="D33" s="18" t="s">
        <v>107</v>
      </c>
      <c r="E33" s="3">
        <v>8005000</v>
      </c>
      <c r="F33" s="17">
        <v>43651</v>
      </c>
      <c r="G33" s="3">
        <v>8005000</v>
      </c>
      <c r="H33" s="2">
        <v>1.4999999999999999E-2</v>
      </c>
      <c r="I33" s="17">
        <v>43651</v>
      </c>
      <c r="J33" s="17">
        <v>43677</v>
      </c>
      <c r="K33" s="3">
        <f>J33-I33+1</f>
        <v>27</v>
      </c>
      <c r="L33" s="3">
        <f>ROUND(G33*H33*K33/365,0)</f>
        <v>8882</v>
      </c>
      <c r="M33" s="3">
        <v>8005000</v>
      </c>
    </row>
    <row r="34" spans="1:13" s="16" customFormat="1" outlineLevel="2">
      <c r="A34" s="17" t="s">
        <v>133</v>
      </c>
      <c r="B34" s="18" t="s">
        <v>77</v>
      </c>
      <c r="C34" s="19" t="s">
        <v>108</v>
      </c>
      <c r="D34" s="18" t="s">
        <v>107</v>
      </c>
      <c r="E34" s="3">
        <v>90124000</v>
      </c>
      <c r="F34" s="17">
        <v>43661</v>
      </c>
      <c r="G34" s="3">
        <v>90124000</v>
      </c>
      <c r="H34" s="2">
        <v>1.4999999999999999E-2</v>
      </c>
      <c r="I34" s="17">
        <v>43661</v>
      </c>
      <c r="J34" s="17">
        <v>43677</v>
      </c>
      <c r="K34" s="3">
        <f>J34-I34+1</f>
        <v>17</v>
      </c>
      <c r="L34" s="3">
        <f>ROUND(G34*H34*K34/365,0)</f>
        <v>62963</v>
      </c>
      <c r="M34" s="3">
        <v>90124000</v>
      </c>
    </row>
    <row r="35" spans="1:13" s="16" customFormat="1" outlineLevel="1">
      <c r="A35" s="28" t="s">
        <v>33</v>
      </c>
      <c r="B35" s="43"/>
      <c r="C35" s="44"/>
      <c r="D35" s="43"/>
      <c r="E35" s="45">
        <f>SUBTOTAL(9,E30:E34)</f>
        <v>154486000</v>
      </c>
      <c r="F35" s="46"/>
      <c r="G35" s="45"/>
      <c r="H35" s="47"/>
      <c r="I35" s="46"/>
      <c r="J35" s="46"/>
      <c r="K35" s="45"/>
      <c r="L35" s="45">
        <f>SUBTOTAL(9,L30:L34)</f>
        <v>143643</v>
      </c>
      <c r="M35" s="45">
        <f>SUBTOTAL(9,M30:M34)</f>
        <v>154486000</v>
      </c>
    </row>
    <row r="36" spans="1:13" s="16" customFormat="1" outlineLevel="2">
      <c r="A36" s="17" t="s">
        <v>132</v>
      </c>
      <c r="B36" s="18" t="s">
        <v>103</v>
      </c>
      <c r="C36" s="19" t="s">
        <v>85</v>
      </c>
      <c r="D36" s="18" t="s">
        <v>84</v>
      </c>
      <c r="E36" s="3">
        <v>200000000</v>
      </c>
      <c r="F36" s="17">
        <v>43620</v>
      </c>
      <c r="G36" s="3">
        <v>200000000</v>
      </c>
      <c r="H36" s="2">
        <v>1.4999999999999999E-2</v>
      </c>
      <c r="I36" s="17">
        <v>43647</v>
      </c>
      <c r="J36" s="17">
        <v>43677</v>
      </c>
      <c r="K36" s="3">
        <f>J36-I36+1</f>
        <v>31</v>
      </c>
      <c r="L36" s="3">
        <f>ROUND(G36*H36*K36/365,0)</f>
        <v>254795</v>
      </c>
      <c r="M36" s="3">
        <v>200000000</v>
      </c>
    </row>
    <row r="37" spans="1:13" s="16" customFormat="1" outlineLevel="2">
      <c r="A37" s="17" t="s">
        <v>132</v>
      </c>
      <c r="B37" s="18" t="s">
        <v>88</v>
      </c>
      <c r="C37" s="19" t="s">
        <v>85</v>
      </c>
      <c r="D37" s="18" t="s">
        <v>84</v>
      </c>
      <c r="E37" s="3">
        <v>170000000</v>
      </c>
      <c r="F37" s="17">
        <v>43643</v>
      </c>
      <c r="G37" s="3">
        <v>170000000</v>
      </c>
      <c r="H37" s="2">
        <v>1.4999999999999999E-2</v>
      </c>
      <c r="I37" s="17">
        <v>43647</v>
      </c>
      <c r="J37" s="17">
        <v>43677</v>
      </c>
      <c r="K37" s="3">
        <f>J37-I37+1</f>
        <v>31</v>
      </c>
      <c r="L37" s="3">
        <f>ROUND(G37*H37*K37/365,0)</f>
        <v>216575</v>
      </c>
      <c r="M37" s="3">
        <v>170000000</v>
      </c>
    </row>
    <row r="38" spans="1:13" s="16" customFormat="1" outlineLevel="2">
      <c r="A38" s="17" t="s">
        <v>132</v>
      </c>
      <c r="B38" s="18" t="s">
        <v>79</v>
      </c>
      <c r="C38" s="19" t="s">
        <v>85</v>
      </c>
      <c r="D38" s="18" t="s">
        <v>84</v>
      </c>
      <c r="E38" s="3">
        <v>670000000</v>
      </c>
      <c r="F38" s="17">
        <v>43670</v>
      </c>
      <c r="G38" s="3">
        <v>670000000</v>
      </c>
      <c r="H38" s="2">
        <v>1.4999999999999999E-2</v>
      </c>
      <c r="I38" s="17">
        <v>43670</v>
      </c>
      <c r="J38" s="17">
        <v>43677</v>
      </c>
      <c r="K38" s="3">
        <f>J38-I38+1</f>
        <v>8</v>
      </c>
      <c r="L38" s="3">
        <f>ROUND(G38*H38*K38/365,0)</f>
        <v>220274</v>
      </c>
      <c r="M38" s="3">
        <v>670000000</v>
      </c>
    </row>
    <row r="39" spans="1:13" s="16" customFormat="1" outlineLevel="2">
      <c r="A39" s="17" t="s">
        <v>132</v>
      </c>
      <c r="B39" s="18" t="s">
        <v>78</v>
      </c>
      <c r="C39" s="19" t="s">
        <v>85</v>
      </c>
      <c r="D39" s="18" t="s">
        <v>84</v>
      </c>
      <c r="E39" s="3">
        <v>330000000</v>
      </c>
      <c r="F39" s="17">
        <v>43677</v>
      </c>
      <c r="G39" s="3">
        <v>330000000</v>
      </c>
      <c r="H39" s="2">
        <v>1.4999999999999999E-2</v>
      </c>
      <c r="I39" s="17">
        <v>43677</v>
      </c>
      <c r="J39" s="17">
        <v>43677</v>
      </c>
      <c r="K39" s="3">
        <f>J39-I39+1</f>
        <v>1</v>
      </c>
      <c r="L39" s="3">
        <f>ROUND(G39*H39*K39/365,0)</f>
        <v>13562</v>
      </c>
      <c r="M39" s="3">
        <v>330000000</v>
      </c>
    </row>
    <row r="40" spans="1:13" s="16" customFormat="1" outlineLevel="1">
      <c r="A40" s="28" t="s">
        <v>66</v>
      </c>
      <c r="B40" s="43"/>
      <c r="C40" s="44"/>
      <c r="D40" s="43"/>
      <c r="E40" s="45">
        <f>SUBTOTAL(9,E36:E39)</f>
        <v>1370000000</v>
      </c>
      <c r="F40" s="46"/>
      <c r="G40" s="45"/>
      <c r="H40" s="47"/>
      <c r="I40" s="46"/>
      <c r="J40" s="46"/>
      <c r="K40" s="45"/>
      <c r="L40" s="45">
        <f>SUBTOTAL(9,L36:L39)</f>
        <v>705206</v>
      </c>
      <c r="M40" s="45">
        <f>SUBTOTAL(9,M36:M39)</f>
        <v>1370000000</v>
      </c>
    </row>
    <row r="41" spans="1:13" s="16" customFormat="1" outlineLevel="2">
      <c r="A41" s="17" t="s">
        <v>128</v>
      </c>
      <c r="B41" s="18" t="s">
        <v>103</v>
      </c>
      <c r="C41" s="19" t="s">
        <v>85</v>
      </c>
      <c r="D41" s="18" t="s">
        <v>84</v>
      </c>
      <c r="E41" s="3">
        <v>500000000</v>
      </c>
      <c r="F41" s="17">
        <v>43635</v>
      </c>
      <c r="G41" s="3">
        <v>500000000</v>
      </c>
      <c r="H41" s="2">
        <v>1.4999999999999999E-2</v>
      </c>
      <c r="I41" s="17">
        <v>43647</v>
      </c>
      <c r="J41" s="17">
        <v>43677</v>
      </c>
      <c r="K41" s="3">
        <f>J41-I41+1</f>
        <v>31</v>
      </c>
      <c r="L41" s="3">
        <f>ROUND(G41*H41*K41/365,0)</f>
        <v>636986</v>
      </c>
      <c r="M41" s="3">
        <v>500000000</v>
      </c>
    </row>
    <row r="42" spans="1:13" s="16" customFormat="1" outlineLevel="2">
      <c r="A42" s="17" t="s">
        <v>128</v>
      </c>
      <c r="B42" s="18" t="s">
        <v>88</v>
      </c>
      <c r="C42" s="19" t="s">
        <v>85</v>
      </c>
      <c r="D42" s="18" t="s">
        <v>84</v>
      </c>
      <c r="E42" s="3">
        <v>200000000</v>
      </c>
      <c r="F42" s="17">
        <v>43644</v>
      </c>
      <c r="G42" s="3">
        <v>200000000</v>
      </c>
      <c r="H42" s="2">
        <v>1.4999999999999999E-2</v>
      </c>
      <c r="I42" s="17">
        <v>43647</v>
      </c>
      <c r="J42" s="17">
        <v>43677</v>
      </c>
      <c r="K42" s="3">
        <f>J42-I42+1</f>
        <v>31</v>
      </c>
      <c r="L42" s="3">
        <f>ROUND(G42*H42*K42/365,0)</f>
        <v>254795</v>
      </c>
      <c r="M42" s="3">
        <v>200000000</v>
      </c>
    </row>
    <row r="43" spans="1:13" s="16" customFormat="1" outlineLevel="2">
      <c r="A43" s="17" t="s">
        <v>128</v>
      </c>
      <c r="B43" s="18" t="s">
        <v>79</v>
      </c>
      <c r="C43" s="19" t="s">
        <v>123</v>
      </c>
      <c r="D43" s="18" t="s">
        <v>122</v>
      </c>
      <c r="E43" s="3">
        <v>150000000</v>
      </c>
      <c r="F43" s="17">
        <v>43635</v>
      </c>
      <c r="G43" s="3">
        <v>150000000</v>
      </c>
      <c r="H43" s="2">
        <v>1.4999999999999999E-2</v>
      </c>
      <c r="I43" s="17">
        <v>43647</v>
      </c>
      <c r="J43" s="17">
        <v>43677</v>
      </c>
      <c r="K43" s="3">
        <f>J43-I43+1</f>
        <v>31</v>
      </c>
      <c r="L43" s="3">
        <f>ROUND(G43*H43*K43/365,0)</f>
        <v>191096</v>
      </c>
      <c r="M43" s="3">
        <v>150000000</v>
      </c>
    </row>
    <row r="44" spans="1:13" s="16" customFormat="1" outlineLevel="2">
      <c r="A44" s="17" t="s">
        <v>128</v>
      </c>
      <c r="B44" s="18" t="s">
        <v>78</v>
      </c>
      <c r="C44" s="19" t="s">
        <v>85</v>
      </c>
      <c r="D44" s="18" t="s">
        <v>84</v>
      </c>
      <c r="E44" s="3">
        <v>400000000</v>
      </c>
      <c r="F44" s="17">
        <v>43663</v>
      </c>
      <c r="G44" s="3">
        <v>400000000</v>
      </c>
      <c r="H44" s="2">
        <v>1.4999999999999999E-2</v>
      </c>
      <c r="I44" s="17">
        <v>43663</v>
      </c>
      <c r="J44" s="17">
        <v>43677</v>
      </c>
      <c r="K44" s="3">
        <f>J44-I44+1</f>
        <v>15</v>
      </c>
      <c r="L44" s="3">
        <f>ROUND(G44*H44*K44/365,0)</f>
        <v>246575</v>
      </c>
      <c r="M44" s="3">
        <v>400000000</v>
      </c>
    </row>
    <row r="45" spans="1:13" s="16" customFormat="1" outlineLevel="2">
      <c r="A45" s="17" t="s">
        <v>128</v>
      </c>
      <c r="B45" s="18" t="s">
        <v>77</v>
      </c>
      <c r="C45" s="19" t="s">
        <v>131</v>
      </c>
      <c r="D45" s="18" t="s">
        <v>93</v>
      </c>
      <c r="E45" s="3">
        <v>1000000000</v>
      </c>
      <c r="F45" s="17">
        <v>43672</v>
      </c>
      <c r="G45" s="3">
        <v>1000000000</v>
      </c>
      <c r="H45" s="2">
        <v>1.4999999999999999E-2</v>
      </c>
      <c r="I45" s="17">
        <v>43672</v>
      </c>
      <c r="J45" s="17">
        <v>43677</v>
      </c>
      <c r="K45" s="3">
        <f>J45-I45+1</f>
        <v>6</v>
      </c>
      <c r="L45" s="3">
        <f>ROUND(G45*H45*K45/365,0)</f>
        <v>246575</v>
      </c>
      <c r="M45" s="3">
        <v>1000000000</v>
      </c>
    </row>
    <row r="46" spans="1:13" s="16" customFormat="1" outlineLevel="2">
      <c r="A46" s="17" t="s">
        <v>128</v>
      </c>
      <c r="B46" s="18" t="s">
        <v>76</v>
      </c>
      <c r="C46" s="19" t="s">
        <v>130</v>
      </c>
      <c r="D46" s="18" t="s">
        <v>129</v>
      </c>
      <c r="E46" s="3">
        <v>29300670</v>
      </c>
      <c r="F46" s="17">
        <v>43658</v>
      </c>
      <c r="G46" s="3">
        <v>29300670</v>
      </c>
      <c r="H46" s="2">
        <v>1.4999999999999999E-2</v>
      </c>
      <c r="I46" s="17">
        <v>43658</v>
      </c>
      <c r="J46" s="17">
        <v>43677</v>
      </c>
      <c r="K46" s="3">
        <f>J46-I46+1</f>
        <v>20</v>
      </c>
      <c r="L46" s="3">
        <f>ROUND(G46*H46*K46/365,0)</f>
        <v>24083</v>
      </c>
      <c r="M46" s="3">
        <v>29300670</v>
      </c>
    </row>
    <row r="47" spans="1:13" s="16" customFormat="1" outlineLevel="2">
      <c r="A47" s="17" t="s">
        <v>128</v>
      </c>
      <c r="B47" s="18" t="s">
        <v>75</v>
      </c>
      <c r="C47" s="19" t="s">
        <v>123</v>
      </c>
      <c r="D47" s="18" t="s">
        <v>122</v>
      </c>
      <c r="E47" s="3">
        <v>100000000</v>
      </c>
      <c r="F47" s="17">
        <v>43649</v>
      </c>
      <c r="G47" s="3">
        <v>100000000</v>
      </c>
      <c r="H47" s="2">
        <v>1.4999999999999999E-2</v>
      </c>
      <c r="I47" s="17">
        <v>43649</v>
      </c>
      <c r="J47" s="17">
        <v>43677</v>
      </c>
      <c r="K47" s="3">
        <f>J47-I47+1</f>
        <v>29</v>
      </c>
      <c r="L47" s="3">
        <f>ROUND(G47*H47*K47/365,0)</f>
        <v>119178</v>
      </c>
      <c r="M47" s="3">
        <v>100000000</v>
      </c>
    </row>
    <row r="48" spans="1:13" s="16" customFormat="1" outlineLevel="2">
      <c r="A48" s="17" t="s">
        <v>128</v>
      </c>
      <c r="B48" s="18" t="s">
        <v>74</v>
      </c>
      <c r="C48" s="19" t="s">
        <v>127</v>
      </c>
      <c r="D48" s="18" t="s">
        <v>126</v>
      </c>
      <c r="E48" s="3">
        <v>70000000</v>
      </c>
      <c r="F48" s="17">
        <v>43656</v>
      </c>
      <c r="G48" s="3">
        <v>70000000</v>
      </c>
      <c r="H48" s="2">
        <v>1.4999999999999999E-2</v>
      </c>
      <c r="I48" s="17">
        <v>43656</v>
      </c>
      <c r="J48" s="17">
        <v>43677</v>
      </c>
      <c r="K48" s="3">
        <f>J48-I48+1</f>
        <v>22</v>
      </c>
      <c r="L48" s="3">
        <f>ROUND(G48*H48*K48/365,0)</f>
        <v>63288</v>
      </c>
      <c r="M48" s="3">
        <v>70000000</v>
      </c>
    </row>
    <row r="49" spans="1:13" s="16" customFormat="1" outlineLevel="2">
      <c r="A49" s="17" t="s">
        <v>128</v>
      </c>
      <c r="B49" s="18" t="s">
        <v>72</v>
      </c>
      <c r="C49" s="19" t="s">
        <v>127</v>
      </c>
      <c r="D49" s="18" t="s">
        <v>126</v>
      </c>
      <c r="E49" s="3">
        <v>116000000</v>
      </c>
      <c r="F49" s="17">
        <v>43676</v>
      </c>
      <c r="G49" s="3">
        <v>116000000</v>
      </c>
      <c r="H49" s="2">
        <v>1.4999999999999999E-2</v>
      </c>
      <c r="I49" s="17">
        <v>43676</v>
      </c>
      <c r="J49" s="17">
        <v>43677</v>
      </c>
      <c r="K49" s="3">
        <f>J49-I49+1</f>
        <v>2</v>
      </c>
      <c r="L49" s="3">
        <f>ROUND(G49*H49*K49/365,0)</f>
        <v>9534</v>
      </c>
      <c r="M49" s="3">
        <v>116000000</v>
      </c>
    </row>
    <row r="50" spans="1:13" s="16" customFormat="1" outlineLevel="1">
      <c r="A50" s="28" t="s">
        <v>64</v>
      </c>
      <c r="B50" s="43"/>
      <c r="C50" s="44"/>
      <c r="D50" s="43"/>
      <c r="E50" s="45">
        <f>SUBTOTAL(9,E41:E49)</f>
        <v>2565300670</v>
      </c>
      <c r="F50" s="46"/>
      <c r="G50" s="45"/>
      <c r="H50" s="47"/>
      <c r="I50" s="46"/>
      <c r="J50" s="46"/>
      <c r="K50" s="45"/>
      <c r="L50" s="45">
        <f>SUBTOTAL(9,L41:L49)</f>
        <v>1792110</v>
      </c>
      <c r="M50" s="45">
        <f>SUBTOTAL(9,M41:M49)</f>
        <v>2565300670</v>
      </c>
    </row>
    <row r="51" spans="1:13" s="16" customFormat="1" outlineLevel="2">
      <c r="A51" s="17" t="s">
        <v>119</v>
      </c>
      <c r="B51" s="18" t="s">
        <v>103</v>
      </c>
      <c r="C51" s="19" t="s">
        <v>125</v>
      </c>
      <c r="D51" s="18" t="s">
        <v>124</v>
      </c>
      <c r="E51" s="3">
        <v>200000000</v>
      </c>
      <c r="F51" s="17">
        <v>43556</v>
      </c>
      <c r="G51" s="3">
        <v>200000000</v>
      </c>
      <c r="H51" s="2">
        <v>1.4999999999999999E-2</v>
      </c>
      <c r="I51" s="17">
        <v>43647</v>
      </c>
      <c r="J51" s="17">
        <v>43677</v>
      </c>
      <c r="K51" s="3">
        <f>J51-I51+1</f>
        <v>31</v>
      </c>
      <c r="L51" s="3">
        <f>ROUND(G51*H51*K51/365,0)</f>
        <v>254795</v>
      </c>
      <c r="M51" s="3">
        <v>200000000</v>
      </c>
    </row>
    <row r="52" spans="1:13" s="16" customFormat="1" outlineLevel="2">
      <c r="A52" s="17" t="s">
        <v>119</v>
      </c>
      <c r="B52" s="18" t="s">
        <v>102</v>
      </c>
      <c r="C52" s="19" t="s">
        <v>81</v>
      </c>
      <c r="D52" s="18" t="s">
        <v>80</v>
      </c>
      <c r="E52" s="3">
        <v>66532000</v>
      </c>
      <c r="F52" s="17">
        <v>43663</v>
      </c>
      <c r="G52" s="3">
        <v>66532000</v>
      </c>
      <c r="H52" s="2">
        <v>1.4999999999999999E-2</v>
      </c>
      <c r="I52" s="17">
        <v>43663</v>
      </c>
      <c r="J52" s="17">
        <v>43677</v>
      </c>
      <c r="K52" s="3">
        <f>J52-I52+1</f>
        <v>15</v>
      </c>
      <c r="L52" s="3">
        <f>ROUND(G52*H52*K52/365,0)</f>
        <v>41013</v>
      </c>
      <c r="M52" s="3">
        <v>66532000</v>
      </c>
    </row>
    <row r="53" spans="1:13" s="16" customFormat="1" outlineLevel="2">
      <c r="A53" s="17" t="s">
        <v>119</v>
      </c>
      <c r="B53" s="18" t="s">
        <v>88</v>
      </c>
      <c r="C53" s="19" t="s">
        <v>121</v>
      </c>
      <c r="D53" s="18" t="s">
        <v>120</v>
      </c>
      <c r="E53" s="3">
        <v>50000000</v>
      </c>
      <c r="F53" s="17">
        <v>43607</v>
      </c>
      <c r="G53" s="3">
        <v>50000000</v>
      </c>
      <c r="H53" s="2">
        <v>1.4999999999999999E-2</v>
      </c>
      <c r="I53" s="17">
        <v>43647</v>
      </c>
      <c r="J53" s="17">
        <v>43677</v>
      </c>
      <c r="K53" s="3">
        <f>J53-I53+1</f>
        <v>31</v>
      </c>
      <c r="L53" s="3">
        <f>ROUND(G53*H53*K53/365,0)</f>
        <v>63699</v>
      </c>
      <c r="M53" s="3">
        <v>50000000</v>
      </c>
    </row>
    <row r="54" spans="1:13" s="16" customFormat="1" outlineLevel="2">
      <c r="A54" s="17" t="s">
        <v>119</v>
      </c>
      <c r="B54" s="18" t="s">
        <v>79</v>
      </c>
      <c r="C54" s="19" t="s">
        <v>121</v>
      </c>
      <c r="D54" s="18" t="s">
        <v>120</v>
      </c>
      <c r="E54" s="3">
        <v>50000000</v>
      </c>
      <c r="F54" s="17">
        <v>43615</v>
      </c>
      <c r="G54" s="3">
        <v>50000000</v>
      </c>
      <c r="H54" s="2">
        <v>1.4999999999999999E-2</v>
      </c>
      <c r="I54" s="17">
        <v>43647</v>
      </c>
      <c r="J54" s="17">
        <v>43677</v>
      </c>
      <c r="K54" s="3">
        <f>J54-I54+1</f>
        <v>31</v>
      </c>
      <c r="L54" s="3">
        <f>ROUND(G54*H54*K54/365,0)</f>
        <v>63699</v>
      </c>
      <c r="M54" s="3">
        <v>50000000</v>
      </c>
    </row>
    <row r="55" spans="1:13" s="16" customFormat="1" outlineLevel="2">
      <c r="A55" s="17" t="s">
        <v>119</v>
      </c>
      <c r="B55" s="18" t="s">
        <v>78</v>
      </c>
      <c r="C55" s="19" t="s">
        <v>123</v>
      </c>
      <c r="D55" s="18" t="s">
        <v>122</v>
      </c>
      <c r="E55" s="3">
        <v>150000000</v>
      </c>
      <c r="F55" s="17">
        <v>43640</v>
      </c>
      <c r="G55" s="3">
        <v>150000000</v>
      </c>
      <c r="H55" s="2">
        <v>1.4999999999999999E-2</v>
      </c>
      <c r="I55" s="17">
        <v>43647</v>
      </c>
      <c r="J55" s="17">
        <v>43677</v>
      </c>
      <c r="K55" s="3">
        <f>J55-I55+1</f>
        <v>31</v>
      </c>
      <c r="L55" s="3">
        <f>ROUND(G55*H55*K55/365,0)</f>
        <v>191096</v>
      </c>
      <c r="M55" s="3">
        <v>150000000</v>
      </c>
    </row>
    <row r="56" spans="1:13" s="16" customFormat="1" outlineLevel="2">
      <c r="A56" s="17" t="s">
        <v>119</v>
      </c>
      <c r="B56" s="18" t="s">
        <v>77</v>
      </c>
      <c r="C56" s="19" t="s">
        <v>121</v>
      </c>
      <c r="D56" s="18" t="s">
        <v>120</v>
      </c>
      <c r="E56" s="3">
        <v>30000000</v>
      </c>
      <c r="F56" s="17">
        <v>43651</v>
      </c>
      <c r="G56" s="3">
        <v>30000000</v>
      </c>
      <c r="H56" s="2">
        <v>1.4999999999999999E-2</v>
      </c>
      <c r="I56" s="17">
        <v>43651</v>
      </c>
      <c r="J56" s="17">
        <v>43677</v>
      </c>
      <c r="K56" s="3">
        <f>J56-I56+1</f>
        <v>27</v>
      </c>
      <c r="L56" s="3">
        <f>ROUND(G56*H56*K56/365,0)</f>
        <v>33288</v>
      </c>
      <c r="M56" s="3">
        <v>30000000</v>
      </c>
    </row>
    <row r="57" spans="1:13" s="16" customFormat="1" outlineLevel="2">
      <c r="A57" s="17" t="s">
        <v>119</v>
      </c>
      <c r="B57" s="18" t="s">
        <v>76</v>
      </c>
      <c r="C57" s="19" t="s">
        <v>121</v>
      </c>
      <c r="D57" s="18" t="s">
        <v>120</v>
      </c>
      <c r="E57" s="3">
        <v>30000000</v>
      </c>
      <c r="F57" s="17">
        <v>43655</v>
      </c>
      <c r="G57" s="3">
        <v>30000000</v>
      </c>
      <c r="H57" s="2">
        <v>1.4999999999999999E-2</v>
      </c>
      <c r="I57" s="17">
        <v>43655</v>
      </c>
      <c r="J57" s="17">
        <v>43677</v>
      </c>
      <c r="K57" s="3">
        <f>J57-I57+1</f>
        <v>23</v>
      </c>
      <c r="L57" s="3">
        <f>ROUND(G57*H57*K57/365,0)</f>
        <v>28356</v>
      </c>
      <c r="M57" s="3">
        <v>30000000</v>
      </c>
    </row>
    <row r="58" spans="1:13" s="16" customFormat="1" outlineLevel="2">
      <c r="A58" s="17" t="s">
        <v>119</v>
      </c>
      <c r="B58" s="18" t="s">
        <v>75</v>
      </c>
      <c r="C58" s="19" t="s">
        <v>121</v>
      </c>
      <c r="D58" s="18" t="s">
        <v>120</v>
      </c>
      <c r="E58" s="3">
        <v>35000000</v>
      </c>
      <c r="F58" s="17">
        <v>43663</v>
      </c>
      <c r="G58" s="3">
        <v>35000000</v>
      </c>
      <c r="H58" s="2">
        <v>1.4999999999999999E-2</v>
      </c>
      <c r="I58" s="17">
        <v>43663</v>
      </c>
      <c r="J58" s="17">
        <v>43677</v>
      </c>
      <c r="K58" s="3">
        <f>J58-I58+1</f>
        <v>15</v>
      </c>
      <c r="L58" s="3">
        <f>ROUND(G58*H58*K58/365,0)</f>
        <v>21575</v>
      </c>
      <c r="M58" s="3">
        <v>35000000</v>
      </c>
    </row>
    <row r="59" spans="1:13" s="16" customFormat="1" outlineLevel="2">
      <c r="A59" s="17" t="s">
        <v>119</v>
      </c>
      <c r="B59" s="18" t="s">
        <v>74</v>
      </c>
      <c r="C59" s="19" t="s">
        <v>121</v>
      </c>
      <c r="D59" s="18" t="s">
        <v>120</v>
      </c>
      <c r="E59" s="3">
        <v>40000000</v>
      </c>
      <c r="F59" s="17">
        <v>43665</v>
      </c>
      <c r="G59" s="3">
        <v>40000000</v>
      </c>
      <c r="H59" s="2">
        <v>1.4999999999999999E-2</v>
      </c>
      <c r="I59" s="17">
        <v>43665</v>
      </c>
      <c r="J59" s="17">
        <v>43677</v>
      </c>
      <c r="K59" s="3">
        <f>J59-I59+1</f>
        <v>13</v>
      </c>
      <c r="L59" s="3">
        <f>ROUND(G59*H59*K59/365,0)</f>
        <v>21370</v>
      </c>
      <c r="M59" s="3">
        <v>40000000</v>
      </c>
    </row>
    <row r="60" spans="1:13" s="16" customFormat="1" outlineLevel="2">
      <c r="A60" s="17" t="s">
        <v>119</v>
      </c>
      <c r="B60" s="18" t="s">
        <v>72</v>
      </c>
      <c r="C60" s="19" t="s">
        <v>81</v>
      </c>
      <c r="D60" s="18" t="s">
        <v>80</v>
      </c>
      <c r="E60" s="3">
        <v>31748000</v>
      </c>
      <c r="F60" s="17">
        <v>43663</v>
      </c>
      <c r="G60" s="3">
        <v>31748000</v>
      </c>
      <c r="H60" s="2">
        <v>1.4999999999999999E-2</v>
      </c>
      <c r="I60" s="17">
        <v>43663</v>
      </c>
      <c r="J60" s="17">
        <v>43677</v>
      </c>
      <c r="K60" s="3">
        <f>J60-I60+1</f>
        <v>15</v>
      </c>
      <c r="L60" s="3">
        <f>ROUND(G60*H60*K60/365,0)</f>
        <v>19571</v>
      </c>
      <c r="M60" s="3">
        <v>31748000</v>
      </c>
    </row>
    <row r="61" spans="1:13" s="16" customFormat="1" outlineLevel="1">
      <c r="A61" s="28" t="s">
        <v>32</v>
      </c>
      <c r="B61" s="43"/>
      <c r="C61" s="44"/>
      <c r="D61" s="43"/>
      <c r="E61" s="45">
        <f>SUBTOTAL(9,E51:E60)</f>
        <v>683280000</v>
      </c>
      <c r="F61" s="46"/>
      <c r="G61" s="45"/>
      <c r="H61" s="47"/>
      <c r="I61" s="46"/>
      <c r="J61" s="46"/>
      <c r="K61" s="45"/>
      <c r="L61" s="45">
        <f>SUBTOTAL(9,L51:L60)</f>
        <v>738462</v>
      </c>
      <c r="M61" s="45">
        <f>SUBTOTAL(9,M51:M60)</f>
        <v>683280000</v>
      </c>
    </row>
    <row r="62" spans="1:13" s="16" customFormat="1" outlineLevel="2">
      <c r="A62" s="17" t="s">
        <v>118</v>
      </c>
      <c r="B62" s="18" t="s">
        <v>103</v>
      </c>
      <c r="C62" s="19" t="s">
        <v>117</v>
      </c>
      <c r="D62" s="18" t="s">
        <v>116</v>
      </c>
      <c r="E62" s="3">
        <v>200000000</v>
      </c>
      <c r="F62" s="17">
        <v>43613</v>
      </c>
      <c r="G62" s="3">
        <v>200000000</v>
      </c>
      <c r="H62" s="2">
        <v>1.4999999999999999E-2</v>
      </c>
      <c r="I62" s="17">
        <v>43647</v>
      </c>
      <c r="J62" s="17">
        <v>43677</v>
      </c>
      <c r="K62" s="3">
        <f>J62-I62+1</f>
        <v>31</v>
      </c>
      <c r="L62" s="3">
        <f>ROUND(G62*H62*K62/365,0)</f>
        <v>254795</v>
      </c>
      <c r="M62" s="3">
        <v>200000000</v>
      </c>
    </row>
    <row r="63" spans="1:13" s="16" customFormat="1" outlineLevel="1">
      <c r="A63" s="28" t="s">
        <v>56</v>
      </c>
      <c r="B63" s="43"/>
      <c r="C63" s="44"/>
      <c r="D63" s="43"/>
      <c r="E63" s="45">
        <f>SUBTOTAL(9,E62:E62)</f>
        <v>200000000</v>
      </c>
      <c r="F63" s="46"/>
      <c r="G63" s="45"/>
      <c r="H63" s="47"/>
      <c r="I63" s="46"/>
      <c r="J63" s="46"/>
      <c r="K63" s="45"/>
      <c r="L63" s="45">
        <f>SUBTOTAL(9,L62:L62)</f>
        <v>254795</v>
      </c>
      <c r="M63" s="45">
        <f>SUBTOTAL(9,M62:M62)</f>
        <v>200000000</v>
      </c>
    </row>
    <row r="64" spans="1:13" s="16" customFormat="1" outlineLevel="2">
      <c r="A64" s="17" t="s">
        <v>106</v>
      </c>
      <c r="B64" s="18" t="s">
        <v>103</v>
      </c>
      <c r="C64" s="19" t="s">
        <v>111</v>
      </c>
      <c r="D64" s="18" t="s">
        <v>107</v>
      </c>
      <c r="E64" s="3">
        <v>3656000</v>
      </c>
      <c r="F64" s="17">
        <v>43633</v>
      </c>
      <c r="G64" s="3">
        <v>3656000</v>
      </c>
      <c r="H64" s="2">
        <v>1.4999999999999999E-2</v>
      </c>
      <c r="I64" s="17">
        <v>43647</v>
      </c>
      <c r="J64" s="17">
        <v>43677</v>
      </c>
      <c r="K64" s="3">
        <f>J64-I64+1</f>
        <v>31</v>
      </c>
      <c r="L64" s="3">
        <f>ROUND(G64*H64*K64/365,0)</f>
        <v>4658</v>
      </c>
      <c r="M64" s="3">
        <v>3656000</v>
      </c>
    </row>
    <row r="65" spans="1:13" s="16" customFormat="1" outlineLevel="2">
      <c r="A65" s="17" t="s">
        <v>106</v>
      </c>
      <c r="B65" s="18" t="s">
        <v>102</v>
      </c>
      <c r="C65" s="19" t="s">
        <v>85</v>
      </c>
      <c r="D65" s="18" t="s">
        <v>84</v>
      </c>
      <c r="E65" s="3">
        <v>85000000</v>
      </c>
      <c r="F65" s="17">
        <v>43672</v>
      </c>
      <c r="G65" s="3">
        <v>85000000</v>
      </c>
      <c r="H65" s="2">
        <v>1.4999999999999999E-2</v>
      </c>
      <c r="I65" s="17">
        <v>43672</v>
      </c>
      <c r="J65" s="17">
        <v>43677</v>
      </c>
      <c r="K65" s="3">
        <f>J65-I65+1</f>
        <v>6</v>
      </c>
      <c r="L65" s="3">
        <f>ROUND(G65*H65*K65/365,0)</f>
        <v>20959</v>
      </c>
      <c r="M65" s="3">
        <v>85000000</v>
      </c>
    </row>
    <row r="66" spans="1:13" s="16" customFormat="1" outlineLevel="2">
      <c r="A66" s="17" t="s">
        <v>106</v>
      </c>
      <c r="B66" s="18" t="s">
        <v>101</v>
      </c>
      <c r="C66" s="19" t="s">
        <v>85</v>
      </c>
      <c r="D66" s="18" t="s">
        <v>84</v>
      </c>
      <c r="E66" s="3">
        <v>15000000</v>
      </c>
      <c r="F66" s="17">
        <v>43677</v>
      </c>
      <c r="G66" s="3">
        <v>15000000</v>
      </c>
      <c r="H66" s="2">
        <v>1.4999999999999999E-2</v>
      </c>
      <c r="I66" s="17">
        <v>43677</v>
      </c>
      <c r="J66" s="17">
        <v>43677</v>
      </c>
      <c r="K66" s="3">
        <f>J66-I66+1</f>
        <v>1</v>
      </c>
      <c r="L66" s="3">
        <f>ROUND(G66*H66*K66/365,0)</f>
        <v>616</v>
      </c>
      <c r="M66" s="3">
        <v>15000000</v>
      </c>
    </row>
    <row r="67" spans="1:13" s="16" customFormat="1" outlineLevel="2">
      <c r="A67" s="17" t="s">
        <v>106</v>
      </c>
      <c r="B67" s="18" t="s">
        <v>100</v>
      </c>
      <c r="C67" s="19" t="s">
        <v>85</v>
      </c>
      <c r="D67" s="18" t="s">
        <v>84</v>
      </c>
      <c r="E67" s="3">
        <v>96000000</v>
      </c>
      <c r="F67" s="17">
        <v>43650</v>
      </c>
      <c r="G67" s="3">
        <v>96000000</v>
      </c>
      <c r="H67" s="2">
        <v>1.4999999999999999E-2</v>
      </c>
      <c r="I67" s="17">
        <v>43650</v>
      </c>
      <c r="J67" s="17">
        <v>43677</v>
      </c>
      <c r="K67" s="3">
        <f>J67-I67+1</f>
        <v>28</v>
      </c>
      <c r="L67" s="3">
        <f>ROUND(G67*H67*K67/365,0)</f>
        <v>110466</v>
      </c>
      <c r="M67" s="3">
        <v>96000000</v>
      </c>
    </row>
    <row r="68" spans="1:13" s="16" customFormat="1" outlineLevel="2">
      <c r="A68" s="17" t="s">
        <v>106</v>
      </c>
      <c r="B68" s="18" t="s">
        <v>99</v>
      </c>
      <c r="C68" s="19" t="s">
        <v>85</v>
      </c>
      <c r="D68" s="18" t="s">
        <v>84</v>
      </c>
      <c r="E68" s="3">
        <v>347000000</v>
      </c>
      <c r="F68" s="17">
        <v>43656</v>
      </c>
      <c r="G68" s="3">
        <v>347000000</v>
      </c>
      <c r="H68" s="2">
        <v>1.4999999999999999E-2</v>
      </c>
      <c r="I68" s="17">
        <v>43656</v>
      </c>
      <c r="J68" s="17">
        <v>43677</v>
      </c>
      <c r="K68" s="3">
        <f>J68-I68+1</f>
        <v>22</v>
      </c>
      <c r="L68" s="3">
        <f>ROUND(G68*H68*K68/365,0)</f>
        <v>313726</v>
      </c>
      <c r="M68" s="3">
        <v>347000000</v>
      </c>
    </row>
    <row r="69" spans="1:13" s="16" customFormat="1" outlineLevel="2">
      <c r="A69" s="17" t="s">
        <v>106</v>
      </c>
      <c r="B69" s="18" t="s">
        <v>98</v>
      </c>
      <c r="C69" s="19" t="s">
        <v>81</v>
      </c>
      <c r="D69" s="18" t="s">
        <v>80</v>
      </c>
      <c r="E69" s="3">
        <v>93146000</v>
      </c>
      <c r="F69" s="17">
        <v>43663</v>
      </c>
      <c r="G69" s="3">
        <v>93146000</v>
      </c>
      <c r="H69" s="2">
        <v>1.4999999999999999E-2</v>
      </c>
      <c r="I69" s="17">
        <v>43663</v>
      </c>
      <c r="J69" s="17">
        <v>43677</v>
      </c>
      <c r="K69" s="3">
        <f>J69-I69+1</f>
        <v>15</v>
      </c>
      <c r="L69" s="3">
        <f>ROUND(G69*H69*K69/365,0)</f>
        <v>57419</v>
      </c>
      <c r="M69" s="3">
        <v>93146000</v>
      </c>
    </row>
    <row r="70" spans="1:13" s="16" customFormat="1" outlineLevel="2">
      <c r="A70" s="17" t="s">
        <v>106</v>
      </c>
      <c r="B70" s="18" t="s">
        <v>97</v>
      </c>
      <c r="C70" s="19" t="s">
        <v>81</v>
      </c>
      <c r="D70" s="18" t="s">
        <v>80</v>
      </c>
      <c r="E70" s="3">
        <v>44447000</v>
      </c>
      <c r="F70" s="17">
        <v>43663</v>
      </c>
      <c r="G70" s="3">
        <v>44447000</v>
      </c>
      <c r="H70" s="2">
        <v>1.4999999999999999E-2</v>
      </c>
      <c r="I70" s="17">
        <v>43663</v>
      </c>
      <c r="J70" s="17">
        <v>43677</v>
      </c>
      <c r="K70" s="3">
        <f>J70-I70+1</f>
        <v>15</v>
      </c>
      <c r="L70" s="3">
        <f>ROUND(G70*H70*K70/365,0)</f>
        <v>27399</v>
      </c>
      <c r="M70" s="3">
        <v>44447000</v>
      </c>
    </row>
    <row r="71" spans="1:13" s="16" customFormat="1" outlineLevel="2">
      <c r="A71" s="17" t="s">
        <v>106</v>
      </c>
      <c r="B71" s="18" t="s">
        <v>96</v>
      </c>
      <c r="C71" s="19" t="s">
        <v>115</v>
      </c>
      <c r="D71" s="18" t="s">
        <v>114</v>
      </c>
      <c r="E71" s="3">
        <v>21200000</v>
      </c>
      <c r="F71" s="17">
        <v>43672</v>
      </c>
      <c r="G71" s="3">
        <v>21200000</v>
      </c>
      <c r="H71" s="2">
        <v>5.0000000000000001E-3</v>
      </c>
      <c r="I71" s="17">
        <v>43672</v>
      </c>
      <c r="J71" s="17">
        <v>43677</v>
      </c>
      <c r="K71" s="3">
        <f>J71-I71+1</f>
        <v>6</v>
      </c>
      <c r="L71" s="3">
        <f>ROUND(G71*H71*K71/365,0)</f>
        <v>1742</v>
      </c>
      <c r="M71" s="3">
        <v>21200000</v>
      </c>
    </row>
    <row r="72" spans="1:13" s="16" customFormat="1" outlineLevel="2">
      <c r="A72" s="17" t="s">
        <v>106</v>
      </c>
      <c r="B72" s="18" t="s">
        <v>95</v>
      </c>
      <c r="C72" s="19" t="s">
        <v>71</v>
      </c>
      <c r="D72" s="18" t="s">
        <v>70</v>
      </c>
      <c r="E72" s="3">
        <v>1858500</v>
      </c>
      <c r="F72" s="17">
        <v>43675</v>
      </c>
      <c r="G72" s="3">
        <v>1858500</v>
      </c>
      <c r="H72" s="2">
        <v>1.4999999999999999E-2</v>
      </c>
      <c r="I72" s="17">
        <v>43675</v>
      </c>
      <c r="J72" s="17">
        <v>43677</v>
      </c>
      <c r="K72" s="3">
        <f>J72-I72+1</f>
        <v>3</v>
      </c>
      <c r="L72" s="3">
        <f>ROUND(G72*H72*K72/365,0)</f>
        <v>229</v>
      </c>
      <c r="M72" s="3">
        <v>1858500</v>
      </c>
    </row>
    <row r="73" spans="1:13" s="16" customFormat="1" outlineLevel="2">
      <c r="A73" s="17" t="s">
        <v>106</v>
      </c>
      <c r="B73" s="18" t="s">
        <v>92</v>
      </c>
      <c r="C73" s="19" t="s">
        <v>113</v>
      </c>
      <c r="D73" s="18" t="s">
        <v>112</v>
      </c>
      <c r="E73" s="3">
        <v>980000000</v>
      </c>
      <c r="F73" s="17">
        <v>43671</v>
      </c>
      <c r="G73" s="3">
        <v>980000000</v>
      </c>
      <c r="H73" s="2">
        <v>1.4999999999999999E-2</v>
      </c>
      <c r="I73" s="17">
        <v>43671</v>
      </c>
      <c r="J73" s="17">
        <v>43677</v>
      </c>
      <c r="K73" s="3">
        <f>J73-I73+1</f>
        <v>7</v>
      </c>
      <c r="L73" s="3">
        <f>ROUND(G73*H73*K73/365,0)</f>
        <v>281918</v>
      </c>
      <c r="M73" s="3">
        <v>980000000</v>
      </c>
    </row>
    <row r="74" spans="1:13" s="16" customFormat="1" outlineLevel="2">
      <c r="A74" s="17" t="s">
        <v>106</v>
      </c>
      <c r="B74" s="18" t="s">
        <v>91</v>
      </c>
      <c r="C74" s="19" t="s">
        <v>110</v>
      </c>
      <c r="D74" s="18" t="s">
        <v>109</v>
      </c>
      <c r="E74" s="3">
        <v>7302000</v>
      </c>
      <c r="F74" s="17">
        <v>43661</v>
      </c>
      <c r="G74" s="3">
        <v>7302000</v>
      </c>
      <c r="H74" s="2">
        <v>1.4999999999999999E-2</v>
      </c>
      <c r="I74" s="17">
        <v>43661</v>
      </c>
      <c r="J74" s="17">
        <v>43677</v>
      </c>
      <c r="K74" s="3">
        <f>J74-I74+1</f>
        <v>17</v>
      </c>
      <c r="L74" s="3">
        <f>ROUND(G74*H74*K74/365,0)</f>
        <v>5101</v>
      </c>
      <c r="M74" s="3">
        <v>7302000</v>
      </c>
    </row>
    <row r="75" spans="1:13" s="16" customFormat="1" outlineLevel="2">
      <c r="A75" s="17" t="s">
        <v>106</v>
      </c>
      <c r="B75" s="18" t="s">
        <v>88</v>
      </c>
      <c r="C75" s="19" t="s">
        <v>111</v>
      </c>
      <c r="D75" s="18" t="s">
        <v>107</v>
      </c>
      <c r="E75" s="3">
        <v>11202000</v>
      </c>
      <c r="F75" s="17">
        <v>43641</v>
      </c>
      <c r="G75" s="3">
        <v>11202000</v>
      </c>
      <c r="H75" s="2">
        <v>1.4999999999999999E-2</v>
      </c>
      <c r="I75" s="17">
        <v>43647</v>
      </c>
      <c r="J75" s="17">
        <v>43677</v>
      </c>
      <c r="K75" s="3">
        <f>J75-I75+1</f>
        <v>31</v>
      </c>
      <c r="L75" s="3">
        <f>ROUND(G75*H75*K75/365,0)</f>
        <v>14271</v>
      </c>
      <c r="M75" s="3">
        <v>11202000</v>
      </c>
    </row>
    <row r="76" spans="1:13" s="16" customFormat="1" outlineLevel="2">
      <c r="A76" s="17" t="s">
        <v>106</v>
      </c>
      <c r="B76" s="18" t="s">
        <v>87</v>
      </c>
      <c r="C76" s="19" t="s">
        <v>110</v>
      </c>
      <c r="D76" s="18" t="s">
        <v>109</v>
      </c>
      <c r="E76" s="3">
        <v>98492000</v>
      </c>
      <c r="F76" s="17">
        <v>43661</v>
      </c>
      <c r="G76" s="3">
        <v>98492000</v>
      </c>
      <c r="H76" s="2">
        <v>1.4999999999999999E-2</v>
      </c>
      <c r="I76" s="17">
        <v>43661</v>
      </c>
      <c r="J76" s="17">
        <v>43677</v>
      </c>
      <c r="K76" s="3">
        <f>J76-I76+1</f>
        <v>17</v>
      </c>
      <c r="L76" s="3">
        <f>ROUND(G76*H76*K76/365,0)</f>
        <v>68809</v>
      </c>
      <c r="M76" s="3">
        <v>98492000</v>
      </c>
    </row>
    <row r="77" spans="1:13" s="16" customFormat="1" outlineLevel="2">
      <c r="A77" s="17" t="s">
        <v>106</v>
      </c>
      <c r="B77" s="18" t="s">
        <v>79</v>
      </c>
      <c r="C77" s="19" t="s">
        <v>108</v>
      </c>
      <c r="D77" s="18" t="s">
        <v>107</v>
      </c>
      <c r="E77" s="3">
        <v>2382000</v>
      </c>
      <c r="F77" s="17">
        <v>43647</v>
      </c>
      <c r="G77" s="3">
        <v>2382000</v>
      </c>
      <c r="H77" s="2">
        <v>1.4999999999999999E-2</v>
      </c>
      <c r="I77" s="17">
        <v>43647</v>
      </c>
      <c r="J77" s="17">
        <v>43677</v>
      </c>
      <c r="K77" s="3">
        <f>J77-I77+1</f>
        <v>31</v>
      </c>
      <c r="L77" s="3">
        <f>ROUND(G77*H77*K77/365,0)</f>
        <v>3035</v>
      </c>
      <c r="M77" s="3">
        <v>2382000</v>
      </c>
    </row>
    <row r="78" spans="1:13" s="16" customFormat="1" outlineLevel="2">
      <c r="A78" s="17" t="s">
        <v>106</v>
      </c>
      <c r="B78" s="18" t="s">
        <v>78</v>
      </c>
      <c r="C78" s="19" t="s">
        <v>108</v>
      </c>
      <c r="D78" s="18" t="s">
        <v>107</v>
      </c>
      <c r="E78" s="3">
        <v>25917000</v>
      </c>
      <c r="F78" s="17">
        <v>43651</v>
      </c>
      <c r="G78" s="3">
        <v>25917000</v>
      </c>
      <c r="H78" s="2">
        <v>1.4999999999999999E-2</v>
      </c>
      <c r="I78" s="17">
        <v>43651</v>
      </c>
      <c r="J78" s="17">
        <v>43677</v>
      </c>
      <c r="K78" s="3">
        <f>J78-I78+1</f>
        <v>27</v>
      </c>
      <c r="L78" s="3">
        <f>ROUND(G78*H78*K78/365,0)</f>
        <v>28757</v>
      </c>
      <c r="M78" s="3">
        <v>25917000</v>
      </c>
    </row>
    <row r="79" spans="1:13" s="16" customFormat="1" outlineLevel="2">
      <c r="A79" s="17" t="s">
        <v>106</v>
      </c>
      <c r="B79" s="18" t="s">
        <v>77</v>
      </c>
      <c r="C79" s="19" t="s">
        <v>108</v>
      </c>
      <c r="D79" s="18" t="s">
        <v>107</v>
      </c>
      <c r="E79" s="3">
        <v>5067000</v>
      </c>
      <c r="F79" s="17">
        <v>43661</v>
      </c>
      <c r="G79" s="3">
        <v>5067000</v>
      </c>
      <c r="H79" s="2">
        <v>1.4999999999999999E-2</v>
      </c>
      <c r="I79" s="17">
        <v>43661</v>
      </c>
      <c r="J79" s="17">
        <v>43677</v>
      </c>
      <c r="K79" s="3">
        <f>J79-I79+1</f>
        <v>17</v>
      </c>
      <c r="L79" s="3">
        <f>ROUND(G79*H79*K79/365,0)</f>
        <v>3540</v>
      </c>
      <c r="M79" s="3">
        <v>5067000</v>
      </c>
    </row>
    <row r="80" spans="1:13" s="16" customFormat="1" outlineLevel="2">
      <c r="A80" s="17" t="s">
        <v>106</v>
      </c>
      <c r="B80" s="18" t="s">
        <v>76</v>
      </c>
      <c r="C80" s="19" t="s">
        <v>108</v>
      </c>
      <c r="D80" s="18" t="s">
        <v>107</v>
      </c>
      <c r="E80" s="3">
        <v>1214000</v>
      </c>
      <c r="F80" s="17">
        <v>43664</v>
      </c>
      <c r="G80" s="3">
        <v>1214000</v>
      </c>
      <c r="H80" s="2">
        <v>1.4999999999999999E-2</v>
      </c>
      <c r="I80" s="17">
        <v>43664</v>
      </c>
      <c r="J80" s="17">
        <v>43677</v>
      </c>
      <c r="K80" s="3">
        <f>J80-I80+1</f>
        <v>14</v>
      </c>
      <c r="L80" s="3">
        <f>ROUND(G80*H80*K80/365,0)</f>
        <v>698</v>
      </c>
      <c r="M80" s="3">
        <v>1214000</v>
      </c>
    </row>
    <row r="81" spans="1:13" s="16" customFormat="1" outlineLevel="2">
      <c r="A81" s="17" t="s">
        <v>106</v>
      </c>
      <c r="B81" s="18" t="s">
        <v>75</v>
      </c>
      <c r="C81" s="19" t="s">
        <v>108</v>
      </c>
      <c r="D81" s="18" t="s">
        <v>107</v>
      </c>
      <c r="E81" s="3">
        <v>8346000</v>
      </c>
      <c r="F81" s="17">
        <v>43671</v>
      </c>
      <c r="G81" s="3">
        <v>8346000</v>
      </c>
      <c r="H81" s="2">
        <v>1.4999999999999999E-2</v>
      </c>
      <c r="I81" s="17">
        <v>43671</v>
      </c>
      <c r="J81" s="17">
        <v>43677</v>
      </c>
      <c r="K81" s="3">
        <f>J81-I81+1</f>
        <v>7</v>
      </c>
      <c r="L81" s="3">
        <f>ROUND(G81*H81*K81/365,0)</f>
        <v>2401</v>
      </c>
      <c r="M81" s="3">
        <v>8346000</v>
      </c>
    </row>
    <row r="82" spans="1:13" s="16" customFormat="1" outlineLevel="2">
      <c r="A82" s="17" t="s">
        <v>106</v>
      </c>
      <c r="B82" s="18" t="s">
        <v>74</v>
      </c>
      <c r="C82" s="19" t="s">
        <v>108</v>
      </c>
      <c r="D82" s="18" t="s">
        <v>107</v>
      </c>
      <c r="E82" s="3">
        <v>4626000</v>
      </c>
      <c r="F82" s="17">
        <v>43677</v>
      </c>
      <c r="G82" s="3">
        <v>4626000</v>
      </c>
      <c r="H82" s="2">
        <v>1.4999999999999999E-2</v>
      </c>
      <c r="I82" s="17">
        <v>43677</v>
      </c>
      <c r="J82" s="17">
        <v>43677</v>
      </c>
      <c r="K82" s="3">
        <f>J82-I82+1</f>
        <v>1</v>
      </c>
      <c r="L82" s="3">
        <f>ROUND(G82*H82*K82/365,0)</f>
        <v>190</v>
      </c>
      <c r="M82" s="3">
        <v>4626000</v>
      </c>
    </row>
    <row r="83" spans="1:13" s="16" customFormat="1" outlineLevel="2">
      <c r="A83" s="17" t="s">
        <v>106</v>
      </c>
      <c r="B83" s="18" t="s">
        <v>72</v>
      </c>
      <c r="C83" s="19" t="s">
        <v>105</v>
      </c>
      <c r="D83" s="18" t="s">
        <v>84</v>
      </c>
      <c r="E83" s="3">
        <v>900000000</v>
      </c>
      <c r="F83" s="17">
        <v>43649</v>
      </c>
      <c r="G83" s="3">
        <v>900000000</v>
      </c>
      <c r="H83" s="2">
        <v>1.4999999999999999E-2</v>
      </c>
      <c r="I83" s="17">
        <v>43649</v>
      </c>
      <c r="J83" s="17">
        <v>43677</v>
      </c>
      <c r="K83" s="3">
        <f>J83-I83+1</f>
        <v>29</v>
      </c>
      <c r="L83" s="3">
        <f>ROUND(G83*H83*K83/365,0)</f>
        <v>1072603</v>
      </c>
      <c r="M83" s="3">
        <v>900000000</v>
      </c>
    </row>
    <row r="84" spans="1:13" s="16" customFormat="1" outlineLevel="1">
      <c r="A84" s="28" t="s">
        <v>53</v>
      </c>
      <c r="B84" s="43"/>
      <c r="C84" s="44"/>
      <c r="D84" s="43"/>
      <c r="E84" s="45">
        <f>SUBTOTAL(9,E64:E83)</f>
        <v>2751855500</v>
      </c>
      <c r="F84" s="46"/>
      <c r="G84" s="45"/>
      <c r="H84" s="47"/>
      <c r="I84" s="46"/>
      <c r="J84" s="46"/>
      <c r="K84" s="45"/>
      <c r="L84" s="45">
        <f>SUBTOTAL(9,L64:L83)</f>
        <v>2018537</v>
      </c>
      <c r="M84" s="45">
        <f>SUBTOTAL(9,M64:M83)</f>
        <v>2751855500</v>
      </c>
    </row>
    <row r="85" spans="1:13" s="16" customFormat="1" outlineLevel="2">
      <c r="A85" s="17" t="s">
        <v>104</v>
      </c>
      <c r="B85" s="18" t="s">
        <v>103</v>
      </c>
      <c r="C85" s="19" t="s">
        <v>85</v>
      </c>
      <c r="D85" s="18" t="s">
        <v>84</v>
      </c>
      <c r="E85" s="3">
        <v>350000000</v>
      </c>
      <c r="F85" s="17">
        <v>43644</v>
      </c>
      <c r="G85" s="3">
        <v>350000000</v>
      </c>
      <c r="H85" s="2">
        <v>1.4999999999999999E-2</v>
      </c>
      <c r="I85" s="17">
        <v>43647</v>
      </c>
      <c r="J85" s="17">
        <v>43677</v>
      </c>
      <c r="K85" s="3">
        <f>J85-I85+1</f>
        <v>31</v>
      </c>
      <c r="L85" s="3">
        <f>ROUND(G85*H85*K85/365,0)</f>
        <v>445890</v>
      </c>
      <c r="M85" s="3">
        <v>350000000</v>
      </c>
    </row>
    <row r="86" spans="1:13" s="16" customFormat="1" outlineLevel="2">
      <c r="A86" s="17" t="s">
        <v>104</v>
      </c>
      <c r="B86" s="18" t="s">
        <v>88</v>
      </c>
      <c r="C86" s="19" t="s">
        <v>85</v>
      </c>
      <c r="D86" s="18" t="s">
        <v>84</v>
      </c>
      <c r="E86" s="3">
        <v>200000000</v>
      </c>
      <c r="F86" s="17">
        <v>43620</v>
      </c>
      <c r="G86" s="3">
        <v>200000000</v>
      </c>
      <c r="H86" s="2">
        <v>1.4999999999999999E-2</v>
      </c>
      <c r="I86" s="17">
        <v>43647</v>
      </c>
      <c r="J86" s="17">
        <v>43677</v>
      </c>
      <c r="K86" s="3">
        <f>J86-I86+1</f>
        <v>31</v>
      </c>
      <c r="L86" s="3">
        <f>ROUND(G86*H86*K86/365,0)</f>
        <v>254795</v>
      </c>
      <c r="M86" s="3">
        <v>200000000</v>
      </c>
    </row>
    <row r="87" spans="1:13" s="16" customFormat="1" outlineLevel="2">
      <c r="A87" s="17" t="s">
        <v>104</v>
      </c>
      <c r="B87" s="18" t="s">
        <v>79</v>
      </c>
      <c r="C87" s="19" t="s">
        <v>85</v>
      </c>
      <c r="D87" s="18" t="s">
        <v>84</v>
      </c>
      <c r="E87" s="3">
        <v>200000000</v>
      </c>
      <c r="F87" s="17">
        <v>43644</v>
      </c>
      <c r="G87" s="3">
        <v>200000000</v>
      </c>
      <c r="H87" s="2">
        <v>1.4999999999999999E-2</v>
      </c>
      <c r="I87" s="17">
        <v>43647</v>
      </c>
      <c r="J87" s="17">
        <v>43677</v>
      </c>
      <c r="K87" s="3">
        <f>J87-I87+1</f>
        <v>31</v>
      </c>
      <c r="L87" s="3">
        <f>ROUND(G87*H87*K87/365,0)</f>
        <v>254795</v>
      </c>
      <c r="M87" s="3">
        <v>200000000</v>
      </c>
    </row>
    <row r="88" spans="1:13" s="16" customFormat="1" outlineLevel="2">
      <c r="A88" s="17" t="s">
        <v>104</v>
      </c>
      <c r="B88" s="18" t="s">
        <v>78</v>
      </c>
      <c r="C88" s="19" t="s">
        <v>85</v>
      </c>
      <c r="D88" s="18" t="s">
        <v>84</v>
      </c>
      <c r="E88" s="3">
        <v>380000000</v>
      </c>
      <c r="F88" s="17">
        <v>43656</v>
      </c>
      <c r="G88" s="3">
        <v>380000000</v>
      </c>
      <c r="H88" s="2">
        <v>1.4999999999999999E-2</v>
      </c>
      <c r="I88" s="17">
        <v>43656</v>
      </c>
      <c r="J88" s="17">
        <v>43677</v>
      </c>
      <c r="K88" s="3">
        <f>J88-I88+1</f>
        <v>22</v>
      </c>
      <c r="L88" s="3">
        <f>ROUND(G88*H88*K88/365,0)</f>
        <v>343562</v>
      </c>
      <c r="M88" s="3">
        <v>380000000</v>
      </c>
    </row>
    <row r="89" spans="1:13" s="16" customFormat="1" outlineLevel="2">
      <c r="A89" s="17" t="s">
        <v>104</v>
      </c>
      <c r="B89" s="18" t="s">
        <v>77</v>
      </c>
      <c r="C89" s="19" t="s">
        <v>85</v>
      </c>
      <c r="D89" s="18" t="s">
        <v>84</v>
      </c>
      <c r="E89" s="3">
        <v>370000000</v>
      </c>
      <c r="F89" s="17">
        <v>43677</v>
      </c>
      <c r="G89" s="3">
        <v>370000000</v>
      </c>
      <c r="H89" s="2">
        <v>1.4999999999999999E-2</v>
      </c>
      <c r="I89" s="17">
        <v>43677</v>
      </c>
      <c r="J89" s="17">
        <v>43677</v>
      </c>
      <c r="K89" s="3">
        <f>J89-I89+1</f>
        <v>1</v>
      </c>
      <c r="L89" s="3">
        <f>ROUND(G89*H89*K89/365,0)</f>
        <v>15205</v>
      </c>
      <c r="M89" s="3">
        <v>370000000</v>
      </c>
    </row>
    <row r="90" spans="1:13" s="16" customFormat="1" outlineLevel="1">
      <c r="A90" s="28" t="s">
        <v>49</v>
      </c>
      <c r="B90" s="43"/>
      <c r="C90" s="44"/>
      <c r="D90" s="43"/>
      <c r="E90" s="45">
        <f>SUBTOTAL(9,E85:E89)</f>
        <v>1500000000</v>
      </c>
      <c r="F90" s="46"/>
      <c r="G90" s="45"/>
      <c r="H90" s="47"/>
      <c r="I90" s="46"/>
      <c r="J90" s="46"/>
      <c r="K90" s="45"/>
      <c r="L90" s="45">
        <f>SUBTOTAL(9,L85:L89)</f>
        <v>1314247</v>
      </c>
      <c r="M90" s="45">
        <f>SUBTOTAL(9,M85:M89)</f>
        <v>1500000000</v>
      </c>
    </row>
    <row r="91" spans="1:13" s="16" customFormat="1" outlineLevel="2">
      <c r="A91" s="17" t="s">
        <v>73</v>
      </c>
      <c r="B91" s="18" t="s">
        <v>103</v>
      </c>
      <c r="C91" s="19" t="s">
        <v>71</v>
      </c>
      <c r="D91" s="18" t="s">
        <v>70</v>
      </c>
      <c r="E91" s="3">
        <v>25874221</v>
      </c>
      <c r="F91" s="17">
        <v>43605</v>
      </c>
      <c r="G91" s="3">
        <v>25874221</v>
      </c>
      <c r="H91" s="2">
        <v>1.4999999999999999E-2</v>
      </c>
      <c r="I91" s="17">
        <v>43647</v>
      </c>
      <c r="J91" s="17">
        <v>43677</v>
      </c>
      <c r="K91" s="3">
        <f>J91-I91+1</f>
        <v>31</v>
      </c>
      <c r="L91" s="3">
        <f>ROUND(G91*H91*K91/365,0)</f>
        <v>32963</v>
      </c>
      <c r="M91" s="3">
        <v>25874221</v>
      </c>
    </row>
    <row r="92" spans="1:13" s="16" customFormat="1" outlineLevel="2">
      <c r="A92" s="17" t="s">
        <v>73</v>
      </c>
      <c r="B92" s="18" t="s">
        <v>102</v>
      </c>
      <c r="C92" s="19" t="s">
        <v>71</v>
      </c>
      <c r="D92" s="18" t="s">
        <v>70</v>
      </c>
      <c r="E92" s="3">
        <v>3361050</v>
      </c>
      <c r="F92" s="17">
        <v>43654</v>
      </c>
      <c r="G92" s="3">
        <v>3361050</v>
      </c>
      <c r="H92" s="2">
        <v>1.4999999999999999E-2</v>
      </c>
      <c r="I92" s="17">
        <v>43654</v>
      </c>
      <c r="J92" s="17">
        <v>43677</v>
      </c>
      <c r="K92" s="3">
        <f>J92-I92+1</f>
        <v>24</v>
      </c>
      <c r="L92" s="3">
        <f>ROUND(G92*H92*K92/365,0)</f>
        <v>3315</v>
      </c>
      <c r="M92" s="3">
        <v>3361050</v>
      </c>
    </row>
    <row r="93" spans="1:13" s="16" customFormat="1" outlineLevel="2">
      <c r="A93" s="17" t="s">
        <v>73</v>
      </c>
      <c r="B93" s="18" t="s">
        <v>101</v>
      </c>
      <c r="C93" s="19" t="s">
        <v>71</v>
      </c>
      <c r="D93" s="18" t="s">
        <v>70</v>
      </c>
      <c r="E93" s="3">
        <v>23833840</v>
      </c>
      <c r="F93" s="17">
        <v>43664</v>
      </c>
      <c r="G93" s="3">
        <v>23833840</v>
      </c>
      <c r="H93" s="2">
        <v>1.4999999999999999E-2</v>
      </c>
      <c r="I93" s="17">
        <v>43664</v>
      </c>
      <c r="J93" s="17">
        <v>43677</v>
      </c>
      <c r="K93" s="3">
        <f>J93-I93+1</f>
        <v>14</v>
      </c>
      <c r="L93" s="3">
        <f>ROUND(G93*H93*K93/365,0)</f>
        <v>13713</v>
      </c>
      <c r="M93" s="3">
        <v>23833840</v>
      </c>
    </row>
    <row r="94" spans="1:13" s="16" customFormat="1" outlineLevel="2">
      <c r="A94" s="17" t="s">
        <v>73</v>
      </c>
      <c r="B94" s="18" t="s">
        <v>100</v>
      </c>
      <c r="C94" s="19" t="s">
        <v>71</v>
      </c>
      <c r="D94" s="18" t="s">
        <v>70</v>
      </c>
      <c r="E94" s="3">
        <v>92130451</v>
      </c>
      <c r="F94" s="17">
        <v>43665</v>
      </c>
      <c r="G94" s="3">
        <v>92130451</v>
      </c>
      <c r="H94" s="2">
        <v>1.4999999999999999E-2</v>
      </c>
      <c r="I94" s="17">
        <v>43665</v>
      </c>
      <c r="J94" s="17">
        <v>43677</v>
      </c>
      <c r="K94" s="3">
        <f>J94-I94+1</f>
        <v>13</v>
      </c>
      <c r="L94" s="3">
        <f>ROUND(G94*H94*K94/365,0)</f>
        <v>49220</v>
      </c>
      <c r="M94" s="3">
        <v>92130451</v>
      </c>
    </row>
    <row r="95" spans="1:13" s="16" customFormat="1" outlineLevel="2">
      <c r="A95" s="17" t="s">
        <v>73</v>
      </c>
      <c r="B95" s="18" t="s">
        <v>99</v>
      </c>
      <c r="C95" s="19" t="s">
        <v>71</v>
      </c>
      <c r="D95" s="18" t="s">
        <v>70</v>
      </c>
      <c r="E95" s="3">
        <v>13975915</v>
      </c>
      <c r="F95" s="17">
        <v>43675</v>
      </c>
      <c r="G95" s="3">
        <v>13975915</v>
      </c>
      <c r="H95" s="2">
        <v>1.4999999999999999E-2</v>
      </c>
      <c r="I95" s="17">
        <v>43675</v>
      </c>
      <c r="J95" s="17">
        <v>43677</v>
      </c>
      <c r="K95" s="3">
        <f>J95-I95+1</f>
        <v>3</v>
      </c>
      <c r="L95" s="3">
        <f>ROUND(G95*H95*K95/365,0)</f>
        <v>1723</v>
      </c>
      <c r="M95" s="3">
        <v>13975915</v>
      </c>
    </row>
    <row r="96" spans="1:13" s="16" customFormat="1" outlineLevel="2">
      <c r="A96" s="17" t="s">
        <v>73</v>
      </c>
      <c r="B96" s="18" t="s">
        <v>98</v>
      </c>
      <c r="C96" s="19" t="s">
        <v>71</v>
      </c>
      <c r="D96" s="18" t="s">
        <v>70</v>
      </c>
      <c r="E96" s="3">
        <v>16675884</v>
      </c>
      <c r="F96" s="17">
        <v>43654</v>
      </c>
      <c r="G96" s="3">
        <v>16675884</v>
      </c>
      <c r="H96" s="2">
        <v>1.4999999999999999E-2</v>
      </c>
      <c r="I96" s="17">
        <v>43654</v>
      </c>
      <c r="J96" s="17">
        <v>43677</v>
      </c>
      <c r="K96" s="3">
        <f>J96-I96+1</f>
        <v>24</v>
      </c>
      <c r="L96" s="3">
        <f>ROUND(G96*H96*K96/365,0)</f>
        <v>16447</v>
      </c>
      <c r="M96" s="3">
        <v>16675884</v>
      </c>
    </row>
    <row r="97" spans="1:13" s="16" customFormat="1" outlineLevel="2">
      <c r="A97" s="17" t="s">
        <v>73</v>
      </c>
      <c r="B97" s="18" t="s">
        <v>97</v>
      </c>
      <c r="C97" s="19" t="s">
        <v>71</v>
      </c>
      <c r="D97" s="18" t="s">
        <v>70</v>
      </c>
      <c r="E97" s="3">
        <v>44604939</v>
      </c>
      <c r="F97" s="17">
        <v>43664</v>
      </c>
      <c r="G97" s="3">
        <v>44604939</v>
      </c>
      <c r="H97" s="2">
        <v>1.4999999999999999E-2</v>
      </c>
      <c r="I97" s="17">
        <v>43664</v>
      </c>
      <c r="J97" s="17">
        <v>43677</v>
      </c>
      <c r="K97" s="3">
        <f>J97-I97+1</f>
        <v>14</v>
      </c>
      <c r="L97" s="3">
        <f>ROUND(G97*H97*K97/365,0)</f>
        <v>25663</v>
      </c>
      <c r="M97" s="3">
        <v>44604939</v>
      </c>
    </row>
    <row r="98" spans="1:13" s="16" customFormat="1" outlineLevel="2">
      <c r="A98" s="17" t="s">
        <v>73</v>
      </c>
      <c r="B98" s="18" t="s">
        <v>96</v>
      </c>
      <c r="C98" s="19" t="s">
        <v>71</v>
      </c>
      <c r="D98" s="18" t="s">
        <v>70</v>
      </c>
      <c r="E98" s="3">
        <v>3069360</v>
      </c>
      <c r="F98" s="17">
        <v>43675</v>
      </c>
      <c r="G98" s="3">
        <v>3069360</v>
      </c>
      <c r="H98" s="2">
        <v>1.4999999999999999E-2</v>
      </c>
      <c r="I98" s="17">
        <v>43675</v>
      </c>
      <c r="J98" s="17">
        <v>43677</v>
      </c>
      <c r="K98" s="3">
        <f>J98-I98+1</f>
        <v>3</v>
      </c>
      <c r="L98" s="3">
        <f>ROUND(G98*H98*K98/365,0)</f>
        <v>378</v>
      </c>
      <c r="M98" s="3">
        <v>3069360</v>
      </c>
    </row>
    <row r="99" spans="1:13" s="16" customFormat="1" outlineLevel="2">
      <c r="A99" s="17" t="s">
        <v>73</v>
      </c>
      <c r="B99" s="18" t="s">
        <v>95</v>
      </c>
      <c r="C99" s="19" t="s">
        <v>94</v>
      </c>
      <c r="D99" s="18" t="s">
        <v>93</v>
      </c>
      <c r="E99" s="3">
        <v>1000000000</v>
      </c>
      <c r="F99" s="17">
        <v>43672</v>
      </c>
      <c r="G99" s="3">
        <v>1000000000</v>
      </c>
      <c r="H99" s="2">
        <v>1.4999999999999999E-2</v>
      </c>
      <c r="I99" s="17">
        <v>43672</v>
      </c>
      <c r="J99" s="17">
        <v>43677</v>
      </c>
      <c r="K99" s="3">
        <f>J99-I99+1</f>
        <v>6</v>
      </c>
      <c r="L99" s="3">
        <f>ROUND(G99*H99*K99/365,0)</f>
        <v>246575</v>
      </c>
      <c r="M99" s="3">
        <v>1000000000</v>
      </c>
    </row>
    <row r="100" spans="1:13" s="16" customFormat="1" outlineLevel="2">
      <c r="A100" s="17" t="s">
        <v>73</v>
      </c>
      <c r="B100" s="18" t="s">
        <v>92</v>
      </c>
      <c r="C100" s="19" t="s">
        <v>90</v>
      </c>
      <c r="D100" s="18" t="s">
        <v>89</v>
      </c>
      <c r="E100" s="3">
        <v>1300000</v>
      </c>
      <c r="F100" s="17">
        <v>43672</v>
      </c>
      <c r="G100" s="3">
        <v>1300000</v>
      </c>
      <c r="H100" s="2">
        <v>1.4999999999999999E-2</v>
      </c>
      <c r="I100" s="17">
        <v>43672</v>
      </c>
      <c r="J100" s="17">
        <v>43677</v>
      </c>
      <c r="K100" s="3">
        <f>J100-I100+1</f>
        <v>6</v>
      </c>
      <c r="L100" s="3">
        <f>ROUND(G100*H100*K100/365,0)</f>
        <v>321</v>
      </c>
      <c r="M100" s="3">
        <v>1300000</v>
      </c>
    </row>
    <row r="101" spans="1:13" s="16" customFormat="1" outlineLevel="2">
      <c r="A101" s="17" t="s">
        <v>73</v>
      </c>
      <c r="B101" s="18" t="s">
        <v>91</v>
      </c>
      <c r="C101" s="19" t="s">
        <v>90</v>
      </c>
      <c r="D101" s="18" t="s">
        <v>89</v>
      </c>
      <c r="E101" s="3">
        <v>7780000</v>
      </c>
      <c r="F101" s="17">
        <v>43672</v>
      </c>
      <c r="G101" s="3">
        <v>7780000</v>
      </c>
      <c r="H101" s="2">
        <v>1.4999999999999999E-2</v>
      </c>
      <c r="I101" s="17">
        <v>43672</v>
      </c>
      <c r="J101" s="17">
        <v>43677</v>
      </c>
      <c r="K101" s="3">
        <f>J101-I101+1</f>
        <v>6</v>
      </c>
      <c r="L101" s="3">
        <f>ROUND(G101*H101*K101/365,0)</f>
        <v>1918</v>
      </c>
      <c r="M101" s="3">
        <v>7780000</v>
      </c>
    </row>
    <row r="102" spans="1:13" s="16" customFormat="1" outlineLevel="2">
      <c r="A102" s="17" t="s">
        <v>73</v>
      </c>
      <c r="B102" s="18" t="s">
        <v>88</v>
      </c>
      <c r="C102" s="19" t="s">
        <v>71</v>
      </c>
      <c r="D102" s="18" t="s">
        <v>70</v>
      </c>
      <c r="E102" s="3">
        <v>7967807</v>
      </c>
      <c r="F102" s="17">
        <v>43613</v>
      </c>
      <c r="G102" s="3">
        <v>7967807</v>
      </c>
      <c r="H102" s="2">
        <v>1.4999999999999999E-2</v>
      </c>
      <c r="I102" s="17">
        <v>43647</v>
      </c>
      <c r="J102" s="17">
        <v>43677</v>
      </c>
      <c r="K102" s="3">
        <f>J102-I102+1</f>
        <v>31</v>
      </c>
      <c r="L102" s="3">
        <f>ROUND(G102*H102*K102/365,0)</f>
        <v>10151</v>
      </c>
      <c r="M102" s="3">
        <v>7967807</v>
      </c>
    </row>
    <row r="103" spans="1:13" s="16" customFormat="1" outlineLevel="2">
      <c r="A103" s="17" t="s">
        <v>73</v>
      </c>
      <c r="B103" s="18" t="s">
        <v>87</v>
      </c>
      <c r="C103" s="19" t="s">
        <v>85</v>
      </c>
      <c r="D103" s="18" t="s">
        <v>84</v>
      </c>
      <c r="E103" s="3">
        <v>81000000</v>
      </c>
      <c r="F103" s="17">
        <v>43650</v>
      </c>
      <c r="G103" s="3">
        <v>81000000</v>
      </c>
      <c r="H103" s="2">
        <v>1.4999999999999999E-2</v>
      </c>
      <c r="I103" s="17">
        <v>43650</v>
      </c>
      <c r="J103" s="17">
        <v>43677</v>
      </c>
      <c r="K103" s="3">
        <f>J103-I103+1</f>
        <v>28</v>
      </c>
      <c r="L103" s="3">
        <f>ROUND(G103*H103*K103/365,0)</f>
        <v>93205</v>
      </c>
      <c r="M103" s="3">
        <v>81000000</v>
      </c>
    </row>
    <row r="104" spans="1:13" s="16" customFormat="1" outlineLevel="2">
      <c r="A104" s="17" t="s">
        <v>73</v>
      </c>
      <c r="B104" s="18" t="s">
        <v>86</v>
      </c>
      <c r="C104" s="19" t="s">
        <v>85</v>
      </c>
      <c r="D104" s="18" t="s">
        <v>84</v>
      </c>
      <c r="E104" s="3">
        <v>500000000</v>
      </c>
      <c r="F104" s="17">
        <v>43651</v>
      </c>
      <c r="G104" s="3">
        <v>500000000</v>
      </c>
      <c r="H104" s="2">
        <v>1.4999999999999999E-2</v>
      </c>
      <c r="I104" s="17">
        <v>43651</v>
      </c>
      <c r="J104" s="17">
        <v>43677</v>
      </c>
      <c r="K104" s="3">
        <f>J104-I104+1</f>
        <v>27</v>
      </c>
      <c r="L104" s="3">
        <f>ROUND(G104*H104*K104/365,0)</f>
        <v>554795</v>
      </c>
      <c r="M104" s="3">
        <v>500000000</v>
      </c>
    </row>
    <row r="105" spans="1:13" s="16" customFormat="1" outlineLevel="2">
      <c r="A105" s="17" t="s">
        <v>73</v>
      </c>
      <c r="B105" s="18" t="s">
        <v>83</v>
      </c>
      <c r="C105" s="19" t="s">
        <v>81</v>
      </c>
      <c r="D105" s="18" t="s">
        <v>80</v>
      </c>
      <c r="E105" s="3">
        <v>79839000</v>
      </c>
      <c r="F105" s="17">
        <v>43663</v>
      </c>
      <c r="G105" s="3">
        <v>79839000</v>
      </c>
      <c r="H105" s="2">
        <v>1.4999999999999999E-2</v>
      </c>
      <c r="I105" s="17">
        <v>43663</v>
      </c>
      <c r="J105" s="17">
        <v>43677</v>
      </c>
      <c r="K105" s="3">
        <f>J105-I105+1</f>
        <v>15</v>
      </c>
      <c r="L105" s="3">
        <f>ROUND(G105*H105*K105/365,0)</f>
        <v>49216</v>
      </c>
      <c r="M105" s="3">
        <v>79839000</v>
      </c>
    </row>
    <row r="106" spans="1:13" s="16" customFormat="1" outlineLevel="2">
      <c r="A106" s="17" t="s">
        <v>73</v>
      </c>
      <c r="B106" s="18" t="s">
        <v>82</v>
      </c>
      <c r="C106" s="19" t="s">
        <v>81</v>
      </c>
      <c r="D106" s="18" t="s">
        <v>80</v>
      </c>
      <c r="E106" s="3">
        <v>38097000</v>
      </c>
      <c r="F106" s="17">
        <v>43663</v>
      </c>
      <c r="G106" s="3">
        <v>38097000</v>
      </c>
      <c r="H106" s="2">
        <v>1.4999999999999999E-2</v>
      </c>
      <c r="I106" s="17">
        <v>43663</v>
      </c>
      <c r="J106" s="17">
        <v>43677</v>
      </c>
      <c r="K106" s="3">
        <f>J106-I106+1</f>
        <v>15</v>
      </c>
      <c r="L106" s="3">
        <f>ROUND(G106*H106*K106/365,0)</f>
        <v>23484</v>
      </c>
      <c r="M106" s="3">
        <v>38097000</v>
      </c>
    </row>
    <row r="107" spans="1:13" s="16" customFormat="1" outlineLevel="2">
      <c r="A107" s="17" t="s">
        <v>73</v>
      </c>
      <c r="B107" s="18" t="s">
        <v>79</v>
      </c>
      <c r="C107" s="19" t="s">
        <v>71</v>
      </c>
      <c r="D107" s="18" t="s">
        <v>70</v>
      </c>
      <c r="E107" s="3">
        <v>40136695</v>
      </c>
      <c r="F107" s="17">
        <v>43605</v>
      </c>
      <c r="G107" s="3">
        <v>40136695</v>
      </c>
      <c r="H107" s="2">
        <v>1.4999999999999999E-2</v>
      </c>
      <c r="I107" s="17">
        <v>43647</v>
      </c>
      <c r="J107" s="17">
        <v>43677</v>
      </c>
      <c r="K107" s="3">
        <f>J107-I107+1</f>
        <v>31</v>
      </c>
      <c r="L107" s="3">
        <f>ROUND(G107*H107*K107/365,0)</f>
        <v>51133</v>
      </c>
      <c r="M107" s="3">
        <v>40136695</v>
      </c>
    </row>
    <row r="108" spans="1:13" s="16" customFormat="1" outlineLevel="2">
      <c r="A108" s="17" t="s">
        <v>73</v>
      </c>
      <c r="B108" s="18" t="s">
        <v>78</v>
      </c>
      <c r="C108" s="19" t="s">
        <v>71</v>
      </c>
      <c r="D108" s="18" t="s">
        <v>70</v>
      </c>
      <c r="E108" s="3">
        <v>2356988</v>
      </c>
      <c r="F108" s="17">
        <v>43613</v>
      </c>
      <c r="G108" s="3">
        <v>2356988</v>
      </c>
      <c r="H108" s="2">
        <v>1.4999999999999999E-2</v>
      </c>
      <c r="I108" s="17">
        <v>43647</v>
      </c>
      <c r="J108" s="17">
        <v>43677</v>
      </c>
      <c r="K108" s="3">
        <f>J108-I108+1</f>
        <v>31</v>
      </c>
      <c r="L108" s="3">
        <f>ROUND(G108*H108*K108/365,0)</f>
        <v>3003</v>
      </c>
      <c r="M108" s="3">
        <v>2356988</v>
      </c>
    </row>
    <row r="109" spans="1:13" s="16" customFormat="1" outlineLevel="2">
      <c r="A109" s="17" t="s">
        <v>73</v>
      </c>
      <c r="B109" s="18" t="s">
        <v>77</v>
      </c>
      <c r="C109" s="19" t="s">
        <v>71</v>
      </c>
      <c r="D109" s="18" t="s">
        <v>70</v>
      </c>
      <c r="E109" s="3">
        <v>46269826</v>
      </c>
      <c r="F109" s="17">
        <v>43626</v>
      </c>
      <c r="G109" s="3">
        <v>46269826</v>
      </c>
      <c r="H109" s="2">
        <v>1.4999999999999999E-2</v>
      </c>
      <c r="I109" s="17">
        <v>43647</v>
      </c>
      <c r="J109" s="17">
        <v>43677</v>
      </c>
      <c r="K109" s="3">
        <f>J109-I109+1</f>
        <v>31</v>
      </c>
      <c r="L109" s="3">
        <f>ROUND(G109*H109*K109/365,0)</f>
        <v>58946</v>
      </c>
      <c r="M109" s="3">
        <v>46269826</v>
      </c>
    </row>
    <row r="110" spans="1:13" s="16" customFormat="1" outlineLevel="2">
      <c r="A110" s="17" t="s">
        <v>73</v>
      </c>
      <c r="B110" s="18" t="s">
        <v>76</v>
      </c>
      <c r="C110" s="19" t="s">
        <v>71</v>
      </c>
      <c r="D110" s="18" t="s">
        <v>70</v>
      </c>
      <c r="E110" s="3">
        <v>3863475</v>
      </c>
      <c r="F110" s="17">
        <v>43634</v>
      </c>
      <c r="G110" s="3">
        <v>3863475</v>
      </c>
      <c r="H110" s="2">
        <v>1.4999999999999999E-2</v>
      </c>
      <c r="I110" s="17">
        <v>43647</v>
      </c>
      <c r="J110" s="17">
        <v>43677</v>
      </c>
      <c r="K110" s="3">
        <f>J110-I110+1</f>
        <v>31</v>
      </c>
      <c r="L110" s="3">
        <f>ROUND(G110*H110*K110/365,0)</f>
        <v>4922</v>
      </c>
      <c r="M110" s="3">
        <v>3863475</v>
      </c>
    </row>
    <row r="111" spans="1:13" s="16" customFormat="1" outlineLevel="2">
      <c r="A111" s="17" t="s">
        <v>73</v>
      </c>
      <c r="B111" s="18" t="s">
        <v>75</v>
      </c>
      <c r="C111" s="19" t="s">
        <v>71</v>
      </c>
      <c r="D111" s="18" t="s">
        <v>70</v>
      </c>
      <c r="E111" s="3">
        <v>8620798</v>
      </c>
      <c r="F111" s="17">
        <v>43644</v>
      </c>
      <c r="G111" s="3">
        <v>8620798</v>
      </c>
      <c r="H111" s="2">
        <v>1.4999999999999999E-2</v>
      </c>
      <c r="I111" s="17">
        <v>43647</v>
      </c>
      <c r="J111" s="17">
        <v>43677</v>
      </c>
      <c r="K111" s="3">
        <f>J111-I111+1</f>
        <v>31</v>
      </c>
      <c r="L111" s="3">
        <f>ROUND(G111*H111*K111/365,0)</f>
        <v>10983</v>
      </c>
      <c r="M111" s="3">
        <v>8620798</v>
      </c>
    </row>
    <row r="112" spans="1:13" s="16" customFormat="1" outlineLevel="2">
      <c r="A112" s="17" t="s">
        <v>73</v>
      </c>
      <c r="B112" s="18" t="s">
        <v>74</v>
      </c>
      <c r="C112" s="19" t="s">
        <v>71</v>
      </c>
      <c r="D112" s="18" t="s">
        <v>70</v>
      </c>
      <c r="E112" s="3">
        <v>14180723</v>
      </c>
      <c r="F112" s="17">
        <v>43626</v>
      </c>
      <c r="G112" s="3">
        <v>14180723</v>
      </c>
      <c r="H112" s="2">
        <v>1.4999999999999999E-2</v>
      </c>
      <c r="I112" s="17">
        <v>43647</v>
      </c>
      <c r="J112" s="17">
        <v>43677</v>
      </c>
      <c r="K112" s="3">
        <f>J112-I112+1</f>
        <v>31</v>
      </c>
      <c r="L112" s="3">
        <f>ROUND(G112*H112*K112/365,0)</f>
        <v>18066</v>
      </c>
      <c r="M112" s="3">
        <v>14180723</v>
      </c>
    </row>
    <row r="113" spans="1:13" s="16" customFormat="1" outlineLevel="2">
      <c r="A113" s="17" t="s">
        <v>73</v>
      </c>
      <c r="B113" s="18" t="s">
        <v>72</v>
      </c>
      <c r="C113" s="19" t="s">
        <v>71</v>
      </c>
      <c r="D113" s="18" t="s">
        <v>70</v>
      </c>
      <c r="E113" s="3">
        <v>10848433</v>
      </c>
      <c r="F113" s="17">
        <v>43634</v>
      </c>
      <c r="G113" s="3">
        <v>10848433</v>
      </c>
      <c r="H113" s="2">
        <v>1.4999999999999999E-2</v>
      </c>
      <c r="I113" s="17">
        <v>43647</v>
      </c>
      <c r="J113" s="17">
        <v>43677</v>
      </c>
      <c r="K113" s="3">
        <f>J113-I113+1</f>
        <v>31</v>
      </c>
      <c r="L113" s="3">
        <f>ROUND(G113*H113*K113/365,0)</f>
        <v>13821</v>
      </c>
      <c r="M113" s="3">
        <v>10848433</v>
      </c>
    </row>
    <row r="114" spans="1:13" s="16" customFormat="1" outlineLevel="1">
      <c r="A114" s="28" t="s">
        <v>25</v>
      </c>
      <c r="B114" s="43"/>
      <c r="C114" s="44"/>
      <c r="D114" s="43"/>
      <c r="E114" s="45">
        <f>SUBTOTAL(9,E91:E113)</f>
        <v>2065786405</v>
      </c>
      <c r="F114" s="46"/>
      <c r="G114" s="45"/>
      <c r="H114" s="47"/>
      <c r="I114" s="46"/>
      <c r="J114" s="46"/>
      <c r="K114" s="45"/>
      <c r="L114" s="45">
        <f>SUBTOTAL(9,L91:L113)</f>
        <v>1283961</v>
      </c>
      <c r="M114" s="45">
        <f>SUBTOTAL(9,M91:M113)</f>
        <v>2065786405</v>
      </c>
    </row>
    <row r="115" spans="1:13" s="35" customFormat="1" outlineLevel="1">
      <c r="A115" s="29"/>
      <c r="B115" s="48"/>
      <c r="C115" s="49"/>
      <c r="D115" s="48"/>
      <c r="E115" s="50"/>
      <c r="F115" s="51"/>
      <c r="G115" s="50"/>
      <c r="H115" s="52"/>
      <c r="I115" s="51"/>
      <c r="J115" s="51"/>
      <c r="K115" s="50"/>
      <c r="L115" s="50"/>
      <c r="M115" s="50"/>
    </row>
    <row r="116" spans="1:13" s="16" customFormat="1">
      <c r="A116" s="20" t="s">
        <v>24</v>
      </c>
      <c r="B116" s="43"/>
      <c r="C116" s="44"/>
      <c r="D116" s="43"/>
      <c r="E116" s="45">
        <f>SUBTOTAL(9,E4:E113)</f>
        <v>12338508232</v>
      </c>
      <c r="F116" s="46"/>
      <c r="G116" s="45"/>
      <c r="H116" s="47"/>
      <c r="I116" s="46"/>
      <c r="J116" s="46"/>
      <c r="K116" s="45"/>
      <c r="L116" s="45">
        <f>SUBTOTAL(9,L4:L113)</f>
        <v>10160050</v>
      </c>
      <c r="M116" s="45">
        <f>SUBTOTAL(9,M4:M113)</f>
        <v>12338508232</v>
      </c>
    </row>
    <row r="118" spans="1:13">
      <c r="A118" s="25" t="s">
        <v>22</v>
      </c>
      <c r="B118" s="25"/>
      <c r="E118" s="26" t="s">
        <v>23</v>
      </c>
      <c r="G118" s="5"/>
      <c r="I118" s="27" t="s">
        <v>21</v>
      </c>
    </row>
  </sheetData>
  <autoFilter ref="A3:M114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orientation="landscape" r:id="rId1"/>
  <headerFooter alignWithMargins="0">
    <oddHeader>&amp;R附件2</oddHead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994F-0F13-43DA-91A7-9B338D1922FB}">
  <dimension ref="A1:M185"/>
  <sheetViews>
    <sheetView zoomScaleNormal="100" workbookViewId="0">
      <selection activeCell="E13" sqref="E13"/>
    </sheetView>
  </sheetViews>
  <sheetFormatPr defaultColWidth="5.375" defaultRowHeight="13.5" outlineLevelRow="2"/>
  <cols>
    <col min="1" max="1" width="23.125" style="5" bestFit="1" customWidth="1"/>
    <col min="2" max="2" width="8.375" style="5" bestFit="1" customWidth="1"/>
    <col min="3" max="3" width="17.875" style="5" bestFit="1" customWidth="1"/>
    <col min="4" max="4" width="12" style="5" bestFit="1" customWidth="1"/>
    <col min="5" max="5" width="14.75" style="8" bestFit="1" customWidth="1"/>
    <col min="6" max="6" width="12" style="9" bestFit="1" customWidth="1"/>
    <col min="7" max="7" width="13.5" style="8" bestFit="1" customWidth="1"/>
    <col min="8" max="8" width="10.375" style="10" bestFit="1" customWidth="1"/>
    <col min="9" max="10" width="8.75" style="5" customWidth="1"/>
    <col min="11" max="11" width="10.375" style="5" bestFit="1" customWidth="1"/>
    <col min="12" max="12" width="11" style="8" bestFit="1" customWidth="1"/>
    <col min="13" max="13" width="14.75" style="5" bestFit="1" customWidth="1"/>
    <col min="14" max="16384" width="5.375" style="5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6" t="s">
        <v>1</v>
      </c>
      <c r="C2" s="7">
        <v>43708</v>
      </c>
      <c r="L2" s="8" t="s">
        <v>2</v>
      </c>
    </row>
    <row r="3" spans="1:13" s="16" customFormat="1" ht="27.75" thickBot="1">
      <c r="A3" s="1" t="s">
        <v>3</v>
      </c>
      <c r="B3" s="11" t="s">
        <v>4</v>
      </c>
      <c r="C3" s="12" t="s">
        <v>5</v>
      </c>
      <c r="D3" s="12" t="s">
        <v>6</v>
      </c>
      <c r="E3" s="13" t="s">
        <v>7</v>
      </c>
      <c r="F3" s="12" t="s">
        <v>8</v>
      </c>
      <c r="G3" s="14" t="s">
        <v>9</v>
      </c>
      <c r="H3" s="15" t="s">
        <v>10</v>
      </c>
      <c r="I3" s="1" t="s">
        <v>11</v>
      </c>
      <c r="J3" s="1" t="s">
        <v>12</v>
      </c>
      <c r="K3" s="1" t="s">
        <v>13</v>
      </c>
      <c r="L3" s="13" t="s">
        <v>14</v>
      </c>
      <c r="M3" s="1" t="s">
        <v>15</v>
      </c>
    </row>
    <row r="4" spans="1:13" s="16" customFormat="1" outlineLevel="2">
      <c r="A4" s="17" t="s">
        <v>42</v>
      </c>
      <c r="B4" s="18" t="s">
        <v>17</v>
      </c>
      <c r="C4" s="19" t="s">
        <v>54</v>
      </c>
      <c r="D4" s="18" t="s">
        <v>34</v>
      </c>
      <c r="E4" s="3">
        <v>14900000</v>
      </c>
      <c r="F4" s="17">
        <v>43591</v>
      </c>
      <c r="G4" s="3">
        <v>14900000</v>
      </c>
      <c r="H4" s="2">
        <v>1.4999999999999999E-2</v>
      </c>
      <c r="I4" s="17">
        <v>43678</v>
      </c>
      <c r="J4" s="17">
        <v>43708</v>
      </c>
      <c r="K4" s="3">
        <f>J4-I4+1</f>
        <v>31</v>
      </c>
      <c r="L4" s="3">
        <f>ROUND(G4*H4*K4/365,0)</f>
        <v>18982</v>
      </c>
      <c r="M4" s="3">
        <v>14900000</v>
      </c>
    </row>
    <row r="5" spans="1:13" s="16" customFormat="1" outlineLevel="2">
      <c r="A5" s="17" t="s">
        <v>42</v>
      </c>
      <c r="B5" s="18" t="s">
        <v>31</v>
      </c>
      <c r="C5" s="19" t="s">
        <v>54</v>
      </c>
      <c r="D5" s="18" t="s">
        <v>34</v>
      </c>
      <c r="E5" s="3">
        <v>3080000</v>
      </c>
      <c r="F5" s="17">
        <v>43612</v>
      </c>
      <c r="G5" s="3">
        <v>3080000</v>
      </c>
      <c r="H5" s="2">
        <v>1.4999999999999999E-2</v>
      </c>
      <c r="I5" s="17">
        <v>43678</v>
      </c>
      <c r="J5" s="17">
        <v>43708</v>
      </c>
      <c r="K5" s="3">
        <f>J5-I5+1</f>
        <v>31</v>
      </c>
      <c r="L5" s="3">
        <f>ROUND(G5*H5*K5/365,0)</f>
        <v>3924</v>
      </c>
      <c r="M5" s="3">
        <v>3080000</v>
      </c>
    </row>
    <row r="6" spans="1:13" s="16" customFormat="1" outlineLevel="2">
      <c r="A6" s="17" t="s">
        <v>42</v>
      </c>
      <c r="B6" s="18" t="s">
        <v>30</v>
      </c>
      <c r="C6" s="19" t="s">
        <v>54</v>
      </c>
      <c r="D6" s="18" t="s">
        <v>34</v>
      </c>
      <c r="E6" s="3">
        <v>29720000</v>
      </c>
      <c r="F6" s="17">
        <v>43621</v>
      </c>
      <c r="G6" s="3">
        <v>29720000</v>
      </c>
      <c r="H6" s="2">
        <v>1.4999999999999999E-2</v>
      </c>
      <c r="I6" s="17">
        <v>43678</v>
      </c>
      <c r="J6" s="17">
        <v>43708</v>
      </c>
      <c r="K6" s="3">
        <f>J6-I6+1</f>
        <v>31</v>
      </c>
      <c r="L6" s="3">
        <f>ROUND(G6*H6*K6/365,0)</f>
        <v>37862</v>
      </c>
      <c r="M6" s="3">
        <v>29720000</v>
      </c>
    </row>
    <row r="7" spans="1:13" s="16" customFormat="1" outlineLevel="2">
      <c r="A7" s="17" t="s">
        <v>42</v>
      </c>
      <c r="B7" s="18" t="s">
        <v>28</v>
      </c>
      <c r="C7" s="19" t="s">
        <v>54</v>
      </c>
      <c r="D7" s="18" t="s">
        <v>34</v>
      </c>
      <c r="E7" s="3">
        <v>42908000</v>
      </c>
      <c r="F7" s="17">
        <v>43633</v>
      </c>
      <c r="G7" s="3">
        <v>42908000</v>
      </c>
      <c r="H7" s="2">
        <v>1.4999999999999999E-2</v>
      </c>
      <c r="I7" s="17">
        <v>43678</v>
      </c>
      <c r="J7" s="17">
        <v>43708</v>
      </c>
      <c r="K7" s="3">
        <f>J7-I7+1</f>
        <v>31</v>
      </c>
      <c r="L7" s="3">
        <f>ROUND(G7*H7*K7/365,0)</f>
        <v>54664</v>
      </c>
      <c r="M7" s="3">
        <v>42908000</v>
      </c>
    </row>
    <row r="8" spans="1:13" s="16" customFormat="1" outlineLevel="2">
      <c r="A8" s="17" t="s">
        <v>42</v>
      </c>
      <c r="B8" s="18" t="s">
        <v>228</v>
      </c>
      <c r="C8" s="19" t="s">
        <v>54</v>
      </c>
      <c r="D8" s="18" t="s">
        <v>34</v>
      </c>
      <c r="E8" s="3">
        <v>4116000</v>
      </c>
      <c r="F8" s="17">
        <v>43692</v>
      </c>
      <c r="G8" s="3">
        <v>4116000</v>
      </c>
      <c r="H8" s="2">
        <v>1.4999999999999999E-2</v>
      </c>
      <c r="I8" s="17">
        <v>43692</v>
      </c>
      <c r="J8" s="17">
        <v>43708</v>
      </c>
      <c r="K8" s="3">
        <f>J8-I8+1</f>
        <v>17</v>
      </c>
      <c r="L8" s="3">
        <f>ROUND(G8*H8*K8/365,0)</f>
        <v>2876</v>
      </c>
      <c r="M8" s="3">
        <v>4116000</v>
      </c>
    </row>
    <row r="9" spans="1:13" s="16" customFormat="1" outlineLevel="2">
      <c r="A9" s="17" t="s">
        <v>42</v>
      </c>
      <c r="B9" s="18" t="s">
        <v>227</v>
      </c>
      <c r="C9" s="19" t="s">
        <v>225</v>
      </c>
      <c r="D9" s="18" t="s">
        <v>224</v>
      </c>
      <c r="E9" s="3">
        <v>20000000</v>
      </c>
      <c r="F9" s="17">
        <v>43692</v>
      </c>
      <c r="G9" s="3">
        <v>20000000</v>
      </c>
      <c r="H9" s="2">
        <v>5.0000000000000001E-3</v>
      </c>
      <c r="I9" s="17">
        <v>43692</v>
      </c>
      <c r="J9" s="17">
        <v>43708</v>
      </c>
      <c r="K9" s="3">
        <f>J9-I9+1</f>
        <v>17</v>
      </c>
      <c r="L9" s="3">
        <f>ROUND(G9*H9*K9/365,0)</f>
        <v>4658</v>
      </c>
      <c r="M9" s="3">
        <v>20000000</v>
      </c>
    </row>
    <row r="10" spans="1:13" s="16" customFormat="1" outlineLevel="2">
      <c r="A10" s="17" t="s">
        <v>42</v>
      </c>
      <c r="B10" s="18" t="s">
        <v>226</v>
      </c>
      <c r="C10" s="19" t="s">
        <v>225</v>
      </c>
      <c r="D10" s="18" t="s">
        <v>224</v>
      </c>
      <c r="E10" s="3">
        <v>180000000</v>
      </c>
      <c r="F10" s="17">
        <v>43700</v>
      </c>
      <c r="G10" s="3">
        <v>180000000</v>
      </c>
      <c r="H10" s="2">
        <v>5.0000000000000001E-3</v>
      </c>
      <c r="I10" s="17">
        <v>43700</v>
      </c>
      <c r="J10" s="17">
        <v>43708</v>
      </c>
      <c r="K10" s="3">
        <f>J10-I10+1</f>
        <v>9</v>
      </c>
      <c r="L10" s="3">
        <f>ROUND(G10*H10*K10/365,0)</f>
        <v>22192</v>
      </c>
      <c r="M10" s="3">
        <v>180000000</v>
      </c>
    </row>
    <row r="11" spans="1:13" s="16" customFormat="1" outlineLevel="2">
      <c r="A11" s="17" t="s">
        <v>42</v>
      </c>
      <c r="B11" s="18" t="s">
        <v>223</v>
      </c>
      <c r="C11" s="19" t="s">
        <v>163</v>
      </c>
      <c r="D11" s="18" t="s">
        <v>162</v>
      </c>
      <c r="E11" s="3">
        <v>5500000</v>
      </c>
      <c r="F11" s="17">
        <v>43692</v>
      </c>
      <c r="G11" s="3">
        <v>5500000</v>
      </c>
      <c r="H11" s="2">
        <v>5.0000000000000001E-3</v>
      </c>
      <c r="I11" s="17">
        <v>43692</v>
      </c>
      <c r="J11" s="17">
        <v>43708</v>
      </c>
      <c r="K11" s="3">
        <f>J11-I11+1</f>
        <v>17</v>
      </c>
      <c r="L11" s="3">
        <f>ROUND(G11*H11*K11/365,0)</f>
        <v>1281</v>
      </c>
      <c r="M11" s="3">
        <v>5500000</v>
      </c>
    </row>
    <row r="12" spans="1:13" s="16" customFormat="1" outlineLevel="2">
      <c r="A12" s="17" t="s">
        <v>42</v>
      </c>
      <c r="B12" s="18" t="s">
        <v>48</v>
      </c>
      <c r="C12" s="19" t="s">
        <v>69</v>
      </c>
      <c r="D12" s="18" t="s">
        <v>68</v>
      </c>
      <c r="E12" s="3">
        <v>315000</v>
      </c>
      <c r="F12" s="17">
        <v>43644</v>
      </c>
      <c r="G12" s="3">
        <v>315000</v>
      </c>
      <c r="H12" s="2">
        <v>1.4999999999999999E-2</v>
      </c>
      <c r="I12" s="17">
        <v>43678</v>
      </c>
      <c r="J12" s="17">
        <v>43708</v>
      </c>
      <c r="K12" s="3">
        <f>J12-I12+1</f>
        <v>31</v>
      </c>
      <c r="L12" s="3">
        <f>ROUND(G12*H12*K12/365,0)</f>
        <v>401</v>
      </c>
      <c r="M12" s="3">
        <v>315000</v>
      </c>
    </row>
    <row r="13" spans="1:13" s="16" customFormat="1" outlineLevel="2">
      <c r="A13" s="17" t="s">
        <v>42</v>
      </c>
      <c r="B13" s="18" t="s">
        <v>47</v>
      </c>
      <c r="C13" s="19" t="s">
        <v>54</v>
      </c>
      <c r="D13" s="18" t="s">
        <v>34</v>
      </c>
      <c r="E13" s="3">
        <v>21895000</v>
      </c>
      <c r="F13" s="17">
        <v>43661</v>
      </c>
      <c r="G13" s="3">
        <v>21895000</v>
      </c>
      <c r="H13" s="2">
        <v>1.4999999999999999E-2</v>
      </c>
      <c r="I13" s="17">
        <v>43678</v>
      </c>
      <c r="J13" s="17">
        <v>43708</v>
      </c>
      <c r="K13" s="3">
        <f>J13-I13+1</f>
        <v>31</v>
      </c>
      <c r="L13" s="3">
        <f>ROUND(G13*H13*K13/365,0)</f>
        <v>27894</v>
      </c>
      <c r="M13" s="3">
        <v>21895000</v>
      </c>
    </row>
    <row r="14" spans="1:13" s="16" customFormat="1" outlineLevel="2">
      <c r="A14" s="17" t="s">
        <v>42</v>
      </c>
      <c r="B14" s="18" t="s">
        <v>46</v>
      </c>
      <c r="C14" s="19" t="s">
        <v>221</v>
      </c>
      <c r="D14" s="18" t="s">
        <v>222</v>
      </c>
      <c r="E14" s="3">
        <v>865657</v>
      </c>
      <c r="F14" s="17">
        <v>43661</v>
      </c>
      <c r="G14" s="3">
        <v>865657</v>
      </c>
      <c r="H14" s="2">
        <v>1.4999999999999999E-2</v>
      </c>
      <c r="I14" s="17">
        <v>43678</v>
      </c>
      <c r="J14" s="17">
        <v>43691</v>
      </c>
      <c r="K14" s="3">
        <f>J14-I14+1</f>
        <v>14</v>
      </c>
      <c r="L14" s="3">
        <f>ROUND(G14*H14*K14/365,0)</f>
        <v>498</v>
      </c>
      <c r="M14" s="3">
        <v>851229</v>
      </c>
    </row>
    <row r="15" spans="1:13" s="16" customFormat="1" outlineLevel="2">
      <c r="A15" s="17" t="s">
        <v>42</v>
      </c>
      <c r="B15" s="18" t="s">
        <v>46</v>
      </c>
      <c r="C15" s="19" t="s">
        <v>221</v>
      </c>
      <c r="D15" s="18" t="s">
        <v>216</v>
      </c>
      <c r="E15" s="3"/>
      <c r="F15" s="17"/>
      <c r="G15" s="3">
        <v>851229</v>
      </c>
      <c r="H15" s="2">
        <v>1.4999999999999999E-2</v>
      </c>
      <c r="I15" s="17">
        <v>43692</v>
      </c>
      <c r="J15" s="17">
        <v>43708</v>
      </c>
      <c r="K15" s="3">
        <f>J15-I15+1</f>
        <v>17</v>
      </c>
      <c r="L15" s="3">
        <f>ROUND(G15*H15*K15/365,0)</f>
        <v>595</v>
      </c>
      <c r="M15" s="3"/>
    </row>
    <row r="16" spans="1:13" s="16" customFormat="1" outlineLevel="1">
      <c r="A16" s="28" t="s">
        <v>41</v>
      </c>
      <c r="B16" s="21"/>
      <c r="C16" s="22"/>
      <c r="D16" s="21"/>
      <c r="E16" s="23">
        <f>SUBTOTAL(9,E4:E15)</f>
        <v>323299657</v>
      </c>
      <c r="F16" s="20"/>
      <c r="G16" s="23"/>
      <c r="H16" s="24"/>
      <c r="I16" s="20"/>
      <c r="J16" s="20"/>
      <c r="K16" s="23"/>
      <c r="L16" s="23">
        <f>SUBTOTAL(9,L4:L15)</f>
        <v>175827</v>
      </c>
      <c r="M16" s="23">
        <f>SUBTOTAL(9,M4:M15)</f>
        <v>323285229</v>
      </c>
    </row>
    <row r="17" spans="1:13" s="16" customFormat="1" outlineLevel="2">
      <c r="A17" s="17" t="s">
        <v>220</v>
      </c>
      <c r="B17" s="18" t="s">
        <v>17</v>
      </c>
      <c r="C17" s="19" t="s">
        <v>218</v>
      </c>
      <c r="D17" s="18" t="s">
        <v>219</v>
      </c>
      <c r="E17" s="3">
        <v>87650000</v>
      </c>
      <c r="F17" s="17">
        <v>43489</v>
      </c>
      <c r="G17" s="3">
        <v>87650000</v>
      </c>
      <c r="H17" s="2">
        <v>1.4999999999999999E-2</v>
      </c>
      <c r="I17" s="17">
        <v>43678</v>
      </c>
      <c r="J17" s="17">
        <v>43708</v>
      </c>
      <c r="K17" s="3">
        <f>J17-I17+1</f>
        <v>31</v>
      </c>
      <c r="L17" s="3">
        <f>ROUND(G17*H17*K17/365,0)</f>
        <v>111664</v>
      </c>
      <c r="M17" s="3">
        <v>87650000</v>
      </c>
    </row>
    <row r="18" spans="1:13" s="16" customFormat="1" outlineLevel="2">
      <c r="A18" s="17" t="s">
        <v>220</v>
      </c>
      <c r="B18" s="18" t="s">
        <v>31</v>
      </c>
      <c r="C18" s="19" t="s">
        <v>218</v>
      </c>
      <c r="D18" s="18" t="s">
        <v>219</v>
      </c>
      <c r="E18" s="3">
        <v>39730000</v>
      </c>
      <c r="F18" s="17">
        <v>43543</v>
      </c>
      <c r="G18" s="3">
        <v>39730000</v>
      </c>
      <c r="H18" s="2">
        <v>1.4999999999999999E-2</v>
      </c>
      <c r="I18" s="17">
        <v>43678</v>
      </c>
      <c r="J18" s="17">
        <v>43708</v>
      </c>
      <c r="K18" s="3">
        <f>J18-I18+1</f>
        <v>31</v>
      </c>
      <c r="L18" s="3">
        <f>ROUND(G18*H18*K18/365,0)</f>
        <v>50615</v>
      </c>
      <c r="M18" s="3">
        <v>39730000</v>
      </c>
    </row>
    <row r="19" spans="1:13" s="16" customFormat="1" outlineLevel="2">
      <c r="A19" s="17" t="s">
        <v>220</v>
      </c>
      <c r="B19" s="18" t="s">
        <v>30</v>
      </c>
      <c r="C19" s="19" t="s">
        <v>218</v>
      </c>
      <c r="D19" s="18" t="s">
        <v>219</v>
      </c>
      <c r="E19" s="3">
        <v>54420000</v>
      </c>
      <c r="F19" s="17">
        <v>43553</v>
      </c>
      <c r="G19" s="3">
        <v>54420000</v>
      </c>
      <c r="H19" s="2">
        <v>1.4999999999999999E-2</v>
      </c>
      <c r="I19" s="17">
        <v>43678</v>
      </c>
      <c r="J19" s="17">
        <v>43708</v>
      </c>
      <c r="K19" s="3">
        <f>J19-I19+1</f>
        <v>31</v>
      </c>
      <c r="L19" s="3">
        <f>ROUND(G19*H19*K19/365,0)</f>
        <v>69330</v>
      </c>
      <c r="M19" s="3">
        <v>54420000</v>
      </c>
    </row>
    <row r="20" spans="1:13" s="16" customFormat="1" outlineLevel="2">
      <c r="A20" s="17" t="s">
        <v>220</v>
      </c>
      <c r="B20" s="18" t="s">
        <v>28</v>
      </c>
      <c r="C20" s="19" t="s">
        <v>218</v>
      </c>
      <c r="D20" s="18" t="s">
        <v>219</v>
      </c>
      <c r="E20" s="3">
        <v>29000000</v>
      </c>
      <c r="F20" s="17">
        <v>43602</v>
      </c>
      <c r="G20" s="3">
        <v>29000000</v>
      </c>
      <c r="H20" s="2">
        <v>1.4999999999999999E-2</v>
      </c>
      <c r="I20" s="17">
        <v>43678</v>
      </c>
      <c r="J20" s="17">
        <v>43708</v>
      </c>
      <c r="K20" s="3">
        <f>J20-I20+1</f>
        <v>31</v>
      </c>
      <c r="L20" s="3">
        <f>ROUND(G20*H20*K20/365,0)</f>
        <v>36945</v>
      </c>
      <c r="M20" s="3">
        <v>29000000</v>
      </c>
    </row>
    <row r="21" spans="1:13" s="16" customFormat="1" outlineLevel="2">
      <c r="A21" s="17" t="s">
        <v>220</v>
      </c>
      <c r="B21" s="18" t="s">
        <v>48</v>
      </c>
      <c r="C21" s="19" t="s">
        <v>218</v>
      </c>
      <c r="D21" s="18" t="s">
        <v>219</v>
      </c>
      <c r="E21" s="3">
        <v>22340000</v>
      </c>
      <c r="F21" s="17">
        <v>43612</v>
      </c>
      <c r="G21" s="3">
        <v>22340000</v>
      </c>
      <c r="H21" s="2">
        <v>1.4999999999999999E-2</v>
      </c>
      <c r="I21" s="17">
        <v>43678</v>
      </c>
      <c r="J21" s="17">
        <v>43708</v>
      </c>
      <c r="K21" s="3">
        <f>J21-I21+1</f>
        <v>31</v>
      </c>
      <c r="L21" s="3">
        <f>ROUND(G21*H21*K21/365,0)</f>
        <v>28461</v>
      </c>
      <c r="M21" s="3">
        <v>22340000</v>
      </c>
    </row>
    <row r="22" spans="1:13" s="16" customFormat="1" outlineLevel="2">
      <c r="A22" s="17" t="s">
        <v>220</v>
      </c>
      <c r="B22" s="18" t="s">
        <v>47</v>
      </c>
      <c r="C22" s="19" t="s">
        <v>218</v>
      </c>
      <c r="D22" s="18" t="s">
        <v>219</v>
      </c>
      <c r="E22" s="3">
        <v>20000000</v>
      </c>
      <c r="F22" s="17">
        <v>43627</v>
      </c>
      <c r="G22" s="3">
        <v>20000000</v>
      </c>
      <c r="H22" s="2">
        <v>1.4999999999999999E-2</v>
      </c>
      <c r="I22" s="17">
        <v>43678</v>
      </c>
      <c r="J22" s="17">
        <v>43708</v>
      </c>
      <c r="K22" s="3">
        <f>J22-I22+1</f>
        <v>31</v>
      </c>
      <c r="L22" s="3">
        <f>ROUND(G22*H22*K22/365,0)</f>
        <v>25479</v>
      </c>
      <c r="M22" s="3">
        <v>20000000</v>
      </c>
    </row>
    <row r="23" spans="1:13" s="16" customFormat="1" outlineLevel="2">
      <c r="A23" s="17" t="s">
        <v>220</v>
      </c>
      <c r="B23" s="18" t="s">
        <v>46</v>
      </c>
      <c r="C23" s="19" t="s">
        <v>218</v>
      </c>
      <c r="D23" s="18" t="s">
        <v>219</v>
      </c>
      <c r="E23" s="3">
        <v>36000000</v>
      </c>
      <c r="F23" s="17">
        <v>43642</v>
      </c>
      <c r="G23" s="3">
        <v>36000000</v>
      </c>
      <c r="H23" s="2">
        <v>1.4999999999999999E-2</v>
      </c>
      <c r="I23" s="17">
        <v>43678</v>
      </c>
      <c r="J23" s="17">
        <v>43708</v>
      </c>
      <c r="K23" s="3">
        <f>J23-I23+1</f>
        <v>31</v>
      </c>
      <c r="L23" s="3">
        <f>ROUND(G23*H23*K23/365,0)</f>
        <v>45863</v>
      </c>
      <c r="M23" s="3">
        <v>36000000</v>
      </c>
    </row>
    <row r="24" spans="1:13" s="16" customFormat="1" outlineLevel="2">
      <c r="A24" s="17" t="s">
        <v>220</v>
      </c>
      <c r="B24" s="18" t="s">
        <v>45</v>
      </c>
      <c r="C24" s="19" t="s">
        <v>218</v>
      </c>
      <c r="D24" s="18" t="s">
        <v>219</v>
      </c>
      <c r="E24" s="3">
        <v>16040000</v>
      </c>
      <c r="F24" s="17">
        <v>43663</v>
      </c>
      <c r="G24" s="3">
        <v>16040000</v>
      </c>
      <c r="H24" s="2">
        <v>1.4999999999999999E-2</v>
      </c>
      <c r="I24" s="17">
        <v>43678</v>
      </c>
      <c r="J24" s="17">
        <v>43708</v>
      </c>
      <c r="K24" s="3">
        <f>J24-I24+1</f>
        <v>31</v>
      </c>
      <c r="L24" s="3">
        <f>ROUND(G24*H24*K24/365,0)</f>
        <v>20435</v>
      </c>
      <c r="M24" s="3">
        <v>16040000</v>
      </c>
    </row>
    <row r="25" spans="1:13" s="16" customFormat="1" outlineLevel="2">
      <c r="A25" s="17" t="s">
        <v>220</v>
      </c>
      <c r="B25" s="18" t="s">
        <v>44</v>
      </c>
      <c r="C25" s="19" t="s">
        <v>218</v>
      </c>
      <c r="D25" s="18" t="s">
        <v>219</v>
      </c>
      <c r="E25" s="3">
        <v>15590000</v>
      </c>
      <c r="F25" s="17">
        <v>43678</v>
      </c>
      <c r="G25" s="3">
        <v>15590000</v>
      </c>
      <c r="H25" s="2">
        <v>1.4999999999999999E-2</v>
      </c>
      <c r="I25" s="17">
        <v>43678</v>
      </c>
      <c r="J25" s="17">
        <v>43708</v>
      </c>
      <c r="K25" s="3">
        <f>J25-I25+1</f>
        <v>31</v>
      </c>
      <c r="L25" s="3">
        <f>ROUND(G25*H25*K25/365,0)</f>
        <v>19861</v>
      </c>
      <c r="M25" s="3">
        <v>15590000</v>
      </c>
    </row>
    <row r="26" spans="1:13" s="16" customFormat="1" outlineLevel="1">
      <c r="A26" s="28" t="s">
        <v>141</v>
      </c>
      <c r="B26" s="21"/>
      <c r="C26" s="22"/>
      <c r="D26" s="21"/>
      <c r="E26" s="23">
        <f>SUBTOTAL(9,E17:E25)</f>
        <v>320770000</v>
      </c>
      <c r="F26" s="20"/>
      <c r="G26" s="23"/>
      <c r="H26" s="24"/>
      <c r="I26" s="20"/>
      <c r="J26" s="20"/>
      <c r="K26" s="23"/>
      <c r="L26" s="23">
        <f>SUBTOTAL(9,L17:L25)</f>
        <v>408653</v>
      </c>
      <c r="M26" s="23">
        <f>SUBTOTAL(9,M17:M25)</f>
        <v>320770000</v>
      </c>
    </row>
    <row r="27" spans="1:13" s="16" customFormat="1" outlineLevel="2">
      <c r="A27" s="17" t="s">
        <v>217</v>
      </c>
      <c r="B27" s="18" t="s">
        <v>17</v>
      </c>
      <c r="C27" s="19" t="s">
        <v>218</v>
      </c>
      <c r="D27" s="18" t="s">
        <v>219</v>
      </c>
      <c r="E27" s="3">
        <v>144000000</v>
      </c>
      <c r="F27" s="17">
        <v>43675</v>
      </c>
      <c r="G27" s="3">
        <v>144000000</v>
      </c>
      <c r="H27" s="2">
        <v>5.0000000000000001E-3</v>
      </c>
      <c r="I27" s="17">
        <v>43678</v>
      </c>
      <c r="J27" s="17">
        <v>43691</v>
      </c>
      <c r="K27" s="3">
        <f>J27-I27+1</f>
        <v>14</v>
      </c>
      <c r="L27" s="3">
        <f>ROUND(G27*H27*K27/365,0)</f>
        <v>27616</v>
      </c>
      <c r="M27" s="3">
        <v>142285714</v>
      </c>
    </row>
    <row r="28" spans="1:13" s="16" customFormat="1" outlineLevel="2">
      <c r="A28" s="17" t="s">
        <v>217</v>
      </c>
      <c r="B28" s="18" t="s">
        <v>17</v>
      </c>
      <c r="C28" s="19" t="s">
        <v>218</v>
      </c>
      <c r="D28" s="18" t="s">
        <v>216</v>
      </c>
      <c r="E28" s="3"/>
      <c r="F28" s="17"/>
      <c r="G28" s="3">
        <v>142285714</v>
      </c>
      <c r="H28" s="2">
        <v>5.0000000000000001E-3</v>
      </c>
      <c r="I28" s="17">
        <v>43692</v>
      </c>
      <c r="J28" s="17">
        <v>43708</v>
      </c>
      <c r="K28" s="3">
        <f>J28-I28+1</f>
        <v>17</v>
      </c>
      <c r="L28" s="3">
        <f>ROUND(G28*H28*K28/365,0)</f>
        <v>33135</v>
      </c>
      <c r="M28" s="3"/>
    </row>
    <row r="29" spans="1:13" s="16" customFormat="1" outlineLevel="2">
      <c r="A29" s="17" t="s">
        <v>217</v>
      </c>
      <c r="B29" s="18" t="s">
        <v>31</v>
      </c>
      <c r="C29" s="19" t="s">
        <v>58</v>
      </c>
      <c r="D29" s="18" t="s">
        <v>57</v>
      </c>
      <c r="E29" s="3">
        <v>140000000</v>
      </c>
      <c r="F29" s="17">
        <v>43692</v>
      </c>
      <c r="G29" s="3">
        <v>140000000</v>
      </c>
      <c r="H29" s="2">
        <v>5.0000000000000001E-3</v>
      </c>
      <c r="I29" s="17">
        <v>43692</v>
      </c>
      <c r="J29" s="17">
        <v>43708</v>
      </c>
      <c r="K29" s="3">
        <f>J29-I29+1</f>
        <v>17</v>
      </c>
      <c r="L29" s="3">
        <f>ROUND(G29*H29*K29/365,0)</f>
        <v>32603</v>
      </c>
      <c r="M29" s="3">
        <v>140000000</v>
      </c>
    </row>
    <row r="30" spans="1:13" s="16" customFormat="1" outlineLevel="1">
      <c r="A30" s="28" t="s">
        <v>137</v>
      </c>
      <c r="B30" s="21"/>
      <c r="C30" s="22"/>
      <c r="D30" s="21"/>
      <c r="E30" s="23">
        <f>SUBTOTAL(9,E27:E29)</f>
        <v>284000000</v>
      </c>
      <c r="F30" s="20"/>
      <c r="G30" s="23"/>
      <c r="H30" s="24"/>
      <c r="I30" s="20"/>
      <c r="J30" s="20"/>
      <c r="K30" s="23"/>
      <c r="L30" s="23">
        <f>SUBTOTAL(9,L27:L29)</f>
        <v>93354</v>
      </c>
      <c r="M30" s="23">
        <f>SUBTOTAL(9,M27:M29)</f>
        <v>282285714</v>
      </c>
    </row>
    <row r="31" spans="1:13" s="16" customFormat="1" outlineLevel="2">
      <c r="A31" s="17" t="s">
        <v>213</v>
      </c>
      <c r="B31" s="18" t="s">
        <v>17</v>
      </c>
      <c r="C31" s="19" t="s">
        <v>58</v>
      </c>
      <c r="D31" s="18" t="s">
        <v>57</v>
      </c>
      <c r="E31" s="3">
        <v>200000000</v>
      </c>
      <c r="F31" s="17">
        <v>43664</v>
      </c>
      <c r="G31" s="3">
        <v>200000000</v>
      </c>
      <c r="H31" s="2">
        <v>1.4999999999999999E-2</v>
      </c>
      <c r="I31" s="17">
        <v>43678</v>
      </c>
      <c r="J31" s="17">
        <v>43691</v>
      </c>
      <c r="K31" s="3">
        <f>J31-I31+1</f>
        <v>14</v>
      </c>
      <c r="L31" s="3">
        <f>ROUND(G31*H31*K31/365,0)</f>
        <v>115068</v>
      </c>
      <c r="M31" s="3">
        <v>197619048</v>
      </c>
    </row>
    <row r="32" spans="1:13" s="16" customFormat="1" outlineLevel="2">
      <c r="A32" s="17" t="s">
        <v>213</v>
      </c>
      <c r="B32" s="18" t="s">
        <v>17</v>
      </c>
      <c r="C32" s="19" t="s">
        <v>58</v>
      </c>
      <c r="D32" s="18" t="s">
        <v>216</v>
      </c>
      <c r="E32" s="3"/>
      <c r="F32" s="17"/>
      <c r="G32" s="3">
        <v>197619048</v>
      </c>
      <c r="H32" s="2">
        <v>1.4999999999999999E-2</v>
      </c>
      <c r="I32" s="17">
        <v>43692</v>
      </c>
      <c r="J32" s="17">
        <v>43708</v>
      </c>
      <c r="K32" s="3">
        <f>J32-I32+1</f>
        <v>17</v>
      </c>
      <c r="L32" s="3">
        <f>ROUND(G32*H32*K32/365,0)</f>
        <v>138063</v>
      </c>
      <c r="M32" s="3"/>
    </row>
    <row r="33" spans="1:13" s="16" customFormat="1" outlineLevel="2">
      <c r="A33" s="17" t="s">
        <v>213</v>
      </c>
      <c r="B33" s="18" t="s">
        <v>31</v>
      </c>
      <c r="C33" s="19" t="s">
        <v>58</v>
      </c>
      <c r="D33" s="18" t="s">
        <v>57</v>
      </c>
      <c r="E33" s="3">
        <v>100000000</v>
      </c>
      <c r="F33" s="17">
        <v>43683</v>
      </c>
      <c r="G33" s="3">
        <v>100000000</v>
      </c>
      <c r="H33" s="2">
        <v>1.4999999999999999E-2</v>
      </c>
      <c r="I33" s="17">
        <v>43683</v>
      </c>
      <c r="J33" s="17">
        <v>43691</v>
      </c>
      <c r="K33" s="3">
        <f>J33-I33+1</f>
        <v>9</v>
      </c>
      <c r="L33" s="3">
        <f>ROUND(G33*H33*K33/365,0)</f>
        <v>36986</v>
      </c>
      <c r="M33" s="3">
        <v>98809524</v>
      </c>
    </row>
    <row r="34" spans="1:13" s="16" customFormat="1" outlineLevel="2">
      <c r="A34" s="17" t="s">
        <v>213</v>
      </c>
      <c r="B34" s="18" t="s">
        <v>31</v>
      </c>
      <c r="C34" s="19" t="s">
        <v>58</v>
      </c>
      <c r="D34" s="18" t="s">
        <v>216</v>
      </c>
      <c r="E34" s="3"/>
      <c r="F34" s="17"/>
      <c r="G34" s="3">
        <v>98809524</v>
      </c>
      <c r="H34" s="2">
        <v>1.4999999999999999E-2</v>
      </c>
      <c r="I34" s="17">
        <v>43692</v>
      </c>
      <c r="J34" s="17">
        <v>43708</v>
      </c>
      <c r="K34" s="3">
        <f>J34-I34+1</f>
        <v>17</v>
      </c>
      <c r="L34" s="3">
        <f>ROUND(G34*H34*K34/365,0)</f>
        <v>69031</v>
      </c>
      <c r="M34" s="3"/>
    </row>
    <row r="35" spans="1:13" s="16" customFormat="1" outlineLevel="2">
      <c r="A35" s="17" t="s">
        <v>213</v>
      </c>
      <c r="B35" s="18" t="s">
        <v>30</v>
      </c>
      <c r="C35" s="19" t="s">
        <v>214</v>
      </c>
      <c r="D35" s="18" t="s">
        <v>215</v>
      </c>
      <c r="E35" s="3">
        <v>16000000</v>
      </c>
      <c r="F35" s="17">
        <v>43671</v>
      </c>
      <c r="G35" s="3">
        <v>16000000</v>
      </c>
      <c r="H35" s="2">
        <v>1.4999999999999999E-2</v>
      </c>
      <c r="I35" s="17">
        <v>43671</v>
      </c>
      <c r="J35" s="17">
        <v>43677</v>
      </c>
      <c r="K35" s="3">
        <f>J35-I35+1</f>
        <v>7</v>
      </c>
      <c r="L35" s="3">
        <f>ROUND(G35*H35*K35/365,0)</f>
        <v>4603</v>
      </c>
      <c r="M35" s="3">
        <v>16000000</v>
      </c>
    </row>
    <row r="36" spans="1:13" s="16" customFormat="1" outlineLevel="2">
      <c r="A36" s="17" t="s">
        <v>213</v>
      </c>
      <c r="B36" s="18" t="s">
        <v>30</v>
      </c>
      <c r="C36" s="19" t="s">
        <v>214</v>
      </c>
      <c r="D36" s="18"/>
      <c r="E36" s="3"/>
      <c r="F36" s="17"/>
      <c r="G36" s="3">
        <v>16000000</v>
      </c>
      <c r="H36" s="2">
        <v>1.4999999999999999E-2</v>
      </c>
      <c r="I36" s="17">
        <v>43678</v>
      </c>
      <c r="J36" s="17">
        <v>43708</v>
      </c>
      <c r="K36" s="3">
        <f>J36-I36+1</f>
        <v>31</v>
      </c>
      <c r="L36" s="3">
        <f>ROUND(G36*H36*K36/365,0)</f>
        <v>20384</v>
      </c>
      <c r="M36" s="3"/>
    </row>
    <row r="37" spans="1:13" s="16" customFormat="1" outlineLevel="2">
      <c r="A37" s="17" t="s">
        <v>213</v>
      </c>
      <c r="B37" s="18" t="s">
        <v>28</v>
      </c>
      <c r="C37" s="19" t="s">
        <v>163</v>
      </c>
      <c r="D37" s="18" t="s">
        <v>162</v>
      </c>
      <c r="E37" s="3">
        <v>36447000</v>
      </c>
      <c r="F37" s="17">
        <v>43704</v>
      </c>
      <c r="G37" s="3">
        <v>36447000</v>
      </c>
      <c r="H37" s="2">
        <v>5.0000000000000001E-3</v>
      </c>
      <c r="I37" s="17">
        <v>43704</v>
      </c>
      <c r="J37" s="17">
        <v>43708</v>
      </c>
      <c r="K37" s="3">
        <f>J37-I37+1</f>
        <v>5</v>
      </c>
      <c r="L37" s="3">
        <f>ROUND(G37*H37*K37/365,0)</f>
        <v>2496</v>
      </c>
      <c r="M37" s="3">
        <v>36447000</v>
      </c>
    </row>
    <row r="38" spans="1:13" s="16" customFormat="1" outlineLevel="2">
      <c r="A38" s="17" t="s">
        <v>213</v>
      </c>
      <c r="B38" s="18" t="s">
        <v>48</v>
      </c>
      <c r="C38" s="19" t="s">
        <v>163</v>
      </c>
      <c r="D38" s="18" t="s">
        <v>162</v>
      </c>
      <c r="E38" s="3">
        <v>45553000</v>
      </c>
      <c r="F38" s="17">
        <v>43704</v>
      </c>
      <c r="G38" s="3">
        <v>45553000</v>
      </c>
      <c r="H38" s="2">
        <v>5.0000000000000001E-3</v>
      </c>
      <c r="I38" s="17">
        <v>43704</v>
      </c>
      <c r="J38" s="17">
        <v>43708</v>
      </c>
      <c r="K38" s="3">
        <f>J38-I38+1</f>
        <v>5</v>
      </c>
      <c r="L38" s="3">
        <f>ROUND(G38*H38*K38/365,0)</f>
        <v>3120</v>
      </c>
      <c r="M38" s="3">
        <v>45553000</v>
      </c>
    </row>
    <row r="39" spans="1:13" s="16" customFormat="1" outlineLevel="1">
      <c r="A39" s="28" t="s">
        <v>135</v>
      </c>
      <c r="B39" s="21"/>
      <c r="C39" s="22"/>
      <c r="D39" s="21"/>
      <c r="E39" s="23">
        <f>SUBTOTAL(9,E31:E38)</f>
        <v>398000000</v>
      </c>
      <c r="F39" s="20"/>
      <c r="G39" s="23"/>
      <c r="H39" s="24"/>
      <c r="I39" s="20"/>
      <c r="J39" s="20"/>
      <c r="K39" s="23"/>
      <c r="L39" s="23">
        <f>SUBTOTAL(9,L31:L38)</f>
        <v>389751</v>
      </c>
      <c r="M39" s="23">
        <f>SUBTOTAL(9,M31:M38)</f>
        <v>394428572</v>
      </c>
    </row>
    <row r="40" spans="1:13" s="16" customFormat="1" outlineLevel="2">
      <c r="A40" s="17" t="s">
        <v>212</v>
      </c>
      <c r="B40" s="18" t="s">
        <v>17</v>
      </c>
      <c r="C40" s="19" t="s">
        <v>63</v>
      </c>
      <c r="D40" s="18" t="s">
        <v>62</v>
      </c>
      <c r="E40" s="3">
        <v>25000000</v>
      </c>
      <c r="F40" s="17">
        <v>43697</v>
      </c>
      <c r="G40" s="3">
        <v>25000000</v>
      </c>
      <c r="H40" s="2">
        <v>5.0000000000000001E-3</v>
      </c>
      <c r="I40" s="17">
        <v>43697</v>
      </c>
      <c r="J40" s="17">
        <v>43708</v>
      </c>
      <c r="K40" s="3">
        <f>J40-I40+1</f>
        <v>12</v>
      </c>
      <c r="L40" s="3">
        <f>ROUND(G40*H40*K40/365,0)</f>
        <v>4110</v>
      </c>
      <c r="M40" s="3">
        <v>25000000</v>
      </c>
    </row>
    <row r="41" spans="1:13" s="16" customFormat="1" outlineLevel="2">
      <c r="A41" s="17" t="s">
        <v>212</v>
      </c>
      <c r="B41" s="18" t="s">
        <v>31</v>
      </c>
      <c r="C41" s="19" t="s">
        <v>63</v>
      </c>
      <c r="D41" s="18" t="s">
        <v>62</v>
      </c>
      <c r="E41" s="3">
        <v>48000000</v>
      </c>
      <c r="F41" s="17">
        <v>43707</v>
      </c>
      <c r="G41" s="3">
        <v>48000000</v>
      </c>
      <c r="H41" s="2">
        <v>5.0000000000000001E-3</v>
      </c>
      <c r="I41" s="17">
        <v>43707</v>
      </c>
      <c r="J41" s="17">
        <v>43708</v>
      </c>
      <c r="K41" s="3">
        <f>J41-I41+1</f>
        <v>2</v>
      </c>
      <c r="L41" s="3">
        <f>ROUND(G41*H41*K41/365,0)</f>
        <v>1315</v>
      </c>
      <c r="M41" s="3">
        <v>48000000</v>
      </c>
    </row>
    <row r="42" spans="1:13" s="16" customFormat="1" outlineLevel="1">
      <c r="A42" s="28" t="s">
        <v>211</v>
      </c>
      <c r="B42" s="21"/>
      <c r="C42" s="22"/>
      <c r="D42" s="21"/>
      <c r="E42" s="23">
        <f>SUBTOTAL(9,E40:E41)</f>
        <v>73000000</v>
      </c>
      <c r="F42" s="20"/>
      <c r="G42" s="23"/>
      <c r="H42" s="24"/>
      <c r="I42" s="20"/>
      <c r="J42" s="20"/>
      <c r="K42" s="23"/>
      <c r="L42" s="23">
        <f>SUBTOTAL(9,L40:L41)</f>
        <v>5425</v>
      </c>
      <c r="M42" s="23">
        <f>SUBTOTAL(9,M40:M41)</f>
        <v>73000000</v>
      </c>
    </row>
    <row r="43" spans="1:13" s="16" customFormat="1" outlineLevel="2">
      <c r="A43" s="17" t="s">
        <v>40</v>
      </c>
      <c r="B43" s="18" t="s">
        <v>17</v>
      </c>
      <c r="C43" s="19" t="s">
        <v>206</v>
      </c>
      <c r="D43" s="18" t="s">
        <v>38</v>
      </c>
      <c r="E43" s="3">
        <v>100000000</v>
      </c>
      <c r="F43" s="17">
        <v>43594</v>
      </c>
      <c r="G43" s="3">
        <v>100000000</v>
      </c>
      <c r="H43" s="2">
        <v>1.4999999999999999E-2</v>
      </c>
      <c r="I43" s="17">
        <v>43678</v>
      </c>
      <c r="J43" s="17">
        <v>43708</v>
      </c>
      <c r="K43" s="3">
        <f>J43-I43+1</f>
        <v>31</v>
      </c>
      <c r="L43" s="3">
        <f>ROUND(G43*H43*K43/365,0)</f>
        <v>127397</v>
      </c>
      <c r="M43" s="3">
        <v>100000000</v>
      </c>
    </row>
    <row r="44" spans="1:13" s="16" customFormat="1" outlineLevel="2">
      <c r="A44" s="17" t="s">
        <v>40</v>
      </c>
      <c r="B44" s="18" t="s">
        <v>31</v>
      </c>
      <c r="C44" s="19" t="s">
        <v>159</v>
      </c>
      <c r="D44" s="18" t="s">
        <v>158</v>
      </c>
      <c r="E44" s="3">
        <v>38097000</v>
      </c>
      <c r="F44" s="17">
        <v>43663</v>
      </c>
      <c r="G44" s="3">
        <v>38097000</v>
      </c>
      <c r="H44" s="2">
        <v>1.4999999999999999E-2</v>
      </c>
      <c r="I44" s="17">
        <v>43678</v>
      </c>
      <c r="J44" s="17">
        <v>43708</v>
      </c>
      <c r="K44" s="3">
        <f>J44-I44+1</f>
        <v>31</v>
      </c>
      <c r="L44" s="3">
        <f>ROUND(G44*H44*K44/365,0)</f>
        <v>48535</v>
      </c>
      <c r="M44" s="3">
        <v>38097000</v>
      </c>
    </row>
    <row r="45" spans="1:13" s="16" customFormat="1" outlineLevel="2">
      <c r="A45" s="17" t="s">
        <v>40</v>
      </c>
      <c r="B45" s="18" t="s">
        <v>30</v>
      </c>
      <c r="C45" s="19" t="s">
        <v>159</v>
      </c>
      <c r="D45" s="18" t="s">
        <v>158</v>
      </c>
      <c r="E45" s="3">
        <v>79839000</v>
      </c>
      <c r="F45" s="17">
        <v>43663</v>
      </c>
      <c r="G45" s="3">
        <v>79839000</v>
      </c>
      <c r="H45" s="2">
        <v>1.4999999999999999E-2</v>
      </c>
      <c r="I45" s="17">
        <v>43678</v>
      </c>
      <c r="J45" s="17">
        <v>43708</v>
      </c>
      <c r="K45" s="3">
        <f>J45-I45+1</f>
        <v>31</v>
      </c>
      <c r="L45" s="3">
        <f>ROUND(G45*H45*K45/365,0)</f>
        <v>101713</v>
      </c>
      <c r="M45" s="3">
        <v>79839000</v>
      </c>
    </row>
    <row r="46" spans="1:13" s="16" customFormat="1" outlineLevel="2">
      <c r="A46" s="17" t="s">
        <v>40</v>
      </c>
      <c r="B46" s="18" t="s">
        <v>28</v>
      </c>
      <c r="C46" s="19" t="s">
        <v>206</v>
      </c>
      <c r="D46" s="18" t="s">
        <v>38</v>
      </c>
      <c r="E46" s="3">
        <v>67000000</v>
      </c>
      <c r="F46" s="17">
        <v>43671</v>
      </c>
      <c r="G46" s="3">
        <v>67000000</v>
      </c>
      <c r="H46" s="2">
        <v>1.4999999999999999E-2</v>
      </c>
      <c r="I46" s="17">
        <v>43678</v>
      </c>
      <c r="J46" s="17">
        <v>43708</v>
      </c>
      <c r="K46" s="3">
        <f>J46-I46+1</f>
        <v>31</v>
      </c>
      <c r="L46" s="3">
        <f>ROUND(G46*H46*K46/365,0)</f>
        <v>85356</v>
      </c>
      <c r="M46" s="3">
        <v>67000000</v>
      </c>
    </row>
    <row r="47" spans="1:13" s="16" customFormat="1" outlineLevel="2">
      <c r="A47" s="17" t="s">
        <v>40</v>
      </c>
      <c r="B47" s="18" t="s">
        <v>48</v>
      </c>
      <c r="C47" s="19" t="s">
        <v>159</v>
      </c>
      <c r="D47" s="18" t="s">
        <v>158</v>
      </c>
      <c r="E47" s="3">
        <v>6635000</v>
      </c>
      <c r="F47" s="17">
        <v>43693</v>
      </c>
      <c r="G47" s="3">
        <v>6635000</v>
      </c>
      <c r="H47" s="2">
        <v>1.4999999999999999E-2</v>
      </c>
      <c r="I47" s="17">
        <v>43693</v>
      </c>
      <c r="J47" s="17">
        <v>43708</v>
      </c>
      <c r="K47" s="3">
        <f>J47-I47+1</f>
        <v>16</v>
      </c>
      <c r="L47" s="3">
        <f>ROUND(G47*H47*K47/365,0)</f>
        <v>4363</v>
      </c>
      <c r="M47" s="3">
        <v>6635000</v>
      </c>
    </row>
    <row r="48" spans="1:13" s="16" customFormat="1" outlineLevel="2">
      <c r="A48" s="17" t="s">
        <v>40</v>
      </c>
      <c r="B48" s="18" t="s">
        <v>47</v>
      </c>
      <c r="C48" s="19" t="s">
        <v>159</v>
      </c>
      <c r="D48" s="18" t="s">
        <v>158</v>
      </c>
      <c r="E48" s="3">
        <v>18206000</v>
      </c>
      <c r="F48" s="17">
        <v>43693</v>
      </c>
      <c r="G48" s="3">
        <v>18206000</v>
      </c>
      <c r="H48" s="2">
        <v>1.4999999999999999E-2</v>
      </c>
      <c r="I48" s="17">
        <v>43693</v>
      </c>
      <c r="J48" s="17">
        <v>43708</v>
      </c>
      <c r="K48" s="3">
        <f>J48-I48+1</f>
        <v>16</v>
      </c>
      <c r="L48" s="3">
        <f>ROUND(G48*H48*K48/365,0)</f>
        <v>11971</v>
      </c>
      <c r="M48" s="3">
        <v>18206000</v>
      </c>
    </row>
    <row r="49" spans="1:13" s="16" customFormat="1" outlineLevel="1">
      <c r="A49" s="28" t="s">
        <v>37</v>
      </c>
      <c r="B49" s="21"/>
      <c r="C49" s="22"/>
      <c r="D49" s="21"/>
      <c r="E49" s="23">
        <f>SUBTOTAL(9,E43:E48)</f>
        <v>309777000</v>
      </c>
      <c r="F49" s="20"/>
      <c r="G49" s="23"/>
      <c r="H49" s="24"/>
      <c r="I49" s="20"/>
      <c r="J49" s="20"/>
      <c r="K49" s="23"/>
      <c r="L49" s="23">
        <f>SUBTOTAL(9,L43:L48)</f>
        <v>379335</v>
      </c>
      <c r="M49" s="23">
        <f>SUBTOTAL(9,M43:M48)</f>
        <v>309777000</v>
      </c>
    </row>
    <row r="50" spans="1:13" s="16" customFormat="1" outlineLevel="2">
      <c r="A50" s="17" t="s">
        <v>36</v>
      </c>
      <c r="B50" s="18" t="s">
        <v>17</v>
      </c>
      <c r="C50" s="19" t="s">
        <v>54</v>
      </c>
      <c r="D50" s="18" t="s">
        <v>34</v>
      </c>
      <c r="E50" s="3">
        <v>21800000</v>
      </c>
      <c r="F50" s="17">
        <v>43591</v>
      </c>
      <c r="G50" s="3">
        <v>21800000</v>
      </c>
      <c r="H50" s="2">
        <v>1.4999999999999999E-2</v>
      </c>
      <c r="I50" s="17">
        <v>43678</v>
      </c>
      <c r="J50" s="17">
        <v>43708</v>
      </c>
      <c r="K50" s="3">
        <f>J50-I50+1</f>
        <v>31</v>
      </c>
      <c r="L50" s="3">
        <f>ROUND(G50*H50*K50/365,0)</f>
        <v>27773</v>
      </c>
      <c r="M50" s="3">
        <v>21800000</v>
      </c>
    </row>
    <row r="51" spans="1:13" s="16" customFormat="1" outlineLevel="2">
      <c r="A51" s="17" t="s">
        <v>36</v>
      </c>
      <c r="B51" s="18" t="s">
        <v>31</v>
      </c>
      <c r="C51" s="19" t="s">
        <v>54</v>
      </c>
      <c r="D51" s="18" t="s">
        <v>34</v>
      </c>
      <c r="E51" s="3">
        <v>32936000</v>
      </c>
      <c r="F51" s="17">
        <v>43621</v>
      </c>
      <c r="G51" s="3">
        <v>32936000</v>
      </c>
      <c r="H51" s="2">
        <v>1.4999999999999999E-2</v>
      </c>
      <c r="I51" s="17">
        <v>43678</v>
      </c>
      <c r="J51" s="17">
        <v>43708</v>
      </c>
      <c r="K51" s="3">
        <f>J51-I51+1</f>
        <v>31</v>
      </c>
      <c r="L51" s="3">
        <f>ROUND(G51*H51*K51/365,0)</f>
        <v>41960</v>
      </c>
      <c r="M51" s="3">
        <v>32936000</v>
      </c>
    </row>
    <row r="52" spans="1:13" s="16" customFormat="1" outlineLevel="2">
      <c r="A52" s="17" t="s">
        <v>36</v>
      </c>
      <c r="B52" s="18" t="s">
        <v>30</v>
      </c>
      <c r="C52" s="19" t="s">
        <v>54</v>
      </c>
      <c r="D52" s="18" t="s">
        <v>34</v>
      </c>
      <c r="E52" s="3">
        <v>1621000</v>
      </c>
      <c r="F52" s="17">
        <v>43641</v>
      </c>
      <c r="G52" s="3">
        <v>1621000</v>
      </c>
      <c r="H52" s="2">
        <v>1.4999999999999999E-2</v>
      </c>
      <c r="I52" s="17">
        <v>43678</v>
      </c>
      <c r="J52" s="17">
        <v>43708</v>
      </c>
      <c r="K52" s="3">
        <f>J52-I52+1</f>
        <v>31</v>
      </c>
      <c r="L52" s="3">
        <f>ROUND(G52*H52*K52/365,0)</f>
        <v>2065</v>
      </c>
      <c r="M52" s="3">
        <v>1621000</v>
      </c>
    </row>
    <row r="53" spans="1:13" s="16" customFormat="1" outlineLevel="2">
      <c r="A53" s="17" t="s">
        <v>36</v>
      </c>
      <c r="B53" s="18" t="s">
        <v>28</v>
      </c>
      <c r="C53" s="19" t="s">
        <v>54</v>
      </c>
      <c r="D53" s="18" t="s">
        <v>34</v>
      </c>
      <c r="E53" s="3">
        <v>8005000</v>
      </c>
      <c r="F53" s="17">
        <v>43651</v>
      </c>
      <c r="G53" s="3">
        <v>8005000</v>
      </c>
      <c r="H53" s="2">
        <v>1.4999999999999999E-2</v>
      </c>
      <c r="I53" s="17">
        <v>43678</v>
      </c>
      <c r="J53" s="17">
        <v>43708</v>
      </c>
      <c r="K53" s="3">
        <f>J53-I53+1</f>
        <v>31</v>
      </c>
      <c r="L53" s="3">
        <f>ROUND(G53*H53*K53/365,0)</f>
        <v>10198</v>
      </c>
      <c r="M53" s="3">
        <v>8005000</v>
      </c>
    </row>
    <row r="54" spans="1:13" s="16" customFormat="1" outlineLevel="2">
      <c r="A54" s="17" t="s">
        <v>36</v>
      </c>
      <c r="B54" s="18" t="s">
        <v>48</v>
      </c>
      <c r="C54" s="19" t="s">
        <v>54</v>
      </c>
      <c r="D54" s="18" t="s">
        <v>34</v>
      </c>
      <c r="E54" s="3">
        <v>90124000</v>
      </c>
      <c r="F54" s="17">
        <v>43661</v>
      </c>
      <c r="G54" s="3">
        <v>90124000</v>
      </c>
      <c r="H54" s="2">
        <v>1.4999999999999999E-2</v>
      </c>
      <c r="I54" s="17">
        <v>43678</v>
      </c>
      <c r="J54" s="17">
        <v>43708</v>
      </c>
      <c r="K54" s="3">
        <f>J54-I54+1</f>
        <v>31</v>
      </c>
      <c r="L54" s="3">
        <f>ROUND(G54*H54*K54/365,0)</f>
        <v>114816</v>
      </c>
      <c r="M54" s="3">
        <v>90124000</v>
      </c>
    </row>
    <row r="55" spans="1:13" s="16" customFormat="1" outlineLevel="2">
      <c r="A55" s="17" t="s">
        <v>36</v>
      </c>
      <c r="B55" s="18" t="s">
        <v>47</v>
      </c>
      <c r="C55" s="19" t="s">
        <v>54</v>
      </c>
      <c r="D55" s="18" t="s">
        <v>34</v>
      </c>
      <c r="E55" s="3">
        <v>4113000</v>
      </c>
      <c r="F55" s="17">
        <v>43682</v>
      </c>
      <c r="G55" s="3">
        <v>4113000</v>
      </c>
      <c r="H55" s="2">
        <v>1.4999999999999999E-2</v>
      </c>
      <c r="I55" s="17">
        <v>43682</v>
      </c>
      <c r="J55" s="17">
        <v>43708</v>
      </c>
      <c r="K55" s="3">
        <f>J55-I55+1</f>
        <v>27</v>
      </c>
      <c r="L55" s="3">
        <f>ROUND(G55*H55*K55/365,0)</f>
        <v>4564</v>
      </c>
      <c r="M55" s="3">
        <v>4113000</v>
      </c>
    </row>
    <row r="56" spans="1:13" s="16" customFormat="1" outlineLevel="2">
      <c r="A56" s="17" t="s">
        <v>36</v>
      </c>
      <c r="B56" s="18" t="s">
        <v>46</v>
      </c>
      <c r="C56" s="19" t="s">
        <v>54</v>
      </c>
      <c r="D56" s="18" t="s">
        <v>34</v>
      </c>
      <c r="E56" s="3">
        <v>166000</v>
      </c>
      <c r="F56" s="17">
        <v>43692</v>
      </c>
      <c r="G56" s="3">
        <v>166000</v>
      </c>
      <c r="H56" s="2">
        <v>1.4999999999999999E-2</v>
      </c>
      <c r="I56" s="17">
        <v>43692</v>
      </c>
      <c r="J56" s="17">
        <v>43708</v>
      </c>
      <c r="K56" s="3">
        <f>J56-I56+1</f>
        <v>17</v>
      </c>
      <c r="L56" s="3">
        <f>ROUND(G56*H56*K56/365,0)</f>
        <v>116</v>
      </c>
      <c r="M56" s="3">
        <v>166000</v>
      </c>
    </row>
    <row r="57" spans="1:13" s="16" customFormat="1" outlineLevel="2">
      <c r="A57" s="17" t="s">
        <v>36</v>
      </c>
      <c r="B57" s="18" t="s">
        <v>45</v>
      </c>
      <c r="C57" s="19" t="s">
        <v>54</v>
      </c>
      <c r="D57" s="18" t="s">
        <v>34</v>
      </c>
      <c r="E57" s="3">
        <v>1538000</v>
      </c>
      <c r="F57" s="17">
        <v>43703</v>
      </c>
      <c r="G57" s="3">
        <v>1538000</v>
      </c>
      <c r="H57" s="2">
        <v>1.4999999999999999E-2</v>
      </c>
      <c r="I57" s="17">
        <v>43703</v>
      </c>
      <c r="J57" s="17">
        <v>43708</v>
      </c>
      <c r="K57" s="3">
        <f>J57-I57+1</f>
        <v>6</v>
      </c>
      <c r="L57" s="3">
        <f>ROUND(G57*H57*K57/365,0)</f>
        <v>379</v>
      </c>
      <c r="M57" s="3">
        <v>1538000</v>
      </c>
    </row>
    <row r="58" spans="1:13" s="16" customFormat="1" outlineLevel="1">
      <c r="A58" s="28" t="s">
        <v>33</v>
      </c>
      <c r="B58" s="21"/>
      <c r="C58" s="22"/>
      <c r="D58" s="21"/>
      <c r="E58" s="23">
        <f>SUBTOTAL(9,E50:E57)</f>
        <v>160303000</v>
      </c>
      <c r="F58" s="20"/>
      <c r="G58" s="23"/>
      <c r="H58" s="24"/>
      <c r="I58" s="20"/>
      <c r="J58" s="20"/>
      <c r="K58" s="23"/>
      <c r="L58" s="23">
        <f>SUBTOTAL(9,L50:L57)</f>
        <v>201871</v>
      </c>
      <c r="M58" s="23">
        <f>SUBTOTAL(9,M50:M57)</f>
        <v>160303000</v>
      </c>
    </row>
    <row r="59" spans="1:13" s="16" customFormat="1" outlineLevel="2">
      <c r="A59" s="17" t="s">
        <v>67</v>
      </c>
      <c r="B59" s="18" t="s">
        <v>17</v>
      </c>
      <c r="C59" s="19" t="s">
        <v>51</v>
      </c>
      <c r="D59" s="18" t="s">
        <v>50</v>
      </c>
      <c r="E59" s="3">
        <v>200000000</v>
      </c>
      <c r="F59" s="17">
        <v>43620</v>
      </c>
      <c r="G59" s="3">
        <v>200000000</v>
      </c>
      <c r="H59" s="2">
        <v>1.4999999999999999E-2</v>
      </c>
      <c r="I59" s="17">
        <v>43678</v>
      </c>
      <c r="J59" s="17">
        <v>43708</v>
      </c>
      <c r="K59" s="3">
        <f>J59-I59+1</f>
        <v>31</v>
      </c>
      <c r="L59" s="3">
        <f>ROUND(G59*H59*K59/365,0)</f>
        <v>254795</v>
      </c>
      <c r="M59" s="3">
        <v>200000000</v>
      </c>
    </row>
    <row r="60" spans="1:13" s="16" customFormat="1" outlineLevel="2">
      <c r="A60" s="17" t="s">
        <v>67</v>
      </c>
      <c r="B60" s="18" t="s">
        <v>31</v>
      </c>
      <c r="C60" s="19" t="s">
        <v>51</v>
      </c>
      <c r="D60" s="18" t="s">
        <v>50</v>
      </c>
      <c r="E60" s="3">
        <v>170000000</v>
      </c>
      <c r="F60" s="17">
        <v>43643</v>
      </c>
      <c r="G60" s="3">
        <v>170000000</v>
      </c>
      <c r="H60" s="2">
        <v>1.4999999999999999E-2</v>
      </c>
      <c r="I60" s="17">
        <v>43678</v>
      </c>
      <c r="J60" s="17">
        <v>43708</v>
      </c>
      <c r="K60" s="3">
        <f>J60-I60+1</f>
        <v>31</v>
      </c>
      <c r="L60" s="3">
        <f>ROUND(G60*H60*K60/365,0)</f>
        <v>216575</v>
      </c>
      <c r="M60" s="3">
        <v>170000000</v>
      </c>
    </row>
    <row r="61" spans="1:13" s="16" customFormat="1" outlineLevel="2">
      <c r="A61" s="17" t="s">
        <v>67</v>
      </c>
      <c r="B61" s="18" t="s">
        <v>30</v>
      </c>
      <c r="C61" s="19" t="s">
        <v>51</v>
      </c>
      <c r="D61" s="18" t="s">
        <v>50</v>
      </c>
      <c r="E61" s="3">
        <v>670000000</v>
      </c>
      <c r="F61" s="17">
        <v>43670</v>
      </c>
      <c r="G61" s="3">
        <v>670000000</v>
      </c>
      <c r="H61" s="2">
        <v>1.4999999999999999E-2</v>
      </c>
      <c r="I61" s="17">
        <v>43678</v>
      </c>
      <c r="J61" s="17">
        <v>43708</v>
      </c>
      <c r="K61" s="3">
        <f>J61-I61+1</f>
        <v>31</v>
      </c>
      <c r="L61" s="3">
        <f>ROUND(G61*H61*K61/365,0)</f>
        <v>853562</v>
      </c>
      <c r="M61" s="3">
        <v>670000000</v>
      </c>
    </row>
    <row r="62" spans="1:13" s="16" customFormat="1" outlineLevel="2">
      <c r="A62" s="17" t="s">
        <v>67</v>
      </c>
      <c r="B62" s="18" t="s">
        <v>28</v>
      </c>
      <c r="C62" s="19" t="s">
        <v>51</v>
      </c>
      <c r="D62" s="18" t="s">
        <v>50</v>
      </c>
      <c r="E62" s="3">
        <v>330000000</v>
      </c>
      <c r="F62" s="17">
        <v>43677</v>
      </c>
      <c r="G62" s="3">
        <v>330000000</v>
      </c>
      <c r="H62" s="2">
        <v>1.4999999999999999E-2</v>
      </c>
      <c r="I62" s="17">
        <v>43678</v>
      </c>
      <c r="J62" s="17">
        <v>43708</v>
      </c>
      <c r="K62" s="3">
        <f>J62-I62+1</f>
        <v>31</v>
      </c>
      <c r="L62" s="3">
        <f>ROUND(G62*H62*K62/365,0)</f>
        <v>420411</v>
      </c>
      <c r="M62" s="3">
        <v>330000000</v>
      </c>
    </row>
    <row r="63" spans="1:13" s="16" customFormat="1" outlineLevel="1">
      <c r="A63" s="28" t="s">
        <v>66</v>
      </c>
      <c r="B63" s="21"/>
      <c r="C63" s="22"/>
      <c r="D63" s="21"/>
      <c r="E63" s="23">
        <f>SUBTOTAL(9,E59:E62)</f>
        <v>1370000000</v>
      </c>
      <c r="F63" s="20"/>
      <c r="G63" s="23"/>
      <c r="H63" s="24"/>
      <c r="I63" s="20"/>
      <c r="J63" s="20"/>
      <c r="K63" s="23"/>
      <c r="L63" s="23">
        <f>SUBTOTAL(9,L59:L62)</f>
        <v>1745343</v>
      </c>
      <c r="M63" s="23">
        <f>SUBTOTAL(9,M59:M62)</f>
        <v>1370000000</v>
      </c>
    </row>
    <row r="64" spans="1:13" s="16" customFormat="1" outlineLevel="2">
      <c r="A64" s="17" t="s">
        <v>65</v>
      </c>
      <c r="B64" s="18" t="s">
        <v>17</v>
      </c>
      <c r="C64" s="19" t="s">
        <v>51</v>
      </c>
      <c r="D64" s="18" t="s">
        <v>50</v>
      </c>
      <c r="E64" s="3">
        <v>500000000</v>
      </c>
      <c r="F64" s="17">
        <v>43635</v>
      </c>
      <c r="G64" s="3">
        <v>500000000</v>
      </c>
      <c r="H64" s="2">
        <v>1.4999999999999999E-2</v>
      </c>
      <c r="I64" s="17">
        <v>43678</v>
      </c>
      <c r="J64" s="17">
        <v>43708</v>
      </c>
      <c r="K64" s="3">
        <f>J64-I64+1</f>
        <v>31</v>
      </c>
      <c r="L64" s="3">
        <f>ROUND(G64*H64*K64/365,0)</f>
        <v>636986</v>
      </c>
      <c r="M64" s="3">
        <v>500000000</v>
      </c>
    </row>
    <row r="65" spans="1:13" s="16" customFormat="1" outlineLevel="2">
      <c r="A65" s="17" t="s">
        <v>65</v>
      </c>
      <c r="B65" s="18" t="s">
        <v>181</v>
      </c>
      <c r="C65" s="19" t="s">
        <v>206</v>
      </c>
      <c r="D65" s="18" t="s">
        <v>38</v>
      </c>
      <c r="E65" s="3">
        <v>200000000</v>
      </c>
      <c r="F65" s="17">
        <v>43706</v>
      </c>
      <c r="G65" s="3">
        <v>200000000</v>
      </c>
      <c r="H65" s="2">
        <v>1.4999999999999999E-2</v>
      </c>
      <c r="I65" s="17">
        <v>43706</v>
      </c>
      <c r="J65" s="17">
        <v>43708</v>
      </c>
      <c r="K65" s="3">
        <f>J65-I65+1</f>
        <v>3</v>
      </c>
      <c r="L65" s="3">
        <f>ROUND(G65*H65*K65/365,0)</f>
        <v>24658</v>
      </c>
      <c r="M65" s="3">
        <v>200000000</v>
      </c>
    </row>
    <row r="66" spans="1:13" s="16" customFormat="1" outlineLevel="2">
      <c r="A66" s="17" t="s">
        <v>65</v>
      </c>
      <c r="B66" s="18" t="s">
        <v>181</v>
      </c>
      <c r="C66" s="19" t="s">
        <v>210</v>
      </c>
      <c r="D66" s="18" t="s">
        <v>209</v>
      </c>
      <c r="E66" s="3">
        <v>3000000</v>
      </c>
      <c r="F66" s="17">
        <v>43682</v>
      </c>
      <c r="G66" s="3">
        <v>3000000</v>
      </c>
      <c r="H66" s="2">
        <v>5.0000000000000001E-3</v>
      </c>
      <c r="I66" s="17">
        <v>43682</v>
      </c>
      <c r="J66" s="17">
        <v>43708</v>
      </c>
      <c r="K66" s="3">
        <f>J66-I66+1</f>
        <v>27</v>
      </c>
      <c r="L66" s="3">
        <f>ROUND(G66*H66*K66/365,0)</f>
        <v>1110</v>
      </c>
      <c r="M66" s="3">
        <v>3000000</v>
      </c>
    </row>
    <row r="67" spans="1:13" s="16" customFormat="1" outlineLevel="2">
      <c r="A67" s="17" t="s">
        <v>65</v>
      </c>
      <c r="B67" s="18" t="s">
        <v>180</v>
      </c>
      <c r="C67" s="19" t="s">
        <v>210</v>
      </c>
      <c r="D67" s="18" t="s">
        <v>209</v>
      </c>
      <c r="E67" s="3">
        <v>23000000</v>
      </c>
      <c r="F67" s="17">
        <v>43706</v>
      </c>
      <c r="G67" s="3">
        <v>23000000</v>
      </c>
      <c r="H67" s="2">
        <v>5.0000000000000001E-3</v>
      </c>
      <c r="I67" s="17">
        <v>43706</v>
      </c>
      <c r="J67" s="17">
        <v>43708</v>
      </c>
      <c r="K67" s="3">
        <f>J67-I67+1</f>
        <v>3</v>
      </c>
      <c r="L67" s="3">
        <f>ROUND(G67*H67*K67/365,0)</f>
        <v>945</v>
      </c>
      <c r="M67" s="3">
        <v>23000000</v>
      </c>
    </row>
    <row r="68" spans="1:13" s="16" customFormat="1" outlineLevel="2">
      <c r="A68" s="17" t="s">
        <v>65</v>
      </c>
      <c r="B68" s="18" t="s">
        <v>31</v>
      </c>
      <c r="C68" s="19" t="s">
        <v>51</v>
      </c>
      <c r="D68" s="18" t="s">
        <v>50</v>
      </c>
      <c r="E68" s="3">
        <v>200000000</v>
      </c>
      <c r="F68" s="17">
        <v>43644</v>
      </c>
      <c r="G68" s="3">
        <v>200000000</v>
      </c>
      <c r="H68" s="2">
        <v>1.4999999999999999E-2</v>
      </c>
      <c r="I68" s="17">
        <v>43678</v>
      </c>
      <c r="J68" s="17">
        <v>43708</v>
      </c>
      <c r="K68" s="3">
        <f>J68-I68+1</f>
        <v>31</v>
      </c>
      <c r="L68" s="3">
        <f>ROUND(G68*H68*K68/365,0)</f>
        <v>254795</v>
      </c>
      <c r="M68" s="3">
        <v>200000000</v>
      </c>
    </row>
    <row r="69" spans="1:13" s="16" customFormat="1" outlineLevel="2">
      <c r="A69" s="17" t="s">
        <v>65</v>
      </c>
      <c r="B69" s="18" t="s">
        <v>30</v>
      </c>
      <c r="C69" s="19" t="s">
        <v>61</v>
      </c>
      <c r="D69" s="18" t="s">
        <v>60</v>
      </c>
      <c r="E69" s="3">
        <v>150000000</v>
      </c>
      <c r="F69" s="17">
        <v>43635</v>
      </c>
      <c r="G69" s="3">
        <v>150000000</v>
      </c>
      <c r="H69" s="2">
        <v>1.4999999999999999E-2</v>
      </c>
      <c r="I69" s="17">
        <v>43678</v>
      </c>
      <c r="J69" s="17">
        <v>43708</v>
      </c>
      <c r="K69" s="3">
        <f>J69-I69+1</f>
        <v>31</v>
      </c>
      <c r="L69" s="3">
        <f>ROUND(G69*H69*K69/365,0)</f>
        <v>191096</v>
      </c>
      <c r="M69" s="3">
        <v>150000000</v>
      </c>
    </row>
    <row r="70" spans="1:13" s="16" customFormat="1" outlineLevel="2">
      <c r="A70" s="17" t="s">
        <v>65</v>
      </c>
      <c r="B70" s="18" t="s">
        <v>28</v>
      </c>
      <c r="C70" s="19" t="s">
        <v>51</v>
      </c>
      <c r="D70" s="18" t="s">
        <v>50</v>
      </c>
      <c r="E70" s="3">
        <v>400000000</v>
      </c>
      <c r="F70" s="17">
        <v>43663</v>
      </c>
      <c r="G70" s="3">
        <v>400000000</v>
      </c>
      <c r="H70" s="2">
        <v>1.4999999999999999E-2</v>
      </c>
      <c r="I70" s="17">
        <v>43678</v>
      </c>
      <c r="J70" s="17">
        <v>43708</v>
      </c>
      <c r="K70" s="3">
        <f>J70-I70+1</f>
        <v>31</v>
      </c>
      <c r="L70" s="3">
        <f>ROUND(G70*H70*K70/365,0)</f>
        <v>509589</v>
      </c>
      <c r="M70" s="3">
        <v>400000000</v>
      </c>
    </row>
    <row r="71" spans="1:13" s="16" customFormat="1" outlineLevel="2">
      <c r="A71" s="17" t="s">
        <v>65</v>
      </c>
      <c r="B71" s="18" t="s">
        <v>48</v>
      </c>
      <c r="C71" s="19" t="s">
        <v>173</v>
      </c>
      <c r="D71" s="18" t="s">
        <v>172</v>
      </c>
      <c r="E71" s="3">
        <v>1000000000</v>
      </c>
      <c r="F71" s="17">
        <v>43672</v>
      </c>
      <c r="G71" s="3">
        <v>1000000000</v>
      </c>
      <c r="H71" s="2">
        <v>1.4999999999999999E-2</v>
      </c>
      <c r="I71" s="17">
        <v>43678</v>
      </c>
      <c r="J71" s="17">
        <v>43708</v>
      </c>
      <c r="K71" s="3">
        <f>J71-I71+1</f>
        <v>31</v>
      </c>
      <c r="L71" s="3">
        <f>ROUND(G71*H71*K71/365,0)</f>
        <v>1273973</v>
      </c>
      <c r="M71" s="3">
        <v>1000000000</v>
      </c>
    </row>
    <row r="72" spans="1:13" s="16" customFormat="1" outlineLevel="2">
      <c r="A72" s="17" t="s">
        <v>65</v>
      </c>
      <c r="B72" s="18" t="s">
        <v>47</v>
      </c>
      <c r="C72" s="19" t="s">
        <v>208</v>
      </c>
      <c r="D72" s="18" t="s">
        <v>207</v>
      </c>
      <c r="E72" s="3">
        <v>29300670</v>
      </c>
      <c r="F72" s="17">
        <v>43658</v>
      </c>
      <c r="G72" s="3">
        <v>29300670</v>
      </c>
      <c r="H72" s="2">
        <v>1.4999999999999999E-2</v>
      </c>
      <c r="I72" s="17">
        <v>43678</v>
      </c>
      <c r="J72" s="17">
        <v>43708</v>
      </c>
      <c r="K72" s="3">
        <f>J72-I72+1</f>
        <v>31</v>
      </c>
      <c r="L72" s="3">
        <f>ROUND(G72*H72*K72/365,0)</f>
        <v>37328</v>
      </c>
      <c r="M72" s="3">
        <v>29300670</v>
      </c>
    </row>
    <row r="73" spans="1:13" s="16" customFormat="1" outlineLevel="2">
      <c r="A73" s="17" t="s">
        <v>65</v>
      </c>
      <c r="B73" s="18" t="s">
        <v>46</v>
      </c>
      <c r="C73" s="19" t="s">
        <v>61</v>
      </c>
      <c r="D73" s="18" t="s">
        <v>60</v>
      </c>
      <c r="E73" s="3">
        <v>100000000</v>
      </c>
      <c r="F73" s="17">
        <v>43649</v>
      </c>
      <c r="G73" s="3">
        <v>100000000</v>
      </c>
      <c r="H73" s="2">
        <v>1.4999999999999999E-2</v>
      </c>
      <c r="I73" s="17">
        <v>43678</v>
      </c>
      <c r="J73" s="17">
        <v>43708</v>
      </c>
      <c r="K73" s="3">
        <f>J73-I73+1</f>
        <v>31</v>
      </c>
      <c r="L73" s="3">
        <f>ROUND(G73*H73*K73/365,0)</f>
        <v>127397</v>
      </c>
      <c r="M73" s="3">
        <v>100000000</v>
      </c>
    </row>
    <row r="74" spans="1:13" s="16" customFormat="1" outlineLevel="2">
      <c r="A74" s="17" t="s">
        <v>65</v>
      </c>
      <c r="B74" s="18" t="s">
        <v>45</v>
      </c>
      <c r="C74" s="19" t="s">
        <v>206</v>
      </c>
      <c r="D74" s="18" t="s">
        <v>38</v>
      </c>
      <c r="E74" s="3">
        <v>70000000</v>
      </c>
      <c r="F74" s="17">
        <v>43656</v>
      </c>
      <c r="G74" s="3">
        <v>70000000</v>
      </c>
      <c r="H74" s="2">
        <v>1.4999999999999999E-2</v>
      </c>
      <c r="I74" s="17">
        <v>43678</v>
      </c>
      <c r="J74" s="17">
        <v>43708</v>
      </c>
      <c r="K74" s="3">
        <f>J74-I74+1</f>
        <v>31</v>
      </c>
      <c r="L74" s="3">
        <f>ROUND(G74*H74*K74/365,0)</f>
        <v>89178</v>
      </c>
      <c r="M74" s="3">
        <v>70000000</v>
      </c>
    </row>
    <row r="75" spans="1:13" s="16" customFormat="1" outlineLevel="2">
      <c r="A75" s="17" t="s">
        <v>65</v>
      </c>
      <c r="B75" s="18" t="s">
        <v>44</v>
      </c>
      <c r="C75" s="19" t="s">
        <v>206</v>
      </c>
      <c r="D75" s="18" t="s">
        <v>38</v>
      </c>
      <c r="E75" s="3">
        <v>116000000</v>
      </c>
      <c r="F75" s="17">
        <v>43676</v>
      </c>
      <c r="G75" s="3">
        <v>116000000</v>
      </c>
      <c r="H75" s="2">
        <v>1.4999999999999999E-2</v>
      </c>
      <c r="I75" s="17">
        <v>43678</v>
      </c>
      <c r="J75" s="17">
        <v>43708</v>
      </c>
      <c r="K75" s="3">
        <f>J75-I75+1</f>
        <v>31</v>
      </c>
      <c r="L75" s="3">
        <f>ROUND(G75*H75*K75/365,0)</f>
        <v>147781</v>
      </c>
      <c r="M75" s="3">
        <v>116000000</v>
      </c>
    </row>
    <row r="76" spans="1:13" s="16" customFormat="1" outlineLevel="1">
      <c r="A76" s="28" t="s">
        <v>64</v>
      </c>
      <c r="B76" s="21"/>
      <c r="C76" s="22"/>
      <c r="D76" s="21"/>
      <c r="E76" s="23">
        <f>SUBTOTAL(9,E64:E75)</f>
        <v>2791300670</v>
      </c>
      <c r="F76" s="20"/>
      <c r="G76" s="23"/>
      <c r="H76" s="24"/>
      <c r="I76" s="20"/>
      <c r="J76" s="20"/>
      <c r="K76" s="23"/>
      <c r="L76" s="23">
        <f>SUBTOTAL(9,L64:L75)</f>
        <v>3294836</v>
      </c>
      <c r="M76" s="23">
        <f>SUBTOTAL(9,M64:M75)</f>
        <v>2791300670</v>
      </c>
    </row>
    <row r="77" spans="1:13" s="16" customFormat="1" outlineLevel="2">
      <c r="A77" s="17" t="s">
        <v>16</v>
      </c>
      <c r="B77" s="18" t="s">
        <v>17</v>
      </c>
      <c r="C77" s="19" t="s">
        <v>205</v>
      </c>
      <c r="D77" s="18" t="s">
        <v>19</v>
      </c>
      <c r="E77" s="3">
        <v>200000000</v>
      </c>
      <c r="F77" s="17">
        <v>43556</v>
      </c>
      <c r="G77" s="3">
        <v>200000000</v>
      </c>
      <c r="H77" s="2">
        <v>1.4999999999999999E-2</v>
      </c>
      <c r="I77" s="17">
        <v>43678</v>
      </c>
      <c r="J77" s="17">
        <v>43708</v>
      </c>
      <c r="K77" s="3">
        <f>J77-I77+1</f>
        <v>31</v>
      </c>
      <c r="L77" s="3">
        <f>ROUND(G77*H77*K77/365,0)</f>
        <v>254795</v>
      </c>
      <c r="M77" s="3">
        <v>200000000</v>
      </c>
    </row>
    <row r="78" spans="1:13" s="16" customFormat="1" outlineLevel="2">
      <c r="A78" s="17" t="s">
        <v>16</v>
      </c>
      <c r="B78" s="18" t="s">
        <v>181</v>
      </c>
      <c r="C78" s="19" t="s">
        <v>159</v>
      </c>
      <c r="D78" s="18" t="s">
        <v>158</v>
      </c>
      <c r="E78" s="3">
        <v>66532000</v>
      </c>
      <c r="F78" s="17">
        <v>43663</v>
      </c>
      <c r="G78" s="3">
        <v>66532000</v>
      </c>
      <c r="H78" s="2">
        <v>1.4999999999999999E-2</v>
      </c>
      <c r="I78" s="17">
        <v>43678</v>
      </c>
      <c r="J78" s="17">
        <v>43708</v>
      </c>
      <c r="K78" s="3">
        <f>J78-I78+1</f>
        <v>31</v>
      </c>
      <c r="L78" s="3">
        <f>ROUND(G78*H78*K78/365,0)</f>
        <v>84760</v>
      </c>
      <c r="M78" s="3">
        <v>66532000</v>
      </c>
    </row>
    <row r="79" spans="1:13" s="16" customFormat="1" outlineLevel="2">
      <c r="A79" s="17" t="s">
        <v>16</v>
      </c>
      <c r="B79" s="18" t="s">
        <v>180</v>
      </c>
      <c r="C79" s="19" t="s">
        <v>159</v>
      </c>
      <c r="D79" s="18" t="s">
        <v>158</v>
      </c>
      <c r="E79" s="3">
        <v>5530000</v>
      </c>
      <c r="F79" s="17">
        <v>43693</v>
      </c>
      <c r="G79" s="3">
        <v>5530000</v>
      </c>
      <c r="H79" s="2">
        <v>1.4999999999999999E-2</v>
      </c>
      <c r="I79" s="17">
        <v>43693</v>
      </c>
      <c r="J79" s="17">
        <v>43708</v>
      </c>
      <c r="K79" s="3">
        <f>J79-I79+1</f>
        <v>16</v>
      </c>
      <c r="L79" s="3">
        <f>ROUND(G79*H79*K79/365,0)</f>
        <v>3636</v>
      </c>
      <c r="M79" s="3">
        <v>5530000</v>
      </c>
    </row>
    <row r="80" spans="1:13" s="16" customFormat="1" outlineLevel="2">
      <c r="A80" s="17" t="s">
        <v>16</v>
      </c>
      <c r="B80" s="18" t="s">
        <v>179</v>
      </c>
      <c r="C80" s="19" t="s">
        <v>159</v>
      </c>
      <c r="D80" s="18" t="s">
        <v>158</v>
      </c>
      <c r="E80" s="3">
        <v>15172000</v>
      </c>
      <c r="F80" s="17">
        <v>43693</v>
      </c>
      <c r="G80" s="3">
        <v>15172000</v>
      </c>
      <c r="H80" s="2">
        <v>1.4999999999999999E-2</v>
      </c>
      <c r="I80" s="17">
        <v>43693</v>
      </c>
      <c r="J80" s="17">
        <v>43708</v>
      </c>
      <c r="K80" s="3">
        <f>J80-I80+1</f>
        <v>16</v>
      </c>
      <c r="L80" s="3">
        <f>ROUND(G80*H80*K80/365,0)</f>
        <v>9976</v>
      </c>
      <c r="M80" s="3">
        <v>15172000</v>
      </c>
    </row>
    <row r="81" spans="1:13" s="16" customFormat="1" outlineLevel="2">
      <c r="A81" s="17" t="s">
        <v>16</v>
      </c>
      <c r="B81" s="18" t="s">
        <v>31</v>
      </c>
      <c r="C81" s="19" t="s">
        <v>63</v>
      </c>
      <c r="D81" s="18" t="s">
        <v>62</v>
      </c>
      <c r="E81" s="3">
        <v>50000000</v>
      </c>
      <c r="F81" s="17">
        <v>43607</v>
      </c>
      <c r="G81" s="3">
        <v>50000000</v>
      </c>
      <c r="H81" s="2">
        <v>1.4999999999999999E-2</v>
      </c>
      <c r="I81" s="17">
        <v>43678</v>
      </c>
      <c r="J81" s="17">
        <v>43708</v>
      </c>
      <c r="K81" s="3">
        <f>J81-I81+1</f>
        <v>31</v>
      </c>
      <c r="L81" s="3">
        <f>ROUND(G81*H81*K81/365,0)</f>
        <v>63699</v>
      </c>
      <c r="M81" s="3">
        <v>50000000</v>
      </c>
    </row>
    <row r="82" spans="1:13" s="16" customFormat="1" outlineLevel="2">
      <c r="A82" s="17" t="s">
        <v>16</v>
      </c>
      <c r="B82" s="18" t="s">
        <v>30</v>
      </c>
      <c r="C82" s="19" t="s">
        <v>63</v>
      </c>
      <c r="D82" s="18" t="s">
        <v>62</v>
      </c>
      <c r="E82" s="3">
        <v>50000000</v>
      </c>
      <c r="F82" s="17">
        <v>43615</v>
      </c>
      <c r="G82" s="3">
        <v>50000000</v>
      </c>
      <c r="H82" s="2">
        <v>1.4999999999999999E-2</v>
      </c>
      <c r="I82" s="17">
        <v>43678</v>
      </c>
      <c r="J82" s="17">
        <v>43708</v>
      </c>
      <c r="K82" s="3">
        <f>J82-I82+1</f>
        <v>31</v>
      </c>
      <c r="L82" s="3">
        <f>ROUND(G82*H82*K82/365,0)</f>
        <v>63699</v>
      </c>
      <c r="M82" s="3">
        <v>50000000</v>
      </c>
    </row>
    <row r="83" spans="1:13" s="16" customFormat="1" outlineLevel="2">
      <c r="A83" s="17" t="s">
        <v>16</v>
      </c>
      <c r="B83" s="18" t="s">
        <v>28</v>
      </c>
      <c r="C83" s="19" t="s">
        <v>61</v>
      </c>
      <c r="D83" s="18" t="s">
        <v>60</v>
      </c>
      <c r="E83" s="3">
        <v>150000000</v>
      </c>
      <c r="F83" s="17">
        <v>43640</v>
      </c>
      <c r="G83" s="3">
        <v>150000000</v>
      </c>
      <c r="H83" s="2">
        <v>1.4999999999999999E-2</v>
      </c>
      <c r="I83" s="17">
        <v>43678</v>
      </c>
      <c r="J83" s="17">
        <v>43708</v>
      </c>
      <c r="K83" s="3">
        <f>J83-I83+1</f>
        <v>31</v>
      </c>
      <c r="L83" s="3">
        <f>ROUND(G83*H83*K83/365,0)</f>
        <v>191096</v>
      </c>
      <c r="M83" s="3">
        <v>150000000</v>
      </c>
    </row>
    <row r="84" spans="1:13" s="16" customFormat="1" outlineLevel="2">
      <c r="A84" s="17" t="s">
        <v>16</v>
      </c>
      <c r="B84" s="18" t="s">
        <v>48</v>
      </c>
      <c r="C84" s="19" t="s">
        <v>63</v>
      </c>
      <c r="D84" s="18" t="s">
        <v>62</v>
      </c>
      <c r="E84" s="3">
        <v>30000000</v>
      </c>
      <c r="F84" s="17">
        <v>43651</v>
      </c>
      <c r="G84" s="3">
        <v>30000000</v>
      </c>
      <c r="H84" s="2">
        <v>1.4999999999999999E-2</v>
      </c>
      <c r="I84" s="17">
        <v>43678</v>
      </c>
      <c r="J84" s="17">
        <v>43708</v>
      </c>
      <c r="K84" s="3">
        <f>J84-I84+1</f>
        <v>31</v>
      </c>
      <c r="L84" s="3">
        <f>ROUND(G84*H84*K84/365,0)</f>
        <v>38219</v>
      </c>
      <c r="M84" s="3">
        <v>30000000</v>
      </c>
    </row>
    <row r="85" spans="1:13" s="16" customFormat="1" outlineLevel="2">
      <c r="A85" s="17" t="s">
        <v>16</v>
      </c>
      <c r="B85" s="18" t="s">
        <v>47</v>
      </c>
      <c r="C85" s="19" t="s">
        <v>63</v>
      </c>
      <c r="D85" s="18" t="s">
        <v>62</v>
      </c>
      <c r="E85" s="3">
        <v>30000000</v>
      </c>
      <c r="F85" s="17">
        <v>43655</v>
      </c>
      <c r="G85" s="3">
        <v>30000000</v>
      </c>
      <c r="H85" s="2">
        <v>1.4999999999999999E-2</v>
      </c>
      <c r="I85" s="17">
        <v>43678</v>
      </c>
      <c r="J85" s="17">
        <v>43708</v>
      </c>
      <c r="K85" s="3">
        <f>J85-I85+1</f>
        <v>31</v>
      </c>
      <c r="L85" s="3">
        <f>ROUND(G85*H85*K85/365,0)</f>
        <v>38219</v>
      </c>
      <c r="M85" s="3">
        <v>30000000</v>
      </c>
    </row>
    <row r="86" spans="1:13" s="16" customFormat="1" outlineLevel="2">
      <c r="A86" s="17" t="s">
        <v>16</v>
      </c>
      <c r="B86" s="18" t="s">
        <v>46</v>
      </c>
      <c r="C86" s="19" t="s">
        <v>63</v>
      </c>
      <c r="D86" s="18" t="s">
        <v>62</v>
      </c>
      <c r="E86" s="3">
        <v>35000000</v>
      </c>
      <c r="F86" s="17">
        <v>43663</v>
      </c>
      <c r="G86" s="3">
        <v>35000000</v>
      </c>
      <c r="H86" s="2">
        <v>1.4999999999999999E-2</v>
      </c>
      <c r="I86" s="17">
        <v>43678</v>
      </c>
      <c r="J86" s="17">
        <v>43708</v>
      </c>
      <c r="K86" s="3">
        <f>J86-I86+1</f>
        <v>31</v>
      </c>
      <c r="L86" s="3">
        <f>ROUND(G86*H86*K86/365,0)</f>
        <v>44589</v>
      </c>
      <c r="M86" s="3">
        <v>35000000</v>
      </c>
    </row>
    <row r="87" spans="1:13" s="16" customFormat="1" outlineLevel="2">
      <c r="A87" s="17" t="s">
        <v>16</v>
      </c>
      <c r="B87" s="18" t="s">
        <v>45</v>
      </c>
      <c r="C87" s="19" t="s">
        <v>63</v>
      </c>
      <c r="D87" s="18" t="s">
        <v>62</v>
      </c>
      <c r="E87" s="3">
        <v>40000000</v>
      </c>
      <c r="F87" s="17">
        <v>43665</v>
      </c>
      <c r="G87" s="3">
        <v>40000000</v>
      </c>
      <c r="H87" s="2">
        <v>1.4999999999999999E-2</v>
      </c>
      <c r="I87" s="17">
        <v>43678</v>
      </c>
      <c r="J87" s="17">
        <v>43708</v>
      </c>
      <c r="K87" s="3">
        <f>J87-I87+1</f>
        <v>31</v>
      </c>
      <c r="L87" s="3">
        <f>ROUND(G87*H87*K87/365,0)</f>
        <v>50959</v>
      </c>
      <c r="M87" s="3">
        <v>40000000</v>
      </c>
    </row>
    <row r="88" spans="1:13" s="16" customFormat="1" outlineLevel="2">
      <c r="A88" s="17" t="s">
        <v>16</v>
      </c>
      <c r="B88" s="18" t="s">
        <v>44</v>
      </c>
      <c r="C88" s="19" t="s">
        <v>159</v>
      </c>
      <c r="D88" s="18" t="s">
        <v>158</v>
      </c>
      <c r="E88" s="3">
        <v>31748000</v>
      </c>
      <c r="F88" s="17">
        <v>43663</v>
      </c>
      <c r="G88" s="3">
        <v>31748000</v>
      </c>
      <c r="H88" s="2">
        <v>1.4999999999999999E-2</v>
      </c>
      <c r="I88" s="17">
        <v>43678</v>
      </c>
      <c r="J88" s="17">
        <v>43708</v>
      </c>
      <c r="K88" s="3">
        <f>J88-I88+1</f>
        <v>31</v>
      </c>
      <c r="L88" s="3">
        <f>ROUND(G88*H88*K88/365,0)</f>
        <v>40446</v>
      </c>
      <c r="M88" s="3">
        <v>31748000</v>
      </c>
    </row>
    <row r="89" spans="1:13" s="16" customFormat="1" outlineLevel="1">
      <c r="A89" s="28" t="s">
        <v>32</v>
      </c>
      <c r="B89" s="21"/>
      <c r="C89" s="22"/>
      <c r="D89" s="21"/>
      <c r="E89" s="23">
        <f>SUBTOTAL(9,E77:E88)</f>
        <v>703982000</v>
      </c>
      <c r="F89" s="20"/>
      <c r="G89" s="23"/>
      <c r="H89" s="24"/>
      <c r="I89" s="20"/>
      <c r="J89" s="20"/>
      <c r="K89" s="23"/>
      <c r="L89" s="23">
        <f>SUBTOTAL(9,L77:L88)</f>
        <v>884093</v>
      </c>
      <c r="M89" s="23">
        <f>SUBTOTAL(9,M77:M88)</f>
        <v>703982000</v>
      </c>
    </row>
    <row r="90" spans="1:13" s="16" customFormat="1" outlineLevel="2">
      <c r="A90" s="17" t="s">
        <v>59</v>
      </c>
      <c r="B90" s="18" t="s">
        <v>17</v>
      </c>
      <c r="C90" s="19" t="s">
        <v>58</v>
      </c>
      <c r="D90" s="18" t="s">
        <v>57</v>
      </c>
      <c r="E90" s="3">
        <v>200000000</v>
      </c>
      <c r="F90" s="17">
        <v>43613</v>
      </c>
      <c r="G90" s="3">
        <v>200000000</v>
      </c>
      <c r="H90" s="2">
        <v>1.4999999999999999E-2</v>
      </c>
      <c r="I90" s="17">
        <v>43678</v>
      </c>
      <c r="J90" s="17">
        <v>43708</v>
      </c>
      <c r="K90" s="3">
        <f>J90-I90+1</f>
        <v>31</v>
      </c>
      <c r="L90" s="3">
        <f>ROUND(G90*H90*K90/365,0)</f>
        <v>254795</v>
      </c>
      <c r="M90" s="3">
        <v>200000000</v>
      </c>
    </row>
    <row r="91" spans="1:13" s="16" customFormat="1" outlineLevel="1">
      <c r="A91" s="28" t="s">
        <v>56</v>
      </c>
      <c r="B91" s="21"/>
      <c r="C91" s="22"/>
      <c r="D91" s="21"/>
      <c r="E91" s="23">
        <f>SUBTOTAL(9,E90:E90)</f>
        <v>200000000</v>
      </c>
      <c r="F91" s="20"/>
      <c r="G91" s="23"/>
      <c r="H91" s="24"/>
      <c r="I91" s="20"/>
      <c r="J91" s="20"/>
      <c r="K91" s="23"/>
      <c r="L91" s="23">
        <f>SUBTOTAL(9,L90:L90)</f>
        <v>254795</v>
      </c>
      <c r="M91" s="23">
        <f>SUBTOTAL(9,M90:M90)</f>
        <v>200000000</v>
      </c>
    </row>
    <row r="92" spans="1:13" s="16" customFormat="1" outlineLevel="2">
      <c r="A92" s="17" t="s">
        <v>202</v>
      </c>
      <c r="B92" s="18" t="s">
        <v>17</v>
      </c>
      <c r="C92" s="19" t="s">
        <v>204</v>
      </c>
      <c r="D92" s="18" t="s">
        <v>203</v>
      </c>
      <c r="E92" s="3">
        <v>60000000</v>
      </c>
      <c r="F92" s="17">
        <v>43685</v>
      </c>
      <c r="G92" s="3">
        <v>60000000</v>
      </c>
      <c r="H92" s="2">
        <v>5.0000000000000001E-3</v>
      </c>
      <c r="I92" s="17">
        <v>43685</v>
      </c>
      <c r="J92" s="17">
        <v>43708</v>
      </c>
      <c r="K92" s="3">
        <f>J92-I92+1</f>
        <v>24</v>
      </c>
      <c r="L92" s="3">
        <f>ROUND(G92*H92*K92/365,0)</f>
        <v>19726</v>
      </c>
      <c r="M92" s="3">
        <v>60000000</v>
      </c>
    </row>
    <row r="93" spans="1:13" s="16" customFormat="1" outlineLevel="2">
      <c r="A93" s="17" t="s">
        <v>202</v>
      </c>
      <c r="B93" s="18" t="s">
        <v>31</v>
      </c>
      <c r="C93" s="19" t="s">
        <v>201</v>
      </c>
      <c r="D93" s="18" t="s">
        <v>200</v>
      </c>
      <c r="E93" s="3">
        <v>20700000</v>
      </c>
      <c r="F93" s="17">
        <v>43696</v>
      </c>
      <c r="G93" s="3">
        <v>20700000</v>
      </c>
      <c r="H93" s="2">
        <v>5.0000000000000001E-3</v>
      </c>
      <c r="I93" s="17">
        <v>43696</v>
      </c>
      <c r="J93" s="17">
        <v>43708</v>
      </c>
      <c r="K93" s="3">
        <f>J93-I93+1</f>
        <v>13</v>
      </c>
      <c r="L93" s="3">
        <f>ROUND(G93*H93*K93/365,0)</f>
        <v>3686</v>
      </c>
      <c r="M93" s="3">
        <v>20700000</v>
      </c>
    </row>
    <row r="94" spans="1:13" s="16" customFormat="1" outlineLevel="1">
      <c r="A94" s="28" t="s">
        <v>199</v>
      </c>
      <c r="B94" s="21"/>
      <c r="C94" s="22"/>
      <c r="D94" s="21"/>
      <c r="E94" s="23">
        <f>SUBTOTAL(9,E92:E93)</f>
        <v>80700000</v>
      </c>
      <c r="F94" s="20"/>
      <c r="G94" s="23"/>
      <c r="H94" s="24"/>
      <c r="I94" s="20"/>
      <c r="J94" s="20"/>
      <c r="K94" s="23"/>
      <c r="L94" s="23">
        <f>SUBTOTAL(9,L92:L93)</f>
        <v>23412</v>
      </c>
      <c r="M94" s="23">
        <f>SUBTOTAL(9,M92:M93)</f>
        <v>80700000</v>
      </c>
    </row>
    <row r="95" spans="1:13" s="16" customFormat="1" outlineLevel="2">
      <c r="A95" s="17" t="s">
        <v>55</v>
      </c>
      <c r="B95" s="18" t="s">
        <v>17</v>
      </c>
      <c r="C95" s="19" t="s">
        <v>54</v>
      </c>
      <c r="D95" s="18" t="s">
        <v>34</v>
      </c>
      <c r="E95" s="3">
        <v>3656000</v>
      </c>
      <c r="F95" s="17">
        <v>43633</v>
      </c>
      <c r="G95" s="3">
        <v>3656000</v>
      </c>
      <c r="H95" s="2">
        <v>1.4999999999999999E-2</v>
      </c>
      <c r="I95" s="17">
        <v>43678</v>
      </c>
      <c r="J95" s="17">
        <v>43708</v>
      </c>
      <c r="K95" s="3">
        <f>J95-I95+1</f>
        <v>31</v>
      </c>
      <c r="L95" s="3">
        <f>ROUND(G95*H95*K95/365,0)</f>
        <v>4658</v>
      </c>
      <c r="M95" s="3">
        <v>3656000</v>
      </c>
    </row>
    <row r="96" spans="1:13" s="16" customFormat="1" outlineLevel="2">
      <c r="A96" s="17" t="s">
        <v>55</v>
      </c>
      <c r="B96" s="18" t="s">
        <v>181</v>
      </c>
      <c r="C96" s="19" t="s">
        <v>51</v>
      </c>
      <c r="D96" s="18" t="s">
        <v>50</v>
      </c>
      <c r="E96" s="3">
        <v>85000000</v>
      </c>
      <c r="F96" s="17">
        <v>43672</v>
      </c>
      <c r="G96" s="3">
        <v>85000000</v>
      </c>
      <c r="H96" s="2">
        <v>1.4999999999999999E-2</v>
      </c>
      <c r="I96" s="17">
        <v>43678</v>
      </c>
      <c r="J96" s="17">
        <v>43708</v>
      </c>
      <c r="K96" s="3">
        <f>J96-I96+1</f>
        <v>31</v>
      </c>
      <c r="L96" s="3">
        <f>ROUND(G96*H96*K96/365,0)</f>
        <v>108288</v>
      </c>
      <c r="M96" s="3">
        <v>85000000</v>
      </c>
    </row>
    <row r="97" spans="1:13" s="16" customFormat="1" outlineLevel="2">
      <c r="A97" s="17" t="s">
        <v>55</v>
      </c>
      <c r="B97" s="18" t="s">
        <v>180</v>
      </c>
      <c r="C97" s="19" t="s">
        <v>51</v>
      </c>
      <c r="D97" s="18" t="s">
        <v>50</v>
      </c>
      <c r="E97" s="3">
        <v>15000000</v>
      </c>
      <c r="F97" s="17">
        <v>43677</v>
      </c>
      <c r="G97" s="3">
        <v>15000000</v>
      </c>
      <c r="H97" s="2">
        <v>1.4999999999999999E-2</v>
      </c>
      <c r="I97" s="17">
        <v>43678</v>
      </c>
      <c r="J97" s="17">
        <v>43708</v>
      </c>
      <c r="K97" s="3">
        <f>J97-I97+1</f>
        <v>31</v>
      </c>
      <c r="L97" s="3">
        <f>ROUND(G97*H97*K97/365,0)</f>
        <v>19110</v>
      </c>
      <c r="M97" s="3">
        <v>15000000</v>
      </c>
    </row>
    <row r="98" spans="1:13" s="16" customFormat="1" outlineLevel="2">
      <c r="A98" s="17" t="s">
        <v>55</v>
      </c>
      <c r="B98" s="18" t="s">
        <v>179</v>
      </c>
      <c r="C98" s="19" t="s">
        <v>51</v>
      </c>
      <c r="D98" s="18" t="s">
        <v>50</v>
      </c>
      <c r="E98" s="3">
        <v>96000000</v>
      </c>
      <c r="F98" s="17">
        <v>43650</v>
      </c>
      <c r="G98" s="3">
        <v>96000000</v>
      </c>
      <c r="H98" s="2">
        <v>1.4999999999999999E-2</v>
      </c>
      <c r="I98" s="17">
        <v>43678</v>
      </c>
      <c r="J98" s="17">
        <v>43708</v>
      </c>
      <c r="K98" s="3">
        <f>J98-I98+1</f>
        <v>31</v>
      </c>
      <c r="L98" s="3">
        <f>ROUND(G98*H98*K98/365,0)</f>
        <v>122301</v>
      </c>
      <c r="M98" s="3">
        <v>96000000</v>
      </c>
    </row>
    <row r="99" spans="1:13" s="16" customFormat="1" outlineLevel="2">
      <c r="A99" s="17" t="s">
        <v>55</v>
      </c>
      <c r="B99" s="18" t="s">
        <v>178</v>
      </c>
      <c r="C99" s="19" t="s">
        <v>51</v>
      </c>
      <c r="D99" s="18" t="s">
        <v>50</v>
      </c>
      <c r="E99" s="3">
        <v>347000000</v>
      </c>
      <c r="F99" s="17">
        <v>43656</v>
      </c>
      <c r="G99" s="3">
        <v>347000000</v>
      </c>
      <c r="H99" s="2">
        <v>1.4999999999999999E-2</v>
      </c>
      <c r="I99" s="17">
        <v>43678</v>
      </c>
      <c r="J99" s="17">
        <v>43708</v>
      </c>
      <c r="K99" s="3">
        <f>J99-I99+1</f>
        <v>31</v>
      </c>
      <c r="L99" s="3">
        <f>ROUND(G99*H99*K99/365,0)</f>
        <v>442068</v>
      </c>
      <c r="M99" s="3">
        <v>347000000</v>
      </c>
    </row>
    <row r="100" spans="1:13" s="16" customFormat="1" outlineLevel="2">
      <c r="A100" s="17" t="s">
        <v>55</v>
      </c>
      <c r="B100" s="18" t="s">
        <v>177</v>
      </c>
      <c r="C100" s="19" t="s">
        <v>159</v>
      </c>
      <c r="D100" s="18" t="s">
        <v>158</v>
      </c>
      <c r="E100" s="3">
        <v>93146000</v>
      </c>
      <c r="F100" s="17">
        <v>43663</v>
      </c>
      <c r="G100" s="3">
        <v>93146000</v>
      </c>
      <c r="H100" s="2">
        <v>1.4999999999999999E-2</v>
      </c>
      <c r="I100" s="17">
        <v>43678</v>
      </c>
      <c r="J100" s="17">
        <v>43708</v>
      </c>
      <c r="K100" s="3">
        <f>J100-I100+1</f>
        <v>31</v>
      </c>
      <c r="L100" s="3">
        <f>ROUND(G100*H100*K100/365,0)</f>
        <v>118665</v>
      </c>
      <c r="M100" s="3">
        <v>93146000</v>
      </c>
    </row>
    <row r="101" spans="1:13" s="16" customFormat="1" outlineLevel="2">
      <c r="A101" s="17" t="s">
        <v>55</v>
      </c>
      <c r="B101" s="18" t="s">
        <v>176</v>
      </c>
      <c r="C101" s="19" t="s">
        <v>159</v>
      </c>
      <c r="D101" s="18" t="s">
        <v>158</v>
      </c>
      <c r="E101" s="3">
        <v>44447000</v>
      </c>
      <c r="F101" s="17">
        <v>43663</v>
      </c>
      <c r="G101" s="3">
        <v>44447000</v>
      </c>
      <c r="H101" s="2">
        <v>1.4999999999999999E-2</v>
      </c>
      <c r="I101" s="17">
        <v>43678</v>
      </c>
      <c r="J101" s="17">
        <v>43708</v>
      </c>
      <c r="K101" s="3">
        <f>J101-I101+1</f>
        <v>31</v>
      </c>
      <c r="L101" s="3">
        <f>ROUND(G101*H101*K101/365,0)</f>
        <v>56624</v>
      </c>
      <c r="M101" s="3">
        <v>44447000</v>
      </c>
    </row>
    <row r="102" spans="1:13" s="16" customFormat="1" outlineLevel="2">
      <c r="A102" s="17" t="s">
        <v>55</v>
      </c>
      <c r="B102" s="18" t="s">
        <v>175</v>
      </c>
      <c r="C102" s="19" t="s">
        <v>183</v>
      </c>
      <c r="D102" s="18" t="s">
        <v>182</v>
      </c>
      <c r="E102" s="3">
        <v>21200000</v>
      </c>
      <c r="F102" s="17">
        <v>43672</v>
      </c>
      <c r="G102" s="3">
        <v>21200000</v>
      </c>
      <c r="H102" s="2">
        <v>5.0000000000000001E-3</v>
      </c>
      <c r="I102" s="17">
        <v>43678</v>
      </c>
      <c r="J102" s="17">
        <v>43708</v>
      </c>
      <c r="K102" s="3">
        <f>J102-I102+1</f>
        <v>31</v>
      </c>
      <c r="L102" s="3">
        <f>ROUND(G102*H102*K102/365,0)</f>
        <v>9003</v>
      </c>
      <c r="M102" s="3">
        <v>21200000</v>
      </c>
    </row>
    <row r="103" spans="1:13" s="16" customFormat="1" outlineLevel="2">
      <c r="A103" s="17" t="s">
        <v>55</v>
      </c>
      <c r="B103" s="18" t="s">
        <v>174</v>
      </c>
      <c r="C103" s="19" t="s">
        <v>43</v>
      </c>
      <c r="D103" s="18" t="s">
        <v>26</v>
      </c>
      <c r="E103" s="3">
        <v>1858500</v>
      </c>
      <c r="F103" s="17">
        <v>43675</v>
      </c>
      <c r="G103" s="3">
        <v>1858500</v>
      </c>
      <c r="H103" s="2">
        <v>1.4999999999999999E-2</v>
      </c>
      <c r="I103" s="17">
        <v>43678</v>
      </c>
      <c r="J103" s="17">
        <v>43708</v>
      </c>
      <c r="K103" s="3">
        <f>J103-I103+1</f>
        <v>31</v>
      </c>
      <c r="L103" s="3">
        <f>ROUND(G103*H103*K103/365,0)</f>
        <v>2368</v>
      </c>
      <c r="M103" s="3">
        <v>1858500</v>
      </c>
    </row>
    <row r="104" spans="1:13" s="16" customFormat="1" outlineLevel="2">
      <c r="A104" s="17" t="s">
        <v>55</v>
      </c>
      <c r="B104" s="18" t="s">
        <v>171</v>
      </c>
      <c r="C104" s="19" t="s">
        <v>198</v>
      </c>
      <c r="D104" s="18" t="s">
        <v>197</v>
      </c>
      <c r="E104" s="3">
        <v>980000000</v>
      </c>
      <c r="F104" s="17">
        <v>43671</v>
      </c>
      <c r="G104" s="3">
        <v>980000000</v>
      </c>
      <c r="H104" s="2">
        <v>1.4999999999999999E-2</v>
      </c>
      <c r="I104" s="17">
        <v>43678</v>
      </c>
      <c r="J104" s="17">
        <v>43708</v>
      </c>
      <c r="K104" s="3">
        <f>J104-I104+1</f>
        <v>31</v>
      </c>
      <c r="L104" s="3">
        <f>ROUND(G104*H104*K104/365,0)</f>
        <v>1248493</v>
      </c>
      <c r="M104" s="3">
        <v>980000000</v>
      </c>
    </row>
    <row r="105" spans="1:13" s="16" customFormat="1" outlineLevel="2">
      <c r="A105" s="17" t="s">
        <v>55</v>
      </c>
      <c r="B105" s="18" t="s">
        <v>170</v>
      </c>
      <c r="C105" s="19" t="s">
        <v>188</v>
      </c>
      <c r="D105" s="18" t="s">
        <v>187</v>
      </c>
      <c r="E105" s="3">
        <v>7302000</v>
      </c>
      <c r="F105" s="17">
        <v>43661</v>
      </c>
      <c r="G105" s="3">
        <v>7302000</v>
      </c>
      <c r="H105" s="2">
        <v>1.4999999999999999E-2</v>
      </c>
      <c r="I105" s="17">
        <v>43678</v>
      </c>
      <c r="J105" s="17">
        <v>43708</v>
      </c>
      <c r="K105" s="3">
        <f>J105-I105+1</f>
        <v>31</v>
      </c>
      <c r="L105" s="3">
        <f>ROUND(G105*H105*K105/365,0)</f>
        <v>9303</v>
      </c>
      <c r="M105" s="3">
        <v>7302000</v>
      </c>
    </row>
    <row r="106" spans="1:13" s="16" customFormat="1" outlineLevel="2">
      <c r="A106" s="17" t="s">
        <v>55</v>
      </c>
      <c r="B106" s="18" t="s">
        <v>31</v>
      </c>
      <c r="C106" s="19" t="s">
        <v>54</v>
      </c>
      <c r="D106" s="18" t="s">
        <v>34</v>
      </c>
      <c r="E106" s="3">
        <v>11202000</v>
      </c>
      <c r="F106" s="17">
        <v>43641</v>
      </c>
      <c r="G106" s="3">
        <v>11202000</v>
      </c>
      <c r="H106" s="2">
        <v>1.4999999999999999E-2</v>
      </c>
      <c r="I106" s="17">
        <v>43678</v>
      </c>
      <c r="J106" s="17">
        <v>43708</v>
      </c>
      <c r="K106" s="3">
        <f>J106-I106+1</f>
        <v>31</v>
      </c>
      <c r="L106" s="3">
        <f>ROUND(G106*H106*K106/365,0)</f>
        <v>14271</v>
      </c>
      <c r="M106" s="3">
        <v>11202000</v>
      </c>
    </row>
    <row r="107" spans="1:13" s="16" customFormat="1" outlineLevel="2">
      <c r="A107" s="17" t="s">
        <v>55</v>
      </c>
      <c r="B107" s="18" t="s">
        <v>169</v>
      </c>
      <c r="C107" s="19" t="s">
        <v>188</v>
      </c>
      <c r="D107" s="18" t="s">
        <v>187</v>
      </c>
      <c r="E107" s="3">
        <v>98492000</v>
      </c>
      <c r="F107" s="17">
        <v>43661</v>
      </c>
      <c r="G107" s="3">
        <v>98492000</v>
      </c>
      <c r="H107" s="2">
        <v>1.4999999999999999E-2</v>
      </c>
      <c r="I107" s="17">
        <v>43678</v>
      </c>
      <c r="J107" s="17">
        <v>43708</v>
      </c>
      <c r="K107" s="3">
        <f>J107-I107+1</f>
        <v>31</v>
      </c>
      <c r="L107" s="3">
        <f>ROUND(G107*H107*K107/365,0)</f>
        <v>125476</v>
      </c>
      <c r="M107" s="3">
        <v>98492000</v>
      </c>
    </row>
    <row r="108" spans="1:13" s="16" customFormat="1" outlineLevel="2">
      <c r="A108" s="17" t="s">
        <v>55</v>
      </c>
      <c r="B108" s="18" t="s">
        <v>168</v>
      </c>
      <c r="C108" s="19" t="s">
        <v>54</v>
      </c>
      <c r="D108" s="18" t="s">
        <v>34</v>
      </c>
      <c r="E108" s="3">
        <v>23686000</v>
      </c>
      <c r="F108" s="17">
        <v>43682</v>
      </c>
      <c r="G108" s="3">
        <v>23686000</v>
      </c>
      <c r="H108" s="2">
        <v>1.4999999999999999E-2</v>
      </c>
      <c r="I108" s="17">
        <v>43682</v>
      </c>
      <c r="J108" s="17">
        <v>43708</v>
      </c>
      <c r="K108" s="3">
        <f>J108-I108+1</f>
        <v>27</v>
      </c>
      <c r="L108" s="3">
        <f>ROUND(G108*H108*K108/365,0)</f>
        <v>26282</v>
      </c>
      <c r="M108" s="3">
        <v>23686000</v>
      </c>
    </row>
    <row r="109" spans="1:13" s="16" customFormat="1" outlineLevel="2">
      <c r="A109" s="17" t="s">
        <v>55</v>
      </c>
      <c r="B109" s="18" t="s">
        <v>167</v>
      </c>
      <c r="C109" s="19" t="s">
        <v>54</v>
      </c>
      <c r="D109" s="18" t="s">
        <v>34</v>
      </c>
      <c r="E109" s="3">
        <v>3080000</v>
      </c>
      <c r="F109" s="17">
        <v>43692</v>
      </c>
      <c r="G109" s="3">
        <v>3080000</v>
      </c>
      <c r="H109" s="2">
        <v>1.4999999999999999E-2</v>
      </c>
      <c r="I109" s="17">
        <v>43692</v>
      </c>
      <c r="J109" s="17">
        <v>43708</v>
      </c>
      <c r="K109" s="3">
        <f>J109-I109+1</f>
        <v>17</v>
      </c>
      <c r="L109" s="3">
        <f>ROUND(G109*H109*K109/365,0)</f>
        <v>2152</v>
      </c>
      <c r="M109" s="3">
        <v>3080000</v>
      </c>
    </row>
    <row r="110" spans="1:13" s="16" customFormat="1" outlineLevel="2">
      <c r="A110" s="17" t="s">
        <v>55</v>
      </c>
      <c r="B110" s="18" t="s">
        <v>166</v>
      </c>
      <c r="C110" s="19" t="s">
        <v>54</v>
      </c>
      <c r="D110" s="18" t="s">
        <v>34</v>
      </c>
      <c r="E110" s="3">
        <v>1506000</v>
      </c>
      <c r="F110" s="17">
        <v>43696</v>
      </c>
      <c r="G110" s="3">
        <v>1506000</v>
      </c>
      <c r="H110" s="2">
        <v>1.4999999999999999E-2</v>
      </c>
      <c r="I110" s="17">
        <v>43696</v>
      </c>
      <c r="J110" s="17">
        <v>43708</v>
      </c>
      <c r="K110" s="3">
        <f>J110-I110+1</f>
        <v>13</v>
      </c>
      <c r="L110" s="3">
        <f>ROUND(G110*H110*K110/365,0)</f>
        <v>805</v>
      </c>
      <c r="M110" s="3">
        <v>1506000</v>
      </c>
    </row>
    <row r="111" spans="1:13" s="16" customFormat="1" outlineLevel="2">
      <c r="A111" s="17" t="s">
        <v>55</v>
      </c>
      <c r="B111" s="18" t="s">
        <v>165</v>
      </c>
      <c r="C111" s="19" t="s">
        <v>54</v>
      </c>
      <c r="D111" s="18" t="s">
        <v>34</v>
      </c>
      <c r="E111" s="3">
        <v>12655000</v>
      </c>
      <c r="F111" s="17">
        <v>43703</v>
      </c>
      <c r="G111" s="3">
        <v>12655000</v>
      </c>
      <c r="H111" s="2">
        <v>1.4999999999999999E-2</v>
      </c>
      <c r="I111" s="17">
        <v>43703</v>
      </c>
      <c r="J111" s="17">
        <v>43708</v>
      </c>
      <c r="K111" s="3">
        <f>J111-I111+1</f>
        <v>6</v>
      </c>
      <c r="L111" s="3">
        <f>ROUND(G111*H111*K111/365,0)</f>
        <v>3120</v>
      </c>
      <c r="M111" s="3">
        <v>12655000</v>
      </c>
    </row>
    <row r="112" spans="1:13" s="16" customFormat="1" outlineLevel="2">
      <c r="A112" s="17" t="s">
        <v>55</v>
      </c>
      <c r="B112" s="18" t="s">
        <v>164</v>
      </c>
      <c r="C112" s="19" t="s">
        <v>51</v>
      </c>
      <c r="D112" s="18" t="s">
        <v>50</v>
      </c>
      <c r="E112" s="3">
        <v>45000000</v>
      </c>
      <c r="F112" s="17">
        <v>43698</v>
      </c>
      <c r="G112" s="3">
        <v>45000000</v>
      </c>
      <c r="H112" s="2">
        <v>1.4999999999999999E-2</v>
      </c>
      <c r="I112" s="17">
        <v>43698</v>
      </c>
      <c r="J112" s="17">
        <v>43708</v>
      </c>
      <c r="K112" s="3">
        <f>J112-I112+1</f>
        <v>11</v>
      </c>
      <c r="L112" s="3">
        <f>ROUND(G112*H112*K112/365,0)</f>
        <v>20342</v>
      </c>
      <c r="M112" s="3">
        <v>45000000</v>
      </c>
    </row>
    <row r="113" spans="1:13" s="16" customFormat="1" outlineLevel="2">
      <c r="A113" s="17" t="s">
        <v>55</v>
      </c>
      <c r="B113" s="18" t="s">
        <v>161</v>
      </c>
      <c r="C113" s="19" t="s">
        <v>159</v>
      </c>
      <c r="D113" s="18" t="s">
        <v>158</v>
      </c>
      <c r="E113" s="3">
        <v>21241000</v>
      </c>
      <c r="F113" s="17">
        <v>43693</v>
      </c>
      <c r="G113" s="3">
        <v>21241000</v>
      </c>
      <c r="H113" s="2">
        <v>1.4999999999999999E-2</v>
      </c>
      <c r="I113" s="17">
        <v>43693</v>
      </c>
      <c r="J113" s="17">
        <v>43708</v>
      </c>
      <c r="K113" s="3">
        <f>J113-I113+1</f>
        <v>16</v>
      </c>
      <c r="L113" s="3">
        <f>ROUND(G113*H113*K113/365,0)</f>
        <v>13967</v>
      </c>
      <c r="M113" s="3">
        <v>21241000</v>
      </c>
    </row>
    <row r="114" spans="1:13" s="16" customFormat="1" outlineLevel="2">
      <c r="A114" s="17" t="s">
        <v>55</v>
      </c>
      <c r="B114" s="18" t="s">
        <v>160</v>
      </c>
      <c r="C114" s="19" t="s">
        <v>159</v>
      </c>
      <c r="D114" s="18" t="s">
        <v>158</v>
      </c>
      <c r="E114" s="3">
        <v>7741000</v>
      </c>
      <c r="F114" s="17">
        <v>43693</v>
      </c>
      <c r="G114" s="3">
        <v>7741000</v>
      </c>
      <c r="H114" s="2">
        <v>1.4999999999999999E-2</v>
      </c>
      <c r="I114" s="17">
        <v>43693</v>
      </c>
      <c r="J114" s="17">
        <v>43708</v>
      </c>
      <c r="K114" s="3">
        <f>J114-I114+1</f>
        <v>16</v>
      </c>
      <c r="L114" s="3">
        <f>ROUND(G114*H114*K114/365,0)</f>
        <v>5090</v>
      </c>
      <c r="M114" s="3">
        <v>7741000</v>
      </c>
    </row>
    <row r="115" spans="1:13" s="16" customFormat="1" outlineLevel="2">
      <c r="A115" s="17" t="s">
        <v>55</v>
      </c>
      <c r="B115" s="18" t="s">
        <v>157</v>
      </c>
      <c r="C115" s="19" t="s">
        <v>183</v>
      </c>
      <c r="D115" s="18" t="s">
        <v>182</v>
      </c>
      <c r="E115" s="3">
        <v>14360000</v>
      </c>
      <c r="F115" s="17">
        <v>43696</v>
      </c>
      <c r="G115" s="3">
        <v>14360000</v>
      </c>
      <c r="H115" s="2">
        <v>5.0000000000000001E-3</v>
      </c>
      <c r="I115" s="17">
        <v>43696</v>
      </c>
      <c r="J115" s="17">
        <v>43708</v>
      </c>
      <c r="K115" s="3">
        <f>J115-I115+1</f>
        <v>13</v>
      </c>
      <c r="L115" s="3">
        <f>ROUND(G115*H115*K115/365,0)</f>
        <v>2557</v>
      </c>
      <c r="M115" s="3">
        <v>14360000</v>
      </c>
    </row>
    <row r="116" spans="1:13" s="16" customFormat="1" outlineLevel="2">
      <c r="A116" s="17" t="s">
        <v>55</v>
      </c>
      <c r="B116" s="18" t="s">
        <v>156</v>
      </c>
      <c r="C116" s="19" t="s">
        <v>183</v>
      </c>
      <c r="D116" s="18" t="s">
        <v>182</v>
      </c>
      <c r="E116" s="3">
        <v>10871559</v>
      </c>
      <c r="F116" s="17">
        <v>43684</v>
      </c>
      <c r="G116" s="3">
        <v>10871559</v>
      </c>
      <c r="H116" s="2">
        <v>5.0000000000000001E-3</v>
      </c>
      <c r="I116" s="17">
        <v>43684</v>
      </c>
      <c r="J116" s="17">
        <v>43708</v>
      </c>
      <c r="K116" s="3">
        <f>J116-I116+1</f>
        <v>25</v>
      </c>
      <c r="L116" s="3">
        <f>ROUND(G116*H116*K116/365,0)</f>
        <v>3723</v>
      </c>
      <c r="M116" s="3">
        <v>10871559</v>
      </c>
    </row>
    <row r="117" spans="1:13" s="16" customFormat="1" outlineLevel="2">
      <c r="A117" s="17" t="s">
        <v>55</v>
      </c>
      <c r="B117" s="18" t="s">
        <v>30</v>
      </c>
      <c r="C117" s="19" t="s">
        <v>54</v>
      </c>
      <c r="D117" s="18" t="s">
        <v>34</v>
      </c>
      <c r="E117" s="3">
        <v>2382000</v>
      </c>
      <c r="F117" s="17">
        <v>43647</v>
      </c>
      <c r="G117" s="3">
        <v>2382000</v>
      </c>
      <c r="H117" s="2">
        <v>1.4999999999999999E-2</v>
      </c>
      <c r="I117" s="17">
        <v>43678</v>
      </c>
      <c r="J117" s="17">
        <v>43708</v>
      </c>
      <c r="K117" s="3">
        <f>J117-I117+1</f>
        <v>31</v>
      </c>
      <c r="L117" s="3">
        <f>ROUND(G117*H117*K117/365,0)</f>
        <v>3035</v>
      </c>
      <c r="M117" s="3">
        <v>2382000</v>
      </c>
    </row>
    <row r="118" spans="1:13" s="16" customFormat="1" outlineLevel="2">
      <c r="A118" s="17" t="s">
        <v>55</v>
      </c>
      <c r="B118" s="18" t="s">
        <v>155</v>
      </c>
      <c r="C118" s="19" t="s">
        <v>183</v>
      </c>
      <c r="D118" s="18" t="s">
        <v>182</v>
      </c>
      <c r="E118" s="3">
        <v>7669734</v>
      </c>
      <c r="F118" s="17">
        <v>43684</v>
      </c>
      <c r="G118" s="3">
        <v>7669734</v>
      </c>
      <c r="H118" s="2">
        <v>5.0000000000000001E-3</v>
      </c>
      <c r="I118" s="17">
        <v>43684</v>
      </c>
      <c r="J118" s="17">
        <v>43708</v>
      </c>
      <c r="K118" s="3">
        <f>J118-I118+1</f>
        <v>25</v>
      </c>
      <c r="L118" s="3">
        <f>ROUND(G118*H118*K118/365,0)</f>
        <v>2627</v>
      </c>
      <c r="M118" s="3">
        <v>7669734</v>
      </c>
    </row>
    <row r="119" spans="1:13" s="16" customFormat="1" outlineLevel="2">
      <c r="A119" s="17" t="s">
        <v>55</v>
      </c>
      <c r="B119" s="18" t="s">
        <v>154</v>
      </c>
      <c r="C119" s="19" t="s">
        <v>183</v>
      </c>
      <c r="D119" s="18" t="s">
        <v>182</v>
      </c>
      <c r="E119" s="3">
        <v>10512413</v>
      </c>
      <c r="F119" s="17">
        <v>43689</v>
      </c>
      <c r="G119" s="3">
        <v>10512413</v>
      </c>
      <c r="H119" s="2">
        <v>5.0000000000000001E-3</v>
      </c>
      <c r="I119" s="17">
        <v>43689</v>
      </c>
      <c r="J119" s="17">
        <v>43708</v>
      </c>
      <c r="K119" s="3">
        <f>J119-I119+1</f>
        <v>20</v>
      </c>
      <c r="L119" s="3">
        <f>ROUND(G119*H119*K119/365,0)</f>
        <v>2880</v>
      </c>
      <c r="M119" s="3">
        <v>10512413</v>
      </c>
    </row>
    <row r="120" spans="1:13" s="16" customFormat="1" outlineLevel="2">
      <c r="A120" s="17" t="s">
        <v>55</v>
      </c>
      <c r="B120" s="18" t="s">
        <v>153</v>
      </c>
      <c r="C120" s="19" t="s">
        <v>183</v>
      </c>
      <c r="D120" s="18" t="s">
        <v>182</v>
      </c>
      <c r="E120" s="3">
        <v>10012074</v>
      </c>
      <c r="F120" s="17">
        <v>43705</v>
      </c>
      <c r="G120" s="3">
        <v>10012074</v>
      </c>
      <c r="H120" s="2">
        <v>5.0000000000000001E-3</v>
      </c>
      <c r="I120" s="17">
        <v>43705</v>
      </c>
      <c r="J120" s="17">
        <v>43708</v>
      </c>
      <c r="K120" s="3">
        <f>J120-I120+1</f>
        <v>4</v>
      </c>
      <c r="L120" s="3">
        <f>ROUND(G120*H120*K120/365,0)</f>
        <v>549</v>
      </c>
      <c r="M120" s="3">
        <v>10012074</v>
      </c>
    </row>
    <row r="121" spans="1:13" s="16" customFormat="1" outlineLevel="2">
      <c r="A121" s="17" t="s">
        <v>55</v>
      </c>
      <c r="B121" s="18" t="s">
        <v>152</v>
      </c>
      <c r="C121" s="19" t="s">
        <v>43</v>
      </c>
      <c r="D121" s="18" t="s">
        <v>26</v>
      </c>
      <c r="E121" s="3">
        <v>18630500</v>
      </c>
      <c r="F121" s="17">
        <v>43685</v>
      </c>
      <c r="G121" s="3">
        <v>18630500</v>
      </c>
      <c r="H121" s="2">
        <v>1.4999999999999999E-2</v>
      </c>
      <c r="I121" s="17">
        <v>43685</v>
      </c>
      <c r="J121" s="17">
        <v>43708</v>
      </c>
      <c r="K121" s="3">
        <f>J121-I121+1</f>
        <v>24</v>
      </c>
      <c r="L121" s="3">
        <f>ROUND(G121*H121*K121/365,0)</f>
        <v>18375</v>
      </c>
      <c r="M121" s="3">
        <v>18630500</v>
      </c>
    </row>
    <row r="122" spans="1:13" s="16" customFormat="1" outlineLevel="2">
      <c r="A122" s="17" t="s">
        <v>55</v>
      </c>
      <c r="B122" s="18" t="s">
        <v>151</v>
      </c>
      <c r="C122" s="19" t="s">
        <v>43</v>
      </c>
      <c r="D122" s="18" t="s">
        <v>26</v>
      </c>
      <c r="E122" s="3">
        <v>54790672</v>
      </c>
      <c r="F122" s="17">
        <v>43696</v>
      </c>
      <c r="G122" s="3">
        <v>54790672</v>
      </c>
      <c r="H122" s="2">
        <v>1.4999999999999999E-2</v>
      </c>
      <c r="I122" s="17">
        <v>43696</v>
      </c>
      <c r="J122" s="17">
        <v>43708</v>
      </c>
      <c r="K122" s="3">
        <f>J122-I122+1</f>
        <v>13</v>
      </c>
      <c r="L122" s="3">
        <f>ROUND(G122*H122*K122/365,0)</f>
        <v>29272</v>
      </c>
      <c r="M122" s="3">
        <v>54790672</v>
      </c>
    </row>
    <row r="123" spans="1:13" s="16" customFormat="1" outlineLevel="2">
      <c r="A123" s="17" t="s">
        <v>55</v>
      </c>
      <c r="B123" s="18" t="s">
        <v>196</v>
      </c>
      <c r="C123" s="19" t="s">
        <v>43</v>
      </c>
      <c r="D123" s="18" t="s">
        <v>26</v>
      </c>
      <c r="E123" s="3">
        <v>13244438</v>
      </c>
      <c r="F123" s="17">
        <v>43705</v>
      </c>
      <c r="G123" s="3">
        <v>13244438</v>
      </c>
      <c r="H123" s="2">
        <v>1.4999999999999999E-2</v>
      </c>
      <c r="I123" s="17">
        <v>43705</v>
      </c>
      <c r="J123" s="17">
        <v>43708</v>
      </c>
      <c r="K123" s="3">
        <f>J123-I123+1</f>
        <v>4</v>
      </c>
      <c r="L123" s="3">
        <f>ROUND(G123*H123*K123/365,0)</f>
        <v>2177</v>
      </c>
      <c r="M123" s="3">
        <v>13244438</v>
      </c>
    </row>
    <row r="124" spans="1:13" s="16" customFormat="1" outlineLevel="2">
      <c r="A124" s="17" t="s">
        <v>55</v>
      </c>
      <c r="B124" s="18" t="s">
        <v>195</v>
      </c>
      <c r="C124" s="19" t="s">
        <v>43</v>
      </c>
      <c r="D124" s="18" t="s">
        <v>26</v>
      </c>
      <c r="E124" s="3">
        <v>6140736</v>
      </c>
      <c r="F124" s="17">
        <v>43685</v>
      </c>
      <c r="G124" s="3">
        <v>6140736</v>
      </c>
      <c r="H124" s="2">
        <v>1.4999999999999999E-2</v>
      </c>
      <c r="I124" s="17">
        <v>43685</v>
      </c>
      <c r="J124" s="17">
        <v>43708</v>
      </c>
      <c r="K124" s="3">
        <f>J124-I124+1</f>
        <v>24</v>
      </c>
      <c r="L124" s="3">
        <f>ROUND(G124*H124*K124/365,0)</f>
        <v>6057</v>
      </c>
      <c r="M124" s="3">
        <v>6140736</v>
      </c>
    </row>
    <row r="125" spans="1:13" s="16" customFormat="1" outlineLevel="2">
      <c r="A125" s="17" t="s">
        <v>55</v>
      </c>
      <c r="B125" s="18" t="s">
        <v>194</v>
      </c>
      <c r="C125" s="19" t="s">
        <v>43</v>
      </c>
      <c r="D125" s="18" t="s">
        <v>26</v>
      </c>
      <c r="E125" s="3">
        <v>5716241</v>
      </c>
      <c r="F125" s="17">
        <v>43696</v>
      </c>
      <c r="G125" s="3">
        <v>5716241</v>
      </c>
      <c r="H125" s="2">
        <v>1.4999999999999999E-2</v>
      </c>
      <c r="I125" s="17">
        <v>43696</v>
      </c>
      <c r="J125" s="17">
        <v>43708</v>
      </c>
      <c r="K125" s="3">
        <f>J125-I125+1</f>
        <v>13</v>
      </c>
      <c r="L125" s="3">
        <f>ROUND(G125*H125*K125/365,0)</f>
        <v>3054</v>
      </c>
      <c r="M125" s="3">
        <v>5716241</v>
      </c>
    </row>
    <row r="126" spans="1:13" s="16" customFormat="1" outlineLevel="2">
      <c r="A126" s="17" t="s">
        <v>55</v>
      </c>
      <c r="B126" s="18" t="s">
        <v>193</v>
      </c>
      <c r="C126" s="19" t="s">
        <v>43</v>
      </c>
      <c r="D126" s="18" t="s">
        <v>26</v>
      </c>
      <c r="E126" s="3">
        <v>10167768</v>
      </c>
      <c r="F126" s="17">
        <v>43705</v>
      </c>
      <c r="G126" s="3">
        <v>10167768</v>
      </c>
      <c r="H126" s="2">
        <v>1.4999999999999999E-2</v>
      </c>
      <c r="I126" s="17">
        <v>43705</v>
      </c>
      <c r="J126" s="17">
        <v>43708</v>
      </c>
      <c r="K126" s="3">
        <f>J126-I126+1</f>
        <v>4</v>
      </c>
      <c r="L126" s="3">
        <f>ROUND(G126*H126*K126/365,0)</f>
        <v>1671</v>
      </c>
      <c r="M126" s="3">
        <v>10167768</v>
      </c>
    </row>
    <row r="127" spans="1:13" s="16" customFormat="1" outlineLevel="2">
      <c r="A127" s="17" t="s">
        <v>55</v>
      </c>
      <c r="B127" s="18" t="s">
        <v>192</v>
      </c>
      <c r="C127" s="19" t="s">
        <v>188</v>
      </c>
      <c r="D127" s="18" t="s">
        <v>187</v>
      </c>
      <c r="E127" s="3">
        <v>19530000</v>
      </c>
      <c r="F127" s="17">
        <v>43692</v>
      </c>
      <c r="G127" s="3">
        <v>19530000</v>
      </c>
      <c r="H127" s="2">
        <v>1.4999999999999999E-2</v>
      </c>
      <c r="I127" s="17">
        <v>43692</v>
      </c>
      <c r="J127" s="17">
        <v>43708</v>
      </c>
      <c r="K127" s="3">
        <f>J127-I127+1</f>
        <v>17</v>
      </c>
      <c r="L127" s="3">
        <f>ROUND(G127*H127*K127/365,0)</f>
        <v>13644</v>
      </c>
      <c r="M127" s="3">
        <v>19530000</v>
      </c>
    </row>
    <row r="128" spans="1:13" s="16" customFormat="1" outlineLevel="2">
      <c r="A128" s="17" t="s">
        <v>55</v>
      </c>
      <c r="B128" s="18" t="s">
        <v>28</v>
      </c>
      <c r="C128" s="19" t="s">
        <v>54</v>
      </c>
      <c r="D128" s="18" t="s">
        <v>34</v>
      </c>
      <c r="E128" s="3">
        <v>25917000</v>
      </c>
      <c r="F128" s="17">
        <v>43651</v>
      </c>
      <c r="G128" s="3">
        <v>25917000</v>
      </c>
      <c r="H128" s="2">
        <v>1.4999999999999999E-2</v>
      </c>
      <c r="I128" s="17">
        <v>43678</v>
      </c>
      <c r="J128" s="17">
        <v>43708</v>
      </c>
      <c r="K128" s="3">
        <f>J128-I128+1</f>
        <v>31</v>
      </c>
      <c r="L128" s="3">
        <f>ROUND(G128*H128*K128/365,0)</f>
        <v>33018</v>
      </c>
      <c r="M128" s="3">
        <v>25917000</v>
      </c>
    </row>
    <row r="129" spans="1:13" s="16" customFormat="1" outlineLevel="2">
      <c r="A129" s="17" t="s">
        <v>55</v>
      </c>
      <c r="B129" s="18" t="s">
        <v>191</v>
      </c>
      <c r="C129" s="19" t="s">
        <v>188</v>
      </c>
      <c r="D129" s="18" t="s">
        <v>187</v>
      </c>
      <c r="E129" s="3">
        <v>1096000</v>
      </c>
      <c r="F129" s="17">
        <v>43707</v>
      </c>
      <c r="G129" s="3">
        <v>1096000</v>
      </c>
      <c r="H129" s="2">
        <v>1.4999999999999999E-2</v>
      </c>
      <c r="I129" s="17">
        <v>43707</v>
      </c>
      <c r="J129" s="17">
        <v>43708</v>
      </c>
      <c r="K129" s="3">
        <f>J129-I129+1</f>
        <v>2</v>
      </c>
      <c r="L129" s="3">
        <f>ROUND(G129*H129*K129/365,0)</f>
        <v>90</v>
      </c>
      <c r="M129" s="3">
        <v>1096000</v>
      </c>
    </row>
    <row r="130" spans="1:13" s="16" customFormat="1" outlineLevel="2">
      <c r="A130" s="17" t="s">
        <v>55</v>
      </c>
      <c r="B130" s="18" t="s">
        <v>190</v>
      </c>
      <c r="C130" s="19" t="s">
        <v>188</v>
      </c>
      <c r="D130" s="18" t="s">
        <v>187</v>
      </c>
      <c r="E130" s="3">
        <v>15507000</v>
      </c>
      <c r="F130" s="17">
        <v>43692</v>
      </c>
      <c r="G130" s="3">
        <v>15507000</v>
      </c>
      <c r="H130" s="2">
        <v>1.4999999999999999E-2</v>
      </c>
      <c r="I130" s="17">
        <v>43692</v>
      </c>
      <c r="J130" s="17">
        <v>43708</v>
      </c>
      <c r="K130" s="3">
        <f>J130-I130+1</f>
        <v>17</v>
      </c>
      <c r="L130" s="3">
        <f>ROUND(G130*H130*K130/365,0)</f>
        <v>10834</v>
      </c>
      <c r="M130" s="3">
        <v>15507000</v>
      </c>
    </row>
    <row r="131" spans="1:13" s="16" customFormat="1" outlineLevel="2">
      <c r="A131" s="17" t="s">
        <v>55</v>
      </c>
      <c r="B131" s="18" t="s">
        <v>189</v>
      </c>
      <c r="C131" s="19" t="s">
        <v>188</v>
      </c>
      <c r="D131" s="18" t="s">
        <v>187</v>
      </c>
      <c r="E131" s="3">
        <v>23876000</v>
      </c>
      <c r="F131" s="17">
        <v>43707</v>
      </c>
      <c r="G131" s="3">
        <v>23876000</v>
      </c>
      <c r="H131" s="2">
        <v>1.4999999999999999E-2</v>
      </c>
      <c r="I131" s="17">
        <v>43707</v>
      </c>
      <c r="J131" s="17">
        <v>43708</v>
      </c>
      <c r="K131" s="3">
        <f>J131-I131+1</f>
        <v>2</v>
      </c>
      <c r="L131" s="3">
        <f>ROUND(G131*H131*K131/365,0)</f>
        <v>1962</v>
      </c>
      <c r="M131" s="3">
        <v>23876000</v>
      </c>
    </row>
    <row r="132" spans="1:13" s="16" customFormat="1" outlineLevel="2">
      <c r="A132" s="17" t="s">
        <v>55</v>
      </c>
      <c r="B132" s="18" t="s">
        <v>186</v>
      </c>
      <c r="C132" s="19" t="s">
        <v>185</v>
      </c>
      <c r="D132" s="18" t="s">
        <v>184</v>
      </c>
      <c r="E132" s="3">
        <v>32780000</v>
      </c>
      <c r="F132" s="17">
        <v>43689</v>
      </c>
      <c r="G132" s="3">
        <v>32780000</v>
      </c>
      <c r="H132" s="2">
        <v>5.0000000000000001E-3</v>
      </c>
      <c r="I132" s="17">
        <v>43689</v>
      </c>
      <c r="J132" s="17">
        <v>43708</v>
      </c>
      <c r="K132" s="3">
        <f>J132-I132+1</f>
        <v>20</v>
      </c>
      <c r="L132" s="3">
        <f>ROUND(G132*H132*K132/365,0)</f>
        <v>8981</v>
      </c>
      <c r="M132" s="3">
        <v>32780000</v>
      </c>
    </row>
    <row r="133" spans="1:13" s="16" customFormat="1" outlineLevel="2">
      <c r="A133" s="17" t="s">
        <v>55</v>
      </c>
      <c r="B133" s="18" t="s">
        <v>48</v>
      </c>
      <c r="C133" s="19" t="s">
        <v>54</v>
      </c>
      <c r="D133" s="18" t="s">
        <v>34</v>
      </c>
      <c r="E133" s="3">
        <v>5067000</v>
      </c>
      <c r="F133" s="17">
        <v>43661</v>
      </c>
      <c r="G133" s="3">
        <v>5067000</v>
      </c>
      <c r="H133" s="2">
        <v>1.4999999999999999E-2</v>
      </c>
      <c r="I133" s="17">
        <v>43678</v>
      </c>
      <c r="J133" s="17">
        <v>43708</v>
      </c>
      <c r="K133" s="3">
        <f>J133-I133+1</f>
        <v>31</v>
      </c>
      <c r="L133" s="3">
        <f>ROUND(G133*H133*K133/365,0)</f>
        <v>6455</v>
      </c>
      <c r="M133" s="3">
        <v>5067000</v>
      </c>
    </row>
    <row r="134" spans="1:13" s="16" customFormat="1" outlineLevel="2">
      <c r="A134" s="17" t="s">
        <v>55</v>
      </c>
      <c r="B134" s="18" t="s">
        <v>47</v>
      </c>
      <c r="C134" s="19" t="s">
        <v>54</v>
      </c>
      <c r="D134" s="18" t="s">
        <v>34</v>
      </c>
      <c r="E134" s="3">
        <v>1214000</v>
      </c>
      <c r="F134" s="17">
        <v>43664</v>
      </c>
      <c r="G134" s="3">
        <v>1214000</v>
      </c>
      <c r="H134" s="2">
        <v>1.4999999999999999E-2</v>
      </c>
      <c r="I134" s="17">
        <v>43678</v>
      </c>
      <c r="J134" s="17">
        <v>43708</v>
      </c>
      <c r="K134" s="3">
        <f>J134-I134+1</f>
        <v>31</v>
      </c>
      <c r="L134" s="3">
        <f>ROUND(G134*H134*K134/365,0)</f>
        <v>1547</v>
      </c>
      <c r="M134" s="3">
        <v>1214000</v>
      </c>
    </row>
    <row r="135" spans="1:13" s="16" customFormat="1" outlineLevel="2">
      <c r="A135" s="17" t="s">
        <v>55</v>
      </c>
      <c r="B135" s="18" t="s">
        <v>46</v>
      </c>
      <c r="C135" s="19" t="s">
        <v>54</v>
      </c>
      <c r="D135" s="18" t="s">
        <v>34</v>
      </c>
      <c r="E135" s="3">
        <v>8346000</v>
      </c>
      <c r="F135" s="17">
        <v>43671</v>
      </c>
      <c r="G135" s="3">
        <v>8346000</v>
      </c>
      <c r="H135" s="2">
        <v>1.4999999999999999E-2</v>
      </c>
      <c r="I135" s="17">
        <v>43678</v>
      </c>
      <c r="J135" s="17">
        <v>43708</v>
      </c>
      <c r="K135" s="3">
        <f>J135-I135+1</f>
        <v>31</v>
      </c>
      <c r="L135" s="3">
        <f>ROUND(G135*H135*K135/365,0)</f>
        <v>10633</v>
      </c>
      <c r="M135" s="3">
        <v>8346000</v>
      </c>
    </row>
    <row r="136" spans="1:13" s="16" customFormat="1" outlineLevel="2">
      <c r="A136" s="17" t="s">
        <v>55</v>
      </c>
      <c r="B136" s="18" t="s">
        <v>45</v>
      </c>
      <c r="C136" s="19" t="s">
        <v>54</v>
      </c>
      <c r="D136" s="18" t="s">
        <v>34</v>
      </c>
      <c r="E136" s="3">
        <v>4626000</v>
      </c>
      <c r="F136" s="17">
        <v>43677</v>
      </c>
      <c r="G136" s="3">
        <v>4626000</v>
      </c>
      <c r="H136" s="2">
        <v>1.4999999999999999E-2</v>
      </c>
      <c r="I136" s="17">
        <v>43678</v>
      </c>
      <c r="J136" s="17">
        <v>43708</v>
      </c>
      <c r="K136" s="3">
        <f>J136-I136+1</f>
        <v>31</v>
      </c>
      <c r="L136" s="3">
        <f>ROUND(G136*H136*K136/365,0)</f>
        <v>5893</v>
      </c>
      <c r="M136" s="3">
        <v>4626000</v>
      </c>
    </row>
    <row r="137" spans="1:13" s="16" customFormat="1" outlineLevel="2">
      <c r="A137" s="17" t="s">
        <v>55</v>
      </c>
      <c r="B137" s="18" t="s">
        <v>44</v>
      </c>
      <c r="C137" s="19" t="s">
        <v>51</v>
      </c>
      <c r="D137" s="18" t="s">
        <v>50</v>
      </c>
      <c r="E137" s="3">
        <v>900000000</v>
      </c>
      <c r="F137" s="17">
        <v>43649</v>
      </c>
      <c r="G137" s="3">
        <v>900000000</v>
      </c>
      <c r="H137" s="2">
        <v>1.4999999999999999E-2</v>
      </c>
      <c r="I137" s="17">
        <v>43678</v>
      </c>
      <c r="J137" s="17">
        <v>43708</v>
      </c>
      <c r="K137" s="3">
        <f>J137-I137+1</f>
        <v>31</v>
      </c>
      <c r="L137" s="3">
        <f>ROUND(G137*H137*K137/365,0)</f>
        <v>1146575</v>
      </c>
      <c r="M137" s="3">
        <v>900000000</v>
      </c>
    </row>
    <row r="138" spans="1:13" s="16" customFormat="1" outlineLevel="1">
      <c r="A138" s="28" t="s">
        <v>53</v>
      </c>
      <c r="B138" s="21"/>
      <c r="C138" s="22"/>
      <c r="D138" s="21"/>
      <c r="E138" s="23">
        <f>SUBTOTAL(9,E95:E137)</f>
        <v>3121669635</v>
      </c>
      <c r="F138" s="20"/>
      <c r="G138" s="23"/>
      <c r="H138" s="24"/>
      <c r="I138" s="20"/>
      <c r="J138" s="20"/>
      <c r="K138" s="23"/>
      <c r="L138" s="23">
        <f>SUBTOTAL(9,L95:L137)</f>
        <v>3667995</v>
      </c>
      <c r="M138" s="23">
        <f>SUBTOTAL(9,M95:M137)</f>
        <v>3121669635</v>
      </c>
    </row>
    <row r="139" spans="1:13" s="16" customFormat="1" outlineLevel="2">
      <c r="A139" s="17" t="s">
        <v>52</v>
      </c>
      <c r="B139" s="18" t="s">
        <v>17</v>
      </c>
      <c r="C139" s="19" t="s">
        <v>51</v>
      </c>
      <c r="D139" s="18" t="s">
        <v>50</v>
      </c>
      <c r="E139" s="3">
        <v>350000000</v>
      </c>
      <c r="F139" s="17">
        <v>43644</v>
      </c>
      <c r="G139" s="3">
        <v>350000000</v>
      </c>
      <c r="H139" s="2">
        <v>1.4999999999999999E-2</v>
      </c>
      <c r="I139" s="17">
        <v>43678</v>
      </c>
      <c r="J139" s="17">
        <v>43708</v>
      </c>
      <c r="K139" s="3">
        <f>J139-I139+1</f>
        <v>31</v>
      </c>
      <c r="L139" s="3">
        <f>ROUND(G139*H139*K139/365,0)</f>
        <v>445890</v>
      </c>
      <c r="M139" s="3">
        <v>350000000</v>
      </c>
    </row>
    <row r="140" spans="1:13" s="16" customFormat="1" outlineLevel="2">
      <c r="A140" s="17" t="s">
        <v>52</v>
      </c>
      <c r="B140" s="18" t="s">
        <v>31</v>
      </c>
      <c r="C140" s="19" t="s">
        <v>51</v>
      </c>
      <c r="D140" s="18" t="s">
        <v>50</v>
      </c>
      <c r="E140" s="3">
        <v>200000000</v>
      </c>
      <c r="F140" s="17">
        <v>43620</v>
      </c>
      <c r="G140" s="3">
        <v>200000000</v>
      </c>
      <c r="H140" s="2">
        <v>1.4999999999999999E-2</v>
      </c>
      <c r="I140" s="17">
        <v>43678</v>
      </c>
      <c r="J140" s="17">
        <v>43708</v>
      </c>
      <c r="K140" s="3">
        <f>J140-I140+1</f>
        <v>31</v>
      </c>
      <c r="L140" s="3">
        <f>ROUND(G140*H140*K140/365,0)</f>
        <v>254795</v>
      </c>
      <c r="M140" s="3">
        <v>200000000</v>
      </c>
    </row>
    <row r="141" spans="1:13" s="16" customFormat="1" outlineLevel="2">
      <c r="A141" s="17" t="s">
        <v>52</v>
      </c>
      <c r="B141" s="18" t="s">
        <v>30</v>
      </c>
      <c r="C141" s="19" t="s">
        <v>51</v>
      </c>
      <c r="D141" s="18" t="s">
        <v>50</v>
      </c>
      <c r="E141" s="3">
        <v>200000000</v>
      </c>
      <c r="F141" s="17">
        <v>43644</v>
      </c>
      <c r="G141" s="3">
        <v>200000000</v>
      </c>
      <c r="H141" s="2">
        <v>1.4999999999999999E-2</v>
      </c>
      <c r="I141" s="17">
        <v>43678</v>
      </c>
      <c r="J141" s="17">
        <v>43708</v>
      </c>
      <c r="K141" s="3">
        <f>J141-I141+1</f>
        <v>31</v>
      </c>
      <c r="L141" s="3">
        <f>ROUND(G141*H141*K141/365,0)</f>
        <v>254795</v>
      </c>
      <c r="M141" s="3">
        <v>200000000</v>
      </c>
    </row>
    <row r="142" spans="1:13" s="16" customFormat="1" outlineLevel="2">
      <c r="A142" s="17" t="s">
        <v>52</v>
      </c>
      <c r="B142" s="18" t="s">
        <v>28</v>
      </c>
      <c r="C142" s="19" t="s">
        <v>51</v>
      </c>
      <c r="D142" s="18" t="s">
        <v>50</v>
      </c>
      <c r="E142" s="3">
        <v>380000000</v>
      </c>
      <c r="F142" s="17">
        <v>43656</v>
      </c>
      <c r="G142" s="3">
        <v>380000000</v>
      </c>
      <c r="H142" s="2">
        <v>1.4999999999999999E-2</v>
      </c>
      <c r="I142" s="17">
        <v>43678</v>
      </c>
      <c r="J142" s="17">
        <v>43708</v>
      </c>
      <c r="K142" s="3">
        <f>J142-I142+1</f>
        <v>31</v>
      </c>
      <c r="L142" s="3">
        <f>ROUND(G142*H142*K142/365,0)</f>
        <v>484110</v>
      </c>
      <c r="M142" s="3">
        <v>380000000</v>
      </c>
    </row>
    <row r="143" spans="1:13" s="16" customFormat="1" outlineLevel="2">
      <c r="A143" s="17" t="s">
        <v>52</v>
      </c>
      <c r="B143" s="18" t="s">
        <v>48</v>
      </c>
      <c r="C143" s="19" t="s">
        <v>51</v>
      </c>
      <c r="D143" s="18" t="s">
        <v>50</v>
      </c>
      <c r="E143" s="3">
        <v>370000000</v>
      </c>
      <c r="F143" s="17">
        <v>43677</v>
      </c>
      <c r="G143" s="3">
        <v>370000000</v>
      </c>
      <c r="H143" s="2">
        <v>1.4999999999999999E-2</v>
      </c>
      <c r="I143" s="17">
        <v>43678</v>
      </c>
      <c r="J143" s="17">
        <v>43708</v>
      </c>
      <c r="K143" s="3">
        <f>J143-I143+1</f>
        <v>31</v>
      </c>
      <c r="L143" s="3">
        <f>ROUND(G143*H143*K143/365,0)</f>
        <v>471370</v>
      </c>
      <c r="M143" s="3">
        <v>370000000</v>
      </c>
    </row>
    <row r="144" spans="1:13" s="16" customFormat="1" outlineLevel="2">
      <c r="A144" s="17" t="s">
        <v>52</v>
      </c>
      <c r="B144" s="18" t="s">
        <v>47</v>
      </c>
      <c r="C144" s="19" t="s">
        <v>183</v>
      </c>
      <c r="D144" s="18" t="s">
        <v>182</v>
      </c>
      <c r="E144" s="3">
        <v>49200000</v>
      </c>
      <c r="F144" s="17">
        <v>43683</v>
      </c>
      <c r="G144" s="3">
        <v>49200000</v>
      </c>
      <c r="H144" s="2">
        <v>5.0000000000000001E-3</v>
      </c>
      <c r="I144" s="17">
        <v>43683</v>
      </c>
      <c r="J144" s="17">
        <v>43708</v>
      </c>
      <c r="K144" s="3">
        <f>J144-I144+1</f>
        <v>26</v>
      </c>
      <c r="L144" s="3">
        <f>ROUND(G144*H144*K144/365,0)</f>
        <v>17523</v>
      </c>
      <c r="M144" s="3">
        <v>49200000</v>
      </c>
    </row>
    <row r="145" spans="1:13" s="16" customFormat="1" outlineLevel="2">
      <c r="A145" s="17" t="s">
        <v>52</v>
      </c>
      <c r="B145" s="18" t="s">
        <v>46</v>
      </c>
      <c r="C145" s="19" t="s">
        <v>183</v>
      </c>
      <c r="D145" s="18" t="s">
        <v>182</v>
      </c>
      <c r="E145" s="3">
        <v>10098793</v>
      </c>
      <c r="F145" s="17">
        <v>43698</v>
      </c>
      <c r="G145" s="3">
        <v>10098793</v>
      </c>
      <c r="H145" s="2">
        <v>5.0000000000000001E-3</v>
      </c>
      <c r="I145" s="17">
        <v>43698</v>
      </c>
      <c r="J145" s="17">
        <v>43708</v>
      </c>
      <c r="K145" s="3">
        <f>J145-I145+1</f>
        <v>11</v>
      </c>
      <c r="L145" s="3">
        <f>ROUND(G145*H145*K145/365,0)</f>
        <v>1522</v>
      </c>
      <c r="M145" s="3">
        <v>10098793</v>
      </c>
    </row>
    <row r="146" spans="1:13" s="16" customFormat="1" outlineLevel="1">
      <c r="A146" s="28" t="s">
        <v>49</v>
      </c>
      <c r="B146" s="21"/>
      <c r="C146" s="22"/>
      <c r="D146" s="21"/>
      <c r="E146" s="23">
        <f>SUBTOTAL(9,E139:E145)</f>
        <v>1559298793</v>
      </c>
      <c r="F146" s="20"/>
      <c r="G146" s="23"/>
      <c r="H146" s="24"/>
      <c r="I146" s="20"/>
      <c r="J146" s="20"/>
      <c r="K146" s="23"/>
      <c r="L146" s="23">
        <f>SUBTOTAL(9,L139:L145)</f>
        <v>1930005</v>
      </c>
      <c r="M146" s="23">
        <f>SUBTOTAL(9,M139:M145)</f>
        <v>1559298793</v>
      </c>
    </row>
    <row r="147" spans="1:13" s="16" customFormat="1" outlineLevel="2">
      <c r="A147" s="17" t="s">
        <v>29</v>
      </c>
      <c r="B147" s="18" t="s">
        <v>17</v>
      </c>
      <c r="C147" s="19" t="s">
        <v>43</v>
      </c>
      <c r="D147" s="18" t="s">
        <v>26</v>
      </c>
      <c r="E147" s="3">
        <v>25874221</v>
      </c>
      <c r="F147" s="17">
        <v>43605</v>
      </c>
      <c r="G147" s="3">
        <v>25874221</v>
      </c>
      <c r="H147" s="2">
        <v>1.4999999999999999E-2</v>
      </c>
      <c r="I147" s="17">
        <v>43678</v>
      </c>
      <c r="J147" s="17">
        <v>43708</v>
      </c>
      <c r="K147" s="3">
        <f>J147-I147+1</f>
        <v>31</v>
      </c>
      <c r="L147" s="3">
        <f>ROUND(G147*H147*K147/365,0)</f>
        <v>32963</v>
      </c>
      <c r="M147" s="3">
        <v>25874221</v>
      </c>
    </row>
    <row r="148" spans="1:13" s="16" customFormat="1" outlineLevel="2">
      <c r="A148" s="17" t="s">
        <v>29</v>
      </c>
      <c r="B148" s="18" t="s">
        <v>181</v>
      </c>
      <c r="C148" s="19" t="s">
        <v>43</v>
      </c>
      <c r="D148" s="18" t="s">
        <v>26</v>
      </c>
      <c r="E148" s="3">
        <v>3361050</v>
      </c>
      <c r="F148" s="17">
        <v>43654</v>
      </c>
      <c r="G148" s="3">
        <v>3361050</v>
      </c>
      <c r="H148" s="2">
        <v>1.4999999999999999E-2</v>
      </c>
      <c r="I148" s="17">
        <v>43678</v>
      </c>
      <c r="J148" s="17">
        <v>43708</v>
      </c>
      <c r="K148" s="3">
        <f>J148-I148+1</f>
        <v>31</v>
      </c>
      <c r="L148" s="3">
        <f>ROUND(G148*H148*K148/365,0)</f>
        <v>4282</v>
      </c>
      <c r="M148" s="3">
        <v>3361050</v>
      </c>
    </row>
    <row r="149" spans="1:13" s="16" customFormat="1" outlineLevel="2">
      <c r="A149" s="17" t="s">
        <v>29</v>
      </c>
      <c r="B149" s="18" t="s">
        <v>180</v>
      </c>
      <c r="C149" s="19" t="s">
        <v>43</v>
      </c>
      <c r="D149" s="18" t="s">
        <v>26</v>
      </c>
      <c r="E149" s="3">
        <v>23833840</v>
      </c>
      <c r="F149" s="17">
        <v>43664</v>
      </c>
      <c r="G149" s="3">
        <v>23833840</v>
      </c>
      <c r="H149" s="2">
        <v>1.4999999999999999E-2</v>
      </c>
      <c r="I149" s="17">
        <v>43678</v>
      </c>
      <c r="J149" s="17">
        <v>43708</v>
      </c>
      <c r="K149" s="3">
        <f>J149-I149+1</f>
        <v>31</v>
      </c>
      <c r="L149" s="3">
        <f>ROUND(G149*H149*K149/365,0)</f>
        <v>30364</v>
      </c>
      <c r="M149" s="3">
        <v>23833840</v>
      </c>
    </row>
    <row r="150" spans="1:13" s="16" customFormat="1" outlineLevel="2">
      <c r="A150" s="17" t="s">
        <v>29</v>
      </c>
      <c r="B150" s="18" t="s">
        <v>179</v>
      </c>
      <c r="C150" s="19" t="s">
        <v>43</v>
      </c>
      <c r="D150" s="18" t="s">
        <v>26</v>
      </c>
      <c r="E150" s="3">
        <v>92130451</v>
      </c>
      <c r="F150" s="17">
        <v>43665</v>
      </c>
      <c r="G150" s="3">
        <v>92130451</v>
      </c>
      <c r="H150" s="2">
        <v>1.4999999999999999E-2</v>
      </c>
      <c r="I150" s="17">
        <v>43678</v>
      </c>
      <c r="J150" s="17">
        <v>43708</v>
      </c>
      <c r="K150" s="3">
        <f>J150-I150+1</f>
        <v>31</v>
      </c>
      <c r="L150" s="3">
        <f>ROUND(G150*H150*K150/365,0)</f>
        <v>117372</v>
      </c>
      <c r="M150" s="3">
        <v>92130451</v>
      </c>
    </row>
    <row r="151" spans="1:13" s="16" customFormat="1" outlineLevel="2">
      <c r="A151" s="17" t="s">
        <v>29</v>
      </c>
      <c r="B151" s="18" t="s">
        <v>178</v>
      </c>
      <c r="C151" s="19" t="s">
        <v>43</v>
      </c>
      <c r="D151" s="18" t="s">
        <v>26</v>
      </c>
      <c r="E151" s="3">
        <v>13975915</v>
      </c>
      <c r="F151" s="17">
        <v>43675</v>
      </c>
      <c r="G151" s="3">
        <v>13975915</v>
      </c>
      <c r="H151" s="2">
        <v>1.4999999999999999E-2</v>
      </c>
      <c r="I151" s="17">
        <v>43678</v>
      </c>
      <c r="J151" s="17">
        <v>43708</v>
      </c>
      <c r="K151" s="3">
        <f>J151-I151+1</f>
        <v>31</v>
      </c>
      <c r="L151" s="3">
        <f>ROUND(G151*H151*K151/365,0)</f>
        <v>17805</v>
      </c>
      <c r="M151" s="3">
        <v>13975915</v>
      </c>
    </row>
    <row r="152" spans="1:13" s="16" customFormat="1" outlineLevel="2">
      <c r="A152" s="17" t="s">
        <v>29</v>
      </c>
      <c r="B152" s="18" t="s">
        <v>177</v>
      </c>
      <c r="C152" s="19" t="s">
        <v>43</v>
      </c>
      <c r="D152" s="18" t="s">
        <v>26</v>
      </c>
      <c r="E152" s="3">
        <v>16675884</v>
      </c>
      <c r="F152" s="17">
        <v>43654</v>
      </c>
      <c r="G152" s="3">
        <v>16675884</v>
      </c>
      <c r="H152" s="2">
        <v>1.4999999999999999E-2</v>
      </c>
      <c r="I152" s="17">
        <v>43678</v>
      </c>
      <c r="J152" s="17">
        <v>43708</v>
      </c>
      <c r="K152" s="3">
        <f>J152-I152+1</f>
        <v>31</v>
      </c>
      <c r="L152" s="3">
        <f>ROUND(G152*H152*K152/365,0)</f>
        <v>21245</v>
      </c>
      <c r="M152" s="3">
        <v>16675884</v>
      </c>
    </row>
    <row r="153" spans="1:13" s="16" customFormat="1" outlineLevel="2">
      <c r="A153" s="17" t="s">
        <v>29</v>
      </c>
      <c r="B153" s="18" t="s">
        <v>176</v>
      </c>
      <c r="C153" s="19" t="s">
        <v>43</v>
      </c>
      <c r="D153" s="18" t="s">
        <v>26</v>
      </c>
      <c r="E153" s="3">
        <v>44604939</v>
      </c>
      <c r="F153" s="17">
        <v>43664</v>
      </c>
      <c r="G153" s="3">
        <v>44604939</v>
      </c>
      <c r="H153" s="2">
        <v>1.4999999999999999E-2</v>
      </c>
      <c r="I153" s="17">
        <v>43678</v>
      </c>
      <c r="J153" s="17">
        <v>43708</v>
      </c>
      <c r="K153" s="3">
        <f>J153-I153+1</f>
        <v>31</v>
      </c>
      <c r="L153" s="3">
        <f>ROUND(G153*H153*K153/365,0)</f>
        <v>56825</v>
      </c>
      <c r="M153" s="3">
        <v>44604939</v>
      </c>
    </row>
    <row r="154" spans="1:13" s="16" customFormat="1" outlineLevel="2">
      <c r="A154" s="17" t="s">
        <v>29</v>
      </c>
      <c r="B154" s="18" t="s">
        <v>175</v>
      </c>
      <c r="C154" s="19" t="s">
        <v>43</v>
      </c>
      <c r="D154" s="18" t="s">
        <v>26</v>
      </c>
      <c r="E154" s="3">
        <v>3069360</v>
      </c>
      <c r="F154" s="17">
        <v>43675</v>
      </c>
      <c r="G154" s="3">
        <v>3069360</v>
      </c>
      <c r="H154" s="2">
        <v>1.4999999999999999E-2</v>
      </c>
      <c r="I154" s="17">
        <v>43678</v>
      </c>
      <c r="J154" s="17">
        <v>43708</v>
      </c>
      <c r="K154" s="3">
        <f>J154-I154+1</f>
        <v>31</v>
      </c>
      <c r="L154" s="3">
        <f>ROUND(G154*H154*K154/365,0)</f>
        <v>3910</v>
      </c>
      <c r="M154" s="3">
        <v>3069360</v>
      </c>
    </row>
    <row r="155" spans="1:13" s="16" customFormat="1" outlineLevel="2">
      <c r="A155" s="17" t="s">
        <v>29</v>
      </c>
      <c r="B155" s="18" t="s">
        <v>174</v>
      </c>
      <c r="C155" s="19" t="s">
        <v>173</v>
      </c>
      <c r="D155" s="18" t="s">
        <v>172</v>
      </c>
      <c r="E155" s="3">
        <v>1000000000</v>
      </c>
      <c r="F155" s="17">
        <v>43672</v>
      </c>
      <c r="G155" s="3">
        <v>1000000000</v>
      </c>
      <c r="H155" s="2">
        <v>1.4999999999999999E-2</v>
      </c>
      <c r="I155" s="17">
        <v>43678</v>
      </c>
      <c r="J155" s="17">
        <v>43708</v>
      </c>
      <c r="K155" s="3">
        <f>J155-I155+1</f>
        <v>31</v>
      </c>
      <c r="L155" s="3">
        <f>ROUND(G155*H155*K155/365,0)</f>
        <v>1273973</v>
      </c>
      <c r="M155" s="3">
        <v>1000000000</v>
      </c>
    </row>
    <row r="156" spans="1:13" s="16" customFormat="1" outlineLevel="2">
      <c r="A156" s="17" t="s">
        <v>29</v>
      </c>
      <c r="B156" s="18" t="s">
        <v>171</v>
      </c>
      <c r="C156" s="19" t="s">
        <v>163</v>
      </c>
      <c r="D156" s="18" t="s">
        <v>162</v>
      </c>
      <c r="E156" s="3">
        <v>1300000</v>
      </c>
      <c r="F156" s="17">
        <v>43672</v>
      </c>
      <c r="G156" s="3">
        <v>1300000</v>
      </c>
      <c r="H156" s="2">
        <v>1.4999999999999999E-2</v>
      </c>
      <c r="I156" s="17">
        <v>43678</v>
      </c>
      <c r="J156" s="17">
        <v>43708</v>
      </c>
      <c r="K156" s="3">
        <f>J156-I156+1</f>
        <v>31</v>
      </c>
      <c r="L156" s="3">
        <f>ROUND(G156*H156*K156/365,0)</f>
        <v>1656</v>
      </c>
      <c r="M156" s="3">
        <v>1300000</v>
      </c>
    </row>
    <row r="157" spans="1:13" s="16" customFormat="1" outlineLevel="2">
      <c r="A157" s="17" t="s">
        <v>29</v>
      </c>
      <c r="B157" s="18" t="s">
        <v>170</v>
      </c>
      <c r="C157" s="19" t="s">
        <v>163</v>
      </c>
      <c r="D157" s="18" t="s">
        <v>162</v>
      </c>
      <c r="E157" s="3">
        <v>7780000</v>
      </c>
      <c r="F157" s="17">
        <v>43672</v>
      </c>
      <c r="G157" s="3">
        <v>7780000</v>
      </c>
      <c r="H157" s="2">
        <v>1.4999999999999999E-2</v>
      </c>
      <c r="I157" s="17">
        <v>43678</v>
      </c>
      <c r="J157" s="17">
        <v>43708</v>
      </c>
      <c r="K157" s="3">
        <f>J157-I157+1</f>
        <v>31</v>
      </c>
      <c r="L157" s="3">
        <f>ROUND(G157*H157*K157/365,0)</f>
        <v>9912</v>
      </c>
      <c r="M157" s="3">
        <v>7780000</v>
      </c>
    </row>
    <row r="158" spans="1:13" s="16" customFormat="1" outlineLevel="2">
      <c r="A158" s="17" t="s">
        <v>29</v>
      </c>
      <c r="B158" s="18" t="s">
        <v>31</v>
      </c>
      <c r="C158" s="19" t="s">
        <v>43</v>
      </c>
      <c r="D158" s="18" t="s">
        <v>26</v>
      </c>
      <c r="E158" s="3">
        <v>7967807</v>
      </c>
      <c r="F158" s="17">
        <v>43613</v>
      </c>
      <c r="G158" s="3">
        <v>7967807</v>
      </c>
      <c r="H158" s="2">
        <v>1.4999999999999999E-2</v>
      </c>
      <c r="I158" s="17">
        <v>43678</v>
      </c>
      <c r="J158" s="17">
        <v>43708</v>
      </c>
      <c r="K158" s="3">
        <f>J158-I158+1</f>
        <v>31</v>
      </c>
      <c r="L158" s="3">
        <f>ROUND(G158*H158*K158/365,0)</f>
        <v>10151</v>
      </c>
      <c r="M158" s="3">
        <v>7967807</v>
      </c>
    </row>
    <row r="159" spans="1:13" s="16" customFormat="1" outlineLevel="2">
      <c r="A159" s="17" t="s">
        <v>29</v>
      </c>
      <c r="B159" s="18" t="s">
        <v>169</v>
      </c>
      <c r="C159" s="19" t="s">
        <v>51</v>
      </c>
      <c r="D159" s="18" t="s">
        <v>50</v>
      </c>
      <c r="E159" s="3">
        <v>81000000</v>
      </c>
      <c r="F159" s="17">
        <v>43650</v>
      </c>
      <c r="G159" s="3">
        <v>81000000</v>
      </c>
      <c r="H159" s="2">
        <v>1.4999999999999999E-2</v>
      </c>
      <c r="I159" s="17">
        <v>43678</v>
      </c>
      <c r="J159" s="17">
        <v>43708</v>
      </c>
      <c r="K159" s="3">
        <f>J159-I159+1</f>
        <v>31</v>
      </c>
      <c r="L159" s="3">
        <f>ROUND(G159*H159*K159/365,0)</f>
        <v>103192</v>
      </c>
      <c r="M159" s="3">
        <v>81000000</v>
      </c>
    </row>
    <row r="160" spans="1:13" s="16" customFormat="1" outlineLevel="2">
      <c r="A160" s="17" t="s">
        <v>29</v>
      </c>
      <c r="B160" s="18" t="s">
        <v>168</v>
      </c>
      <c r="C160" s="19" t="s">
        <v>51</v>
      </c>
      <c r="D160" s="18" t="s">
        <v>50</v>
      </c>
      <c r="E160" s="3">
        <v>500000000</v>
      </c>
      <c r="F160" s="17">
        <v>43651</v>
      </c>
      <c r="G160" s="3">
        <v>500000000</v>
      </c>
      <c r="H160" s="2">
        <v>1.4999999999999999E-2</v>
      </c>
      <c r="I160" s="17">
        <v>43678</v>
      </c>
      <c r="J160" s="17">
        <v>43708</v>
      </c>
      <c r="K160" s="3">
        <f>J160-I160+1</f>
        <v>31</v>
      </c>
      <c r="L160" s="3">
        <f>ROUND(G160*H160*K160/365,0)</f>
        <v>636986</v>
      </c>
      <c r="M160" s="3">
        <v>500000000</v>
      </c>
    </row>
    <row r="161" spans="1:13" s="16" customFormat="1" outlineLevel="2">
      <c r="A161" s="17" t="s">
        <v>29</v>
      </c>
      <c r="B161" s="18" t="s">
        <v>167</v>
      </c>
      <c r="C161" s="19" t="s">
        <v>159</v>
      </c>
      <c r="D161" s="18" t="s">
        <v>158</v>
      </c>
      <c r="E161" s="3">
        <v>79839000</v>
      </c>
      <c r="F161" s="17">
        <v>43663</v>
      </c>
      <c r="G161" s="3">
        <v>79839000</v>
      </c>
      <c r="H161" s="2">
        <v>1.4999999999999999E-2</v>
      </c>
      <c r="I161" s="17">
        <v>43678</v>
      </c>
      <c r="J161" s="17">
        <v>43708</v>
      </c>
      <c r="K161" s="3">
        <f>J161-I161+1</f>
        <v>31</v>
      </c>
      <c r="L161" s="3">
        <f>ROUND(G161*H161*K161/365,0)</f>
        <v>101713</v>
      </c>
      <c r="M161" s="3">
        <v>79839000</v>
      </c>
    </row>
    <row r="162" spans="1:13" s="16" customFormat="1" outlineLevel="2">
      <c r="A162" s="17" t="s">
        <v>29</v>
      </c>
      <c r="B162" s="18" t="s">
        <v>166</v>
      </c>
      <c r="C162" s="19" t="s">
        <v>159</v>
      </c>
      <c r="D162" s="18" t="s">
        <v>158</v>
      </c>
      <c r="E162" s="3">
        <v>38097000</v>
      </c>
      <c r="F162" s="17">
        <v>43663</v>
      </c>
      <c r="G162" s="3">
        <v>38097000</v>
      </c>
      <c r="H162" s="2">
        <v>1.4999999999999999E-2</v>
      </c>
      <c r="I162" s="17">
        <v>43678</v>
      </c>
      <c r="J162" s="17">
        <v>43708</v>
      </c>
      <c r="K162" s="3">
        <f>J162-I162+1</f>
        <v>31</v>
      </c>
      <c r="L162" s="3">
        <f>ROUND(G162*H162*K162/365,0)</f>
        <v>48535</v>
      </c>
      <c r="M162" s="3">
        <v>38097000</v>
      </c>
    </row>
    <row r="163" spans="1:13" s="16" customFormat="1" outlineLevel="2">
      <c r="A163" s="17" t="s">
        <v>29</v>
      </c>
      <c r="B163" s="18" t="s">
        <v>165</v>
      </c>
      <c r="C163" s="19" t="s">
        <v>43</v>
      </c>
      <c r="D163" s="18" t="s">
        <v>26</v>
      </c>
      <c r="E163" s="3">
        <v>78330067</v>
      </c>
      <c r="F163" s="17">
        <v>43692</v>
      </c>
      <c r="G163" s="3">
        <v>78330067</v>
      </c>
      <c r="H163" s="2">
        <v>1.4999999999999999E-2</v>
      </c>
      <c r="I163" s="17">
        <v>43692</v>
      </c>
      <c r="J163" s="17">
        <v>43708</v>
      </c>
      <c r="K163" s="3">
        <f>J163-I163+1</f>
        <v>17</v>
      </c>
      <c r="L163" s="3">
        <f>ROUND(G163*H163*K163/365,0)</f>
        <v>54724</v>
      </c>
      <c r="M163" s="3">
        <v>78330067</v>
      </c>
    </row>
    <row r="164" spans="1:13" s="16" customFormat="1" outlineLevel="2">
      <c r="A164" s="17" t="s">
        <v>29</v>
      </c>
      <c r="B164" s="18" t="s">
        <v>164</v>
      </c>
      <c r="C164" s="19" t="s">
        <v>163</v>
      </c>
      <c r="D164" s="18" t="s">
        <v>162</v>
      </c>
      <c r="E164" s="3">
        <v>6600000</v>
      </c>
      <c r="F164" s="17">
        <v>43700</v>
      </c>
      <c r="G164" s="3">
        <v>6600000</v>
      </c>
      <c r="H164" s="2">
        <v>1.4999999999999999E-2</v>
      </c>
      <c r="I164" s="17">
        <v>43700</v>
      </c>
      <c r="J164" s="17">
        <v>43708</v>
      </c>
      <c r="K164" s="3">
        <f>J164-I164+1</f>
        <v>9</v>
      </c>
      <c r="L164" s="3">
        <f>ROUND(G164*H164*K164/365,0)</f>
        <v>2441</v>
      </c>
      <c r="M164" s="3">
        <v>6600000</v>
      </c>
    </row>
    <row r="165" spans="1:13" s="16" customFormat="1" outlineLevel="2">
      <c r="A165" s="17" t="s">
        <v>29</v>
      </c>
      <c r="B165" s="18" t="s">
        <v>161</v>
      </c>
      <c r="C165" s="19" t="s">
        <v>159</v>
      </c>
      <c r="D165" s="18" t="s">
        <v>158</v>
      </c>
      <c r="E165" s="3">
        <v>18206000</v>
      </c>
      <c r="F165" s="17">
        <v>43693</v>
      </c>
      <c r="G165" s="3">
        <v>18206000</v>
      </c>
      <c r="H165" s="2">
        <v>1.4999999999999999E-2</v>
      </c>
      <c r="I165" s="17">
        <v>43693</v>
      </c>
      <c r="J165" s="17">
        <v>43708</v>
      </c>
      <c r="K165" s="3">
        <f>J165-I165+1</f>
        <v>16</v>
      </c>
      <c r="L165" s="3">
        <f>ROUND(G165*H165*K165/365,0)</f>
        <v>11971</v>
      </c>
      <c r="M165" s="3">
        <v>18206000</v>
      </c>
    </row>
    <row r="166" spans="1:13" s="16" customFormat="1" outlineLevel="2">
      <c r="A166" s="17" t="s">
        <v>29</v>
      </c>
      <c r="B166" s="18" t="s">
        <v>160</v>
      </c>
      <c r="C166" s="19" t="s">
        <v>159</v>
      </c>
      <c r="D166" s="18" t="s">
        <v>158</v>
      </c>
      <c r="E166" s="3">
        <v>6635000</v>
      </c>
      <c r="F166" s="17">
        <v>43693</v>
      </c>
      <c r="G166" s="3">
        <v>6635000</v>
      </c>
      <c r="H166" s="2">
        <v>1.4999999999999999E-2</v>
      </c>
      <c r="I166" s="17">
        <v>43693</v>
      </c>
      <c r="J166" s="17">
        <v>43708</v>
      </c>
      <c r="K166" s="3">
        <f>J166-I166+1</f>
        <v>16</v>
      </c>
      <c r="L166" s="3">
        <f>ROUND(G166*H166*K166/365,0)</f>
        <v>4363</v>
      </c>
      <c r="M166" s="3">
        <v>6635000</v>
      </c>
    </row>
    <row r="167" spans="1:13" s="16" customFormat="1" outlineLevel="2">
      <c r="A167" s="17" t="s">
        <v>29</v>
      </c>
      <c r="B167" s="18" t="s">
        <v>157</v>
      </c>
      <c r="C167" s="19" t="s">
        <v>150</v>
      </c>
      <c r="D167" s="18" t="s">
        <v>149</v>
      </c>
      <c r="E167" s="3">
        <v>145793089</v>
      </c>
      <c r="F167" s="17">
        <v>43697</v>
      </c>
      <c r="G167" s="3">
        <v>145793089</v>
      </c>
      <c r="H167" s="2">
        <v>5.0000000000000001E-3</v>
      </c>
      <c r="I167" s="17">
        <v>43697</v>
      </c>
      <c r="J167" s="17">
        <v>43708</v>
      </c>
      <c r="K167" s="3">
        <f>J167-I167+1</f>
        <v>12</v>
      </c>
      <c r="L167" s="3">
        <f>ROUND(G167*H167*K167/365,0)</f>
        <v>23966</v>
      </c>
      <c r="M167" s="3">
        <v>145793089</v>
      </c>
    </row>
    <row r="168" spans="1:13" s="16" customFormat="1" outlineLevel="2">
      <c r="A168" s="17" t="s">
        <v>29</v>
      </c>
      <c r="B168" s="18" t="s">
        <v>156</v>
      </c>
      <c r="C168" s="19" t="s">
        <v>150</v>
      </c>
      <c r="D168" s="18" t="s">
        <v>149</v>
      </c>
      <c r="E168" s="3">
        <v>53362182</v>
      </c>
      <c r="F168" s="17">
        <v>43697</v>
      </c>
      <c r="G168" s="3">
        <v>53362182</v>
      </c>
      <c r="H168" s="2">
        <v>5.0000000000000001E-3</v>
      </c>
      <c r="I168" s="17">
        <v>43697</v>
      </c>
      <c r="J168" s="17">
        <v>43708</v>
      </c>
      <c r="K168" s="3">
        <f>J168-I168+1</f>
        <v>12</v>
      </c>
      <c r="L168" s="3">
        <f>ROUND(G168*H168*K168/365,0)</f>
        <v>8772</v>
      </c>
      <c r="M168" s="3">
        <v>53362182</v>
      </c>
    </row>
    <row r="169" spans="1:13" s="16" customFormat="1" outlineLevel="2">
      <c r="A169" s="17" t="s">
        <v>29</v>
      </c>
      <c r="B169" s="18" t="s">
        <v>30</v>
      </c>
      <c r="C169" s="19" t="s">
        <v>43</v>
      </c>
      <c r="D169" s="18" t="s">
        <v>26</v>
      </c>
      <c r="E169" s="3">
        <v>40136695</v>
      </c>
      <c r="F169" s="17">
        <v>43605</v>
      </c>
      <c r="G169" s="3">
        <v>40136695</v>
      </c>
      <c r="H169" s="2">
        <v>1.4999999999999999E-2</v>
      </c>
      <c r="I169" s="17">
        <v>43678</v>
      </c>
      <c r="J169" s="17">
        <v>43708</v>
      </c>
      <c r="K169" s="3">
        <f>J169-I169+1</f>
        <v>31</v>
      </c>
      <c r="L169" s="3">
        <f>ROUND(G169*H169*K169/365,0)</f>
        <v>51133</v>
      </c>
      <c r="M169" s="3">
        <v>40136695</v>
      </c>
    </row>
    <row r="170" spans="1:13" s="16" customFormat="1" outlineLevel="2">
      <c r="A170" s="17" t="s">
        <v>29</v>
      </c>
      <c r="B170" s="18" t="s">
        <v>155</v>
      </c>
      <c r="C170" s="19" t="s">
        <v>150</v>
      </c>
      <c r="D170" s="18" t="s">
        <v>149</v>
      </c>
      <c r="E170" s="3">
        <v>6066888</v>
      </c>
      <c r="F170" s="17">
        <v>43698</v>
      </c>
      <c r="G170" s="3">
        <v>6066888</v>
      </c>
      <c r="H170" s="2">
        <v>5.0000000000000001E-3</v>
      </c>
      <c r="I170" s="17">
        <v>43698</v>
      </c>
      <c r="J170" s="17">
        <v>43708</v>
      </c>
      <c r="K170" s="3">
        <f>J170-I170+1</f>
        <v>11</v>
      </c>
      <c r="L170" s="3">
        <f>ROUND(G170*H170*K170/365,0)</f>
        <v>914</v>
      </c>
      <c r="M170" s="3">
        <v>6066888</v>
      </c>
    </row>
    <row r="171" spans="1:13" s="16" customFormat="1" outlineLevel="2">
      <c r="A171" s="17" t="s">
        <v>29</v>
      </c>
      <c r="B171" s="18" t="s">
        <v>154</v>
      </c>
      <c r="C171" s="19" t="s">
        <v>150</v>
      </c>
      <c r="D171" s="18" t="s">
        <v>149</v>
      </c>
      <c r="E171" s="3">
        <v>8672311</v>
      </c>
      <c r="F171" s="17">
        <v>43705</v>
      </c>
      <c r="G171" s="3">
        <v>8672311</v>
      </c>
      <c r="H171" s="2">
        <v>5.0000000000000001E-3</v>
      </c>
      <c r="I171" s="17">
        <v>43705</v>
      </c>
      <c r="J171" s="17">
        <v>43708</v>
      </c>
      <c r="K171" s="3">
        <f>J171-I171+1</f>
        <v>4</v>
      </c>
      <c r="L171" s="3">
        <f>ROUND(G171*H171*K171/365,0)</f>
        <v>475</v>
      </c>
      <c r="M171" s="3">
        <v>8672311</v>
      </c>
    </row>
    <row r="172" spans="1:13" s="16" customFormat="1" outlineLevel="2">
      <c r="A172" s="17" t="s">
        <v>29</v>
      </c>
      <c r="B172" s="18" t="s">
        <v>153</v>
      </c>
      <c r="C172" s="19" t="s">
        <v>150</v>
      </c>
      <c r="D172" s="18" t="s">
        <v>149</v>
      </c>
      <c r="E172" s="3">
        <v>72772468</v>
      </c>
      <c r="F172" s="17">
        <v>43697</v>
      </c>
      <c r="G172" s="3">
        <v>72772468</v>
      </c>
      <c r="H172" s="2">
        <v>3.0000000000000001E-3</v>
      </c>
      <c r="I172" s="17">
        <v>43697</v>
      </c>
      <c r="J172" s="17">
        <v>43708</v>
      </c>
      <c r="K172" s="3">
        <f>J172-I172+1</f>
        <v>12</v>
      </c>
      <c r="L172" s="3">
        <f>ROUND(G172*H172*K172/365,0)</f>
        <v>7178</v>
      </c>
      <c r="M172" s="3">
        <v>72772468</v>
      </c>
    </row>
    <row r="173" spans="1:13" s="16" customFormat="1" outlineLevel="2">
      <c r="A173" s="17" t="s">
        <v>29</v>
      </c>
      <c r="B173" s="18" t="s">
        <v>152</v>
      </c>
      <c r="C173" s="19" t="s">
        <v>150</v>
      </c>
      <c r="D173" s="18" t="s">
        <v>149</v>
      </c>
      <c r="E173" s="3">
        <v>21070723</v>
      </c>
      <c r="F173" s="17">
        <v>43697</v>
      </c>
      <c r="G173" s="3">
        <v>21070723</v>
      </c>
      <c r="H173" s="2">
        <v>3.0000000000000001E-3</v>
      </c>
      <c r="I173" s="17">
        <v>43697</v>
      </c>
      <c r="J173" s="17">
        <v>43708</v>
      </c>
      <c r="K173" s="3">
        <f>J173-I173+1</f>
        <v>12</v>
      </c>
      <c r="L173" s="3">
        <f>ROUND(G173*H173*K173/365,0)</f>
        <v>2078</v>
      </c>
      <c r="M173" s="3">
        <v>21070723</v>
      </c>
    </row>
    <row r="174" spans="1:13" s="16" customFormat="1" outlineLevel="2">
      <c r="A174" s="17" t="s">
        <v>29</v>
      </c>
      <c r="B174" s="18" t="s">
        <v>151</v>
      </c>
      <c r="C174" s="19" t="s">
        <v>150</v>
      </c>
      <c r="D174" s="18" t="s">
        <v>149</v>
      </c>
      <c r="E174" s="3">
        <v>3227640</v>
      </c>
      <c r="F174" s="17">
        <v>43705</v>
      </c>
      <c r="G174" s="3">
        <v>3227640</v>
      </c>
      <c r="H174" s="2">
        <v>3.0000000000000001E-3</v>
      </c>
      <c r="I174" s="17">
        <v>43705</v>
      </c>
      <c r="J174" s="17">
        <v>43708</v>
      </c>
      <c r="K174" s="3">
        <f>J174-I174+1</f>
        <v>4</v>
      </c>
      <c r="L174" s="3">
        <f>ROUND(G174*H174*K174/365,0)</f>
        <v>106</v>
      </c>
      <c r="M174" s="3">
        <v>3227640</v>
      </c>
    </row>
    <row r="175" spans="1:13" s="16" customFormat="1" outlineLevel="2">
      <c r="A175" s="17" t="s">
        <v>29</v>
      </c>
      <c r="B175" s="18" t="s">
        <v>28</v>
      </c>
      <c r="C175" s="19" t="s">
        <v>43</v>
      </c>
      <c r="D175" s="18" t="s">
        <v>26</v>
      </c>
      <c r="E175" s="3">
        <v>2356988</v>
      </c>
      <c r="F175" s="17">
        <v>43613</v>
      </c>
      <c r="G175" s="3">
        <v>2356988</v>
      </c>
      <c r="H175" s="2">
        <v>1.4999999999999999E-2</v>
      </c>
      <c r="I175" s="17">
        <v>43678</v>
      </c>
      <c r="J175" s="17">
        <v>43708</v>
      </c>
      <c r="K175" s="3">
        <f>J175-I175+1</f>
        <v>31</v>
      </c>
      <c r="L175" s="3">
        <f>ROUND(G175*H175*K175/365,0)</f>
        <v>3003</v>
      </c>
      <c r="M175" s="3">
        <v>2356988</v>
      </c>
    </row>
    <row r="176" spans="1:13" s="16" customFormat="1" outlineLevel="2">
      <c r="A176" s="17" t="s">
        <v>29</v>
      </c>
      <c r="B176" s="18" t="s">
        <v>48</v>
      </c>
      <c r="C176" s="19" t="s">
        <v>43</v>
      </c>
      <c r="D176" s="18" t="s">
        <v>26</v>
      </c>
      <c r="E176" s="3">
        <v>46269826</v>
      </c>
      <c r="F176" s="17">
        <v>43626</v>
      </c>
      <c r="G176" s="3">
        <v>46269826</v>
      </c>
      <c r="H176" s="2">
        <v>1.4999999999999999E-2</v>
      </c>
      <c r="I176" s="17">
        <v>43678</v>
      </c>
      <c r="J176" s="17">
        <v>43708</v>
      </c>
      <c r="K176" s="3">
        <f>J176-I176+1</f>
        <v>31</v>
      </c>
      <c r="L176" s="3">
        <f>ROUND(G176*H176*K176/365,0)</f>
        <v>58946</v>
      </c>
      <c r="M176" s="3">
        <v>46269826</v>
      </c>
    </row>
    <row r="177" spans="1:13" s="16" customFormat="1" outlineLevel="2">
      <c r="A177" s="17" t="s">
        <v>29</v>
      </c>
      <c r="B177" s="18" t="s">
        <v>47</v>
      </c>
      <c r="C177" s="19" t="s">
        <v>43</v>
      </c>
      <c r="D177" s="18" t="s">
        <v>26</v>
      </c>
      <c r="E177" s="3">
        <v>3863475</v>
      </c>
      <c r="F177" s="17">
        <v>43634</v>
      </c>
      <c r="G177" s="3">
        <v>3863475</v>
      </c>
      <c r="H177" s="2">
        <v>1.4999999999999999E-2</v>
      </c>
      <c r="I177" s="17">
        <v>43678</v>
      </c>
      <c r="J177" s="17">
        <v>43708</v>
      </c>
      <c r="K177" s="3">
        <f>J177-I177+1</f>
        <v>31</v>
      </c>
      <c r="L177" s="3">
        <f>ROUND(G177*H177*K177/365,0)</f>
        <v>4922</v>
      </c>
      <c r="M177" s="3">
        <v>3863475</v>
      </c>
    </row>
    <row r="178" spans="1:13" s="16" customFormat="1" outlineLevel="2">
      <c r="A178" s="17" t="s">
        <v>29</v>
      </c>
      <c r="B178" s="18" t="s">
        <v>46</v>
      </c>
      <c r="C178" s="19" t="s">
        <v>43</v>
      </c>
      <c r="D178" s="18" t="s">
        <v>26</v>
      </c>
      <c r="E178" s="3">
        <v>8620798</v>
      </c>
      <c r="F178" s="17">
        <v>43644</v>
      </c>
      <c r="G178" s="3">
        <v>8620798</v>
      </c>
      <c r="H178" s="2">
        <v>1.4999999999999999E-2</v>
      </c>
      <c r="I178" s="17">
        <v>43678</v>
      </c>
      <c r="J178" s="17">
        <v>43708</v>
      </c>
      <c r="K178" s="3">
        <f>J178-I178+1</f>
        <v>31</v>
      </c>
      <c r="L178" s="3">
        <f>ROUND(G178*H178*K178/365,0)</f>
        <v>10983</v>
      </c>
      <c r="M178" s="3">
        <v>8620798</v>
      </c>
    </row>
    <row r="179" spans="1:13" s="16" customFormat="1" outlineLevel="2">
      <c r="A179" s="17" t="s">
        <v>29</v>
      </c>
      <c r="B179" s="18" t="s">
        <v>45</v>
      </c>
      <c r="C179" s="19" t="s">
        <v>43</v>
      </c>
      <c r="D179" s="18" t="s">
        <v>26</v>
      </c>
      <c r="E179" s="3">
        <v>14180723</v>
      </c>
      <c r="F179" s="17">
        <v>43626</v>
      </c>
      <c r="G179" s="3">
        <v>14180723</v>
      </c>
      <c r="H179" s="2">
        <v>1.4999999999999999E-2</v>
      </c>
      <c r="I179" s="17">
        <v>43678</v>
      </c>
      <c r="J179" s="17">
        <v>43708</v>
      </c>
      <c r="K179" s="3">
        <f>J179-I179+1</f>
        <v>31</v>
      </c>
      <c r="L179" s="3">
        <f>ROUND(G179*H179*K179/365,0)</f>
        <v>18066</v>
      </c>
      <c r="M179" s="3">
        <v>14180723</v>
      </c>
    </row>
    <row r="180" spans="1:13" s="16" customFormat="1" outlineLevel="2">
      <c r="A180" s="17" t="s">
        <v>29</v>
      </c>
      <c r="B180" s="18" t="s">
        <v>44</v>
      </c>
      <c r="C180" s="19" t="s">
        <v>43</v>
      </c>
      <c r="D180" s="18" t="s">
        <v>26</v>
      </c>
      <c r="E180" s="3">
        <v>10848433</v>
      </c>
      <c r="F180" s="17">
        <v>43634</v>
      </c>
      <c r="G180" s="3">
        <v>10848433</v>
      </c>
      <c r="H180" s="2">
        <v>1.4999999999999999E-2</v>
      </c>
      <c r="I180" s="17">
        <v>43678</v>
      </c>
      <c r="J180" s="17">
        <v>43708</v>
      </c>
      <c r="K180" s="3">
        <f>J180-I180+1</f>
        <v>31</v>
      </c>
      <c r="L180" s="3">
        <f>ROUND(G180*H180*K180/365,0)</f>
        <v>13821</v>
      </c>
      <c r="M180" s="3">
        <v>10848433</v>
      </c>
    </row>
    <row r="181" spans="1:13" s="16" customFormat="1" outlineLevel="1">
      <c r="A181" s="28" t="s">
        <v>25</v>
      </c>
      <c r="B181" s="21"/>
      <c r="C181" s="22"/>
      <c r="D181" s="21"/>
      <c r="E181" s="23">
        <f>SUBTOTAL(9,E147:E180)</f>
        <v>2486522773</v>
      </c>
      <c r="F181" s="20"/>
      <c r="G181" s="23"/>
      <c r="H181" s="24"/>
      <c r="I181" s="20"/>
      <c r="J181" s="20"/>
      <c r="K181" s="23"/>
      <c r="L181" s="23">
        <f>SUBTOTAL(9,L147:L180)</f>
        <v>2748746</v>
      </c>
      <c r="M181" s="23">
        <f>SUBTOTAL(9,M147:M180)</f>
        <v>2486522773</v>
      </c>
    </row>
    <row r="182" spans="1:13" s="35" customFormat="1" outlineLevel="1">
      <c r="A182" s="29"/>
      <c r="B182" s="30"/>
      <c r="C182" s="31"/>
      <c r="D182" s="30"/>
      <c r="E182" s="32"/>
      <c r="F182" s="33"/>
      <c r="G182" s="32"/>
      <c r="H182" s="34"/>
      <c r="I182" s="33"/>
      <c r="J182" s="33"/>
      <c r="K182" s="32"/>
      <c r="L182" s="32"/>
      <c r="M182" s="32"/>
    </row>
    <row r="183" spans="1:13" s="16" customFormat="1">
      <c r="A183" s="20" t="s">
        <v>24</v>
      </c>
      <c r="B183" s="21"/>
      <c r="C183" s="22"/>
      <c r="D183" s="21"/>
      <c r="E183" s="23">
        <f>SUBTOTAL(9,E4:E180)</f>
        <v>14182623528</v>
      </c>
      <c r="F183" s="20"/>
      <c r="G183" s="23"/>
      <c r="H183" s="24"/>
      <c r="I183" s="20"/>
      <c r="J183" s="20"/>
      <c r="K183" s="23"/>
      <c r="L183" s="23">
        <f>SUBTOTAL(9,L4:L180)</f>
        <v>16203441</v>
      </c>
      <c r="M183" s="23">
        <f>SUBTOTAL(9,M4:M180)</f>
        <v>14177323386</v>
      </c>
    </row>
    <row r="185" spans="1:13">
      <c r="A185" s="25" t="s">
        <v>22</v>
      </c>
      <c r="B185" s="25"/>
      <c r="E185" s="26" t="s">
        <v>23</v>
      </c>
      <c r="G185" s="5"/>
      <c r="I185" s="27" t="s">
        <v>21</v>
      </c>
    </row>
  </sheetData>
  <autoFilter ref="A3:M181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98425196850393704" bottom="0.78740157480314965" header="0.59055118110236227" footer="0.31496062992125984"/>
  <pageSetup paperSize="9" orientation="landscape" r:id="rId1"/>
  <headerFooter alignWithMargins="0">
    <oddHeader>&amp;R附件2</oddHeader>
    <oddFooter>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7C69-1E8A-4D28-A6E3-FC3E1EA7CA0F}">
  <dimension ref="A1:M289"/>
  <sheetViews>
    <sheetView workbookViewId="0">
      <selection activeCell="E13" sqref="E13"/>
    </sheetView>
  </sheetViews>
  <sheetFormatPr defaultColWidth="5.375" defaultRowHeight="13.5" outlineLevelRow="2"/>
  <cols>
    <col min="1" max="1" width="23.125" style="5" bestFit="1" customWidth="1"/>
    <col min="2" max="2" width="8.375" style="5" bestFit="1" customWidth="1"/>
    <col min="3" max="3" width="19.75" style="5" bestFit="1" customWidth="1"/>
    <col min="4" max="4" width="12" style="5" bestFit="1" customWidth="1"/>
    <col min="5" max="5" width="14.75" style="8" bestFit="1" customWidth="1"/>
    <col min="6" max="6" width="12" style="9" bestFit="1" customWidth="1"/>
    <col min="7" max="7" width="13.5" style="8" bestFit="1" customWidth="1"/>
    <col min="8" max="8" width="10.375" style="10" bestFit="1" customWidth="1"/>
    <col min="9" max="10" width="8.75" style="5" customWidth="1"/>
    <col min="11" max="11" width="10.375" style="5" bestFit="1" customWidth="1"/>
    <col min="12" max="12" width="11" style="8" bestFit="1" customWidth="1"/>
    <col min="13" max="13" width="14.75" style="5" bestFit="1" customWidth="1"/>
    <col min="14" max="16384" width="5.375" style="5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6" t="s">
        <v>1</v>
      </c>
      <c r="C2" s="7">
        <v>43738</v>
      </c>
      <c r="L2" s="8" t="s">
        <v>2</v>
      </c>
    </row>
    <row r="3" spans="1:13" s="16" customFormat="1" ht="27.75" thickBot="1">
      <c r="A3" s="1" t="s">
        <v>3</v>
      </c>
      <c r="B3" s="11" t="s">
        <v>4</v>
      </c>
      <c r="C3" s="12" t="s">
        <v>5</v>
      </c>
      <c r="D3" s="12" t="s">
        <v>6</v>
      </c>
      <c r="E3" s="13" t="s">
        <v>7</v>
      </c>
      <c r="F3" s="12" t="s">
        <v>8</v>
      </c>
      <c r="G3" s="14" t="s">
        <v>9</v>
      </c>
      <c r="H3" s="15" t="s">
        <v>10</v>
      </c>
      <c r="I3" s="1" t="s">
        <v>11</v>
      </c>
      <c r="J3" s="1" t="s">
        <v>12</v>
      </c>
      <c r="K3" s="1" t="s">
        <v>13</v>
      </c>
      <c r="L3" s="13" t="s">
        <v>14</v>
      </c>
      <c r="M3" s="1" t="s">
        <v>15</v>
      </c>
    </row>
    <row r="4" spans="1:13" s="16" customFormat="1" outlineLevel="2">
      <c r="A4" s="17" t="s">
        <v>42</v>
      </c>
      <c r="B4" s="18" t="s">
        <v>17</v>
      </c>
      <c r="C4" s="19" t="s">
        <v>54</v>
      </c>
      <c r="D4" s="18" t="s">
        <v>34</v>
      </c>
      <c r="E4" s="3">
        <v>14900000</v>
      </c>
      <c r="F4" s="17">
        <v>43591</v>
      </c>
      <c r="G4" s="3">
        <v>14900000</v>
      </c>
      <c r="H4" s="2">
        <v>1.4999999999999999E-2</v>
      </c>
      <c r="I4" s="17">
        <v>43709</v>
      </c>
      <c r="J4" s="17">
        <v>43738</v>
      </c>
      <c r="K4" s="3">
        <f>J4-I4+1</f>
        <v>30</v>
      </c>
      <c r="L4" s="3">
        <f>ROUND(G4*H4*K4/365,0)</f>
        <v>18370</v>
      </c>
      <c r="M4" s="3">
        <v>14900000</v>
      </c>
    </row>
    <row r="5" spans="1:13" s="16" customFormat="1" outlineLevel="2">
      <c r="A5" s="17" t="s">
        <v>42</v>
      </c>
      <c r="B5" s="18" t="s">
        <v>181</v>
      </c>
      <c r="C5" s="19" t="s">
        <v>225</v>
      </c>
      <c r="D5" s="18" t="s">
        <v>224</v>
      </c>
      <c r="E5" s="3">
        <v>180000000</v>
      </c>
      <c r="F5" s="17">
        <v>43700</v>
      </c>
      <c r="G5" s="3">
        <v>180000000</v>
      </c>
      <c r="H5" s="2">
        <v>5.0000000000000001E-3</v>
      </c>
      <c r="I5" s="17">
        <v>43709</v>
      </c>
      <c r="J5" s="17">
        <v>43738</v>
      </c>
      <c r="K5" s="3">
        <f>J5-I5+1</f>
        <v>30</v>
      </c>
      <c r="L5" s="3">
        <f>ROUND(G5*H5*K5/365,0)</f>
        <v>73973</v>
      </c>
      <c r="M5" s="3">
        <v>180000000</v>
      </c>
    </row>
    <row r="6" spans="1:13" s="16" customFormat="1" outlineLevel="2">
      <c r="A6" s="17" t="s">
        <v>42</v>
      </c>
      <c r="B6" s="18" t="s">
        <v>180</v>
      </c>
      <c r="C6" s="19" t="s">
        <v>163</v>
      </c>
      <c r="D6" s="18" t="s">
        <v>162</v>
      </c>
      <c r="E6" s="3">
        <v>5500000</v>
      </c>
      <c r="F6" s="17">
        <v>43692</v>
      </c>
      <c r="G6" s="3">
        <v>5500000</v>
      </c>
      <c r="H6" s="2">
        <v>5.0000000000000001E-3</v>
      </c>
      <c r="I6" s="17">
        <v>43709</v>
      </c>
      <c r="J6" s="17">
        <v>43738</v>
      </c>
      <c r="K6" s="3">
        <f>J6-I6+1</f>
        <v>30</v>
      </c>
      <c r="L6" s="3">
        <f>ROUND(G6*H6*K6/365,0)</f>
        <v>2260</v>
      </c>
      <c r="M6" s="3">
        <v>5500000</v>
      </c>
    </row>
    <row r="7" spans="1:13" s="16" customFormat="1" outlineLevel="2">
      <c r="A7" s="17" t="s">
        <v>42</v>
      </c>
      <c r="B7" s="18" t="s">
        <v>179</v>
      </c>
      <c r="C7" s="19" t="s">
        <v>54</v>
      </c>
      <c r="D7" s="18" t="s">
        <v>34</v>
      </c>
      <c r="E7" s="3">
        <v>1924000</v>
      </c>
      <c r="F7" s="17">
        <v>43713</v>
      </c>
      <c r="G7" s="3">
        <v>1924000</v>
      </c>
      <c r="H7" s="2">
        <v>1.4999999999999999E-2</v>
      </c>
      <c r="I7" s="17">
        <v>43713</v>
      </c>
      <c r="J7" s="17">
        <v>43738</v>
      </c>
      <c r="K7" s="3">
        <f>J7-I7+1</f>
        <v>26</v>
      </c>
      <c r="L7" s="3">
        <f>ROUND(G7*H7*K7/365,0)</f>
        <v>2056</v>
      </c>
      <c r="M7" s="3">
        <v>1924000</v>
      </c>
    </row>
    <row r="8" spans="1:13" s="16" customFormat="1" outlineLevel="2">
      <c r="A8" s="17" t="s">
        <v>42</v>
      </c>
      <c r="B8" s="18" t="s">
        <v>178</v>
      </c>
      <c r="C8" s="19" t="s">
        <v>54</v>
      </c>
      <c r="D8" s="18" t="s">
        <v>34</v>
      </c>
      <c r="E8" s="3">
        <v>1955000</v>
      </c>
      <c r="F8" s="17">
        <v>43733</v>
      </c>
      <c r="G8" s="3">
        <v>1955000</v>
      </c>
      <c r="H8" s="2">
        <v>1.4999999999999999E-2</v>
      </c>
      <c r="I8" s="17">
        <v>43733</v>
      </c>
      <c r="J8" s="17">
        <v>43738</v>
      </c>
      <c r="K8" s="3">
        <f>J8-I8+1</f>
        <v>6</v>
      </c>
      <c r="L8" s="3">
        <f>ROUND(G8*H8*K8/365,0)</f>
        <v>482</v>
      </c>
      <c r="M8" s="3">
        <v>1955000</v>
      </c>
    </row>
    <row r="9" spans="1:13" s="16" customFormat="1" outlineLevel="2">
      <c r="A9" s="17" t="s">
        <v>42</v>
      </c>
      <c r="B9" s="18" t="s">
        <v>177</v>
      </c>
      <c r="C9" s="19" t="s">
        <v>163</v>
      </c>
      <c r="D9" s="18" t="s">
        <v>162</v>
      </c>
      <c r="E9" s="3">
        <v>23700000</v>
      </c>
      <c r="F9" s="17">
        <v>43714</v>
      </c>
      <c r="G9" s="3">
        <v>23700000</v>
      </c>
      <c r="H9" s="2">
        <v>5.0000000000000001E-3</v>
      </c>
      <c r="I9" s="17">
        <v>43714</v>
      </c>
      <c r="J9" s="17">
        <v>43738</v>
      </c>
      <c r="K9" s="3">
        <f>J9-I9+1</f>
        <v>25</v>
      </c>
      <c r="L9" s="3">
        <f>ROUND(G9*H9*K9/365,0)</f>
        <v>8116</v>
      </c>
      <c r="M9" s="3">
        <v>23700000</v>
      </c>
    </row>
    <row r="10" spans="1:13" s="16" customFormat="1" outlineLevel="2">
      <c r="A10" s="17" t="s">
        <v>42</v>
      </c>
      <c r="B10" s="18" t="s">
        <v>176</v>
      </c>
      <c r="C10" s="19" t="s">
        <v>163</v>
      </c>
      <c r="D10" s="18" t="s">
        <v>162</v>
      </c>
      <c r="E10" s="3">
        <v>48000000</v>
      </c>
      <c r="F10" s="17">
        <v>43717</v>
      </c>
      <c r="G10" s="3">
        <v>48000000</v>
      </c>
      <c r="H10" s="2">
        <v>5.0000000000000001E-3</v>
      </c>
      <c r="I10" s="17">
        <v>43717</v>
      </c>
      <c r="J10" s="17">
        <v>43738</v>
      </c>
      <c r="K10" s="3">
        <f>J10-I10+1</f>
        <v>22</v>
      </c>
      <c r="L10" s="3">
        <f>ROUND(G10*H10*K10/365,0)</f>
        <v>14466</v>
      </c>
      <c r="M10" s="3">
        <v>48000000</v>
      </c>
    </row>
    <row r="11" spans="1:13" s="16" customFormat="1" outlineLevel="2">
      <c r="A11" s="17" t="s">
        <v>42</v>
      </c>
      <c r="B11" s="18" t="s">
        <v>175</v>
      </c>
      <c r="C11" s="19" t="s">
        <v>163</v>
      </c>
      <c r="D11" s="18" t="s">
        <v>162</v>
      </c>
      <c r="E11" s="3">
        <v>30000000</v>
      </c>
      <c r="F11" s="17">
        <v>43734</v>
      </c>
      <c r="G11" s="3">
        <v>30000000</v>
      </c>
      <c r="H11" s="2">
        <v>5.0000000000000001E-3</v>
      </c>
      <c r="I11" s="17">
        <v>43734</v>
      </c>
      <c r="J11" s="17">
        <v>43738</v>
      </c>
      <c r="K11" s="3">
        <f>J11-I11+1</f>
        <v>5</v>
      </c>
      <c r="L11" s="3">
        <f>ROUND(G11*H11*K11/365,0)</f>
        <v>2055</v>
      </c>
      <c r="M11" s="3">
        <v>30000000</v>
      </c>
    </row>
    <row r="12" spans="1:13" s="16" customFormat="1" outlineLevel="2">
      <c r="A12" s="17" t="s">
        <v>42</v>
      </c>
      <c r="B12" s="18" t="s">
        <v>174</v>
      </c>
      <c r="C12" s="19" t="s">
        <v>288</v>
      </c>
      <c r="D12" s="18" t="s">
        <v>287</v>
      </c>
      <c r="E12" s="3">
        <v>176000000</v>
      </c>
      <c r="F12" s="17">
        <v>43723</v>
      </c>
      <c r="G12" s="3">
        <v>176000000</v>
      </c>
      <c r="H12" s="2">
        <v>1.4999999999999999E-2</v>
      </c>
      <c r="I12" s="17">
        <v>43723</v>
      </c>
      <c r="J12" s="17">
        <v>43738</v>
      </c>
      <c r="K12" s="3">
        <f>J12-I12+1</f>
        <v>16</v>
      </c>
      <c r="L12" s="3">
        <f>ROUND(G12*H12*K12/365,0)</f>
        <v>115726</v>
      </c>
      <c r="M12" s="3">
        <v>176000000</v>
      </c>
    </row>
    <row r="13" spans="1:13" s="16" customFormat="1" outlineLevel="2">
      <c r="A13" s="17" t="s">
        <v>42</v>
      </c>
      <c r="B13" s="18" t="s">
        <v>31</v>
      </c>
      <c r="C13" s="19" t="s">
        <v>54</v>
      </c>
      <c r="D13" s="18" t="s">
        <v>34</v>
      </c>
      <c r="E13" s="3">
        <v>3080000</v>
      </c>
      <c r="F13" s="17">
        <v>43612</v>
      </c>
      <c r="G13" s="3">
        <v>3080000</v>
      </c>
      <c r="H13" s="2">
        <v>1.4999999999999999E-2</v>
      </c>
      <c r="I13" s="17">
        <v>43709</v>
      </c>
      <c r="J13" s="17">
        <v>43738</v>
      </c>
      <c r="K13" s="3">
        <f>J13-I13+1</f>
        <v>30</v>
      </c>
      <c r="L13" s="3">
        <f>ROUND(G13*H13*K13/365,0)</f>
        <v>3797</v>
      </c>
      <c r="M13" s="3">
        <v>3080000</v>
      </c>
    </row>
    <row r="14" spans="1:13" s="16" customFormat="1" outlineLevel="2">
      <c r="A14" s="17" t="s">
        <v>42</v>
      </c>
      <c r="B14" s="18" t="s">
        <v>30</v>
      </c>
      <c r="C14" s="19" t="s">
        <v>54</v>
      </c>
      <c r="D14" s="18" t="s">
        <v>34</v>
      </c>
      <c r="E14" s="3">
        <v>29720000</v>
      </c>
      <c r="F14" s="17">
        <v>43621</v>
      </c>
      <c r="G14" s="3">
        <v>29720000</v>
      </c>
      <c r="H14" s="2">
        <v>1.4999999999999999E-2</v>
      </c>
      <c r="I14" s="17">
        <v>43709</v>
      </c>
      <c r="J14" s="17">
        <v>43738</v>
      </c>
      <c r="K14" s="3">
        <f>J14-I14+1</f>
        <v>30</v>
      </c>
      <c r="L14" s="3">
        <f>ROUND(G14*H14*K14/365,0)</f>
        <v>36641</v>
      </c>
      <c r="M14" s="3">
        <v>29720000</v>
      </c>
    </row>
    <row r="15" spans="1:13" s="16" customFormat="1" outlineLevel="2">
      <c r="A15" s="17" t="s">
        <v>42</v>
      </c>
      <c r="B15" s="18" t="s">
        <v>28</v>
      </c>
      <c r="C15" s="19" t="s">
        <v>54</v>
      </c>
      <c r="D15" s="18" t="s">
        <v>34</v>
      </c>
      <c r="E15" s="3">
        <v>42908000</v>
      </c>
      <c r="F15" s="17">
        <v>43633</v>
      </c>
      <c r="G15" s="3">
        <v>42908000</v>
      </c>
      <c r="H15" s="2">
        <v>1.4999999999999999E-2</v>
      </c>
      <c r="I15" s="17">
        <v>43709</v>
      </c>
      <c r="J15" s="17">
        <v>43738</v>
      </c>
      <c r="K15" s="3">
        <f>J15-I15+1</f>
        <v>30</v>
      </c>
      <c r="L15" s="3">
        <f>ROUND(G15*H15*K15/365,0)</f>
        <v>52900</v>
      </c>
      <c r="M15" s="3">
        <v>42908000</v>
      </c>
    </row>
    <row r="16" spans="1:13" s="16" customFormat="1" outlineLevel="2">
      <c r="A16" s="17" t="s">
        <v>42</v>
      </c>
      <c r="B16" s="18" t="s">
        <v>48</v>
      </c>
      <c r="C16" s="19" t="s">
        <v>69</v>
      </c>
      <c r="D16" s="18" t="s">
        <v>68</v>
      </c>
      <c r="E16" s="3">
        <v>315000</v>
      </c>
      <c r="F16" s="17">
        <v>43644</v>
      </c>
      <c r="G16" s="3">
        <v>315000</v>
      </c>
      <c r="H16" s="2">
        <v>1.4999999999999999E-2</v>
      </c>
      <c r="I16" s="17">
        <v>43709</v>
      </c>
      <c r="J16" s="17">
        <v>43738</v>
      </c>
      <c r="K16" s="3">
        <f>J16-I16+1</f>
        <v>30</v>
      </c>
      <c r="L16" s="3">
        <f>ROUND(G16*H16*K16/365,0)</f>
        <v>388</v>
      </c>
      <c r="M16" s="3">
        <v>315000</v>
      </c>
    </row>
    <row r="17" spans="1:13" s="16" customFormat="1" outlineLevel="2">
      <c r="A17" s="17" t="s">
        <v>42</v>
      </c>
      <c r="B17" s="18" t="s">
        <v>47</v>
      </c>
      <c r="C17" s="19" t="s">
        <v>54</v>
      </c>
      <c r="D17" s="18" t="s">
        <v>34</v>
      </c>
      <c r="E17" s="3">
        <v>21895000</v>
      </c>
      <c r="F17" s="17">
        <v>43661</v>
      </c>
      <c r="G17" s="3">
        <v>21895000</v>
      </c>
      <c r="H17" s="2">
        <v>1.4999999999999999E-2</v>
      </c>
      <c r="I17" s="17">
        <v>43709</v>
      </c>
      <c r="J17" s="17">
        <v>43738</v>
      </c>
      <c r="K17" s="3">
        <f>J17-I17+1</f>
        <v>30</v>
      </c>
      <c r="L17" s="3">
        <f>ROUND(G17*H17*K17/365,0)</f>
        <v>26994</v>
      </c>
      <c r="M17" s="3">
        <v>21895000</v>
      </c>
    </row>
    <row r="18" spans="1:13" s="16" customFormat="1" outlineLevel="2">
      <c r="A18" s="17" t="s">
        <v>42</v>
      </c>
      <c r="B18" s="18" t="s">
        <v>46</v>
      </c>
      <c r="C18" s="19" t="s">
        <v>221</v>
      </c>
      <c r="D18" s="18" t="s">
        <v>222</v>
      </c>
      <c r="E18" s="3">
        <v>865657</v>
      </c>
      <c r="F18" s="17">
        <v>43661</v>
      </c>
      <c r="G18" s="3">
        <v>851229</v>
      </c>
      <c r="H18" s="2">
        <v>1.4999999999999999E-2</v>
      </c>
      <c r="I18" s="17">
        <v>43709</v>
      </c>
      <c r="J18" s="17">
        <v>43723</v>
      </c>
      <c r="K18" s="3">
        <f>J18-I18+1</f>
        <v>15</v>
      </c>
      <c r="L18" s="3">
        <f>ROUND(G18*H18*K18/365,0)</f>
        <v>525</v>
      </c>
      <c r="M18" s="3">
        <v>836801</v>
      </c>
    </row>
    <row r="19" spans="1:13" s="16" customFormat="1" outlineLevel="2">
      <c r="A19" s="17" t="s">
        <v>42</v>
      </c>
      <c r="B19" s="18" t="s">
        <v>46</v>
      </c>
      <c r="C19" s="19" t="s">
        <v>221</v>
      </c>
      <c r="D19" s="18"/>
      <c r="E19" s="3"/>
      <c r="F19" s="17"/>
      <c r="G19" s="3">
        <v>836801</v>
      </c>
      <c r="H19" s="2">
        <v>1.4999999999999999E-2</v>
      </c>
      <c r="I19" s="17">
        <v>43724</v>
      </c>
      <c r="J19" s="17">
        <v>43738</v>
      </c>
      <c r="K19" s="3">
        <f>J19-I19+1</f>
        <v>15</v>
      </c>
      <c r="L19" s="3">
        <f>ROUND(G19*H19*K19/365,0)</f>
        <v>516</v>
      </c>
      <c r="M19" s="3"/>
    </row>
    <row r="20" spans="1:13" s="16" customFormat="1" outlineLevel="2">
      <c r="A20" s="17" t="s">
        <v>42</v>
      </c>
      <c r="B20" s="18" t="s">
        <v>45</v>
      </c>
      <c r="C20" s="19" t="s">
        <v>54</v>
      </c>
      <c r="D20" s="18" t="s">
        <v>34</v>
      </c>
      <c r="E20" s="3">
        <v>4116000</v>
      </c>
      <c r="F20" s="17">
        <v>43692</v>
      </c>
      <c r="G20" s="3">
        <v>4116000</v>
      </c>
      <c r="H20" s="2">
        <v>1.4999999999999999E-2</v>
      </c>
      <c r="I20" s="17">
        <v>43709</v>
      </c>
      <c r="J20" s="17">
        <v>43738</v>
      </c>
      <c r="K20" s="3">
        <f>J20-I20+1</f>
        <v>30</v>
      </c>
      <c r="L20" s="3">
        <f>ROUND(G20*H20*K20/365,0)</f>
        <v>5075</v>
      </c>
      <c r="M20" s="3">
        <v>4116000</v>
      </c>
    </row>
    <row r="21" spans="1:13" s="16" customFormat="1" outlineLevel="2">
      <c r="A21" s="17" t="s">
        <v>42</v>
      </c>
      <c r="B21" s="18" t="s">
        <v>44</v>
      </c>
      <c r="C21" s="19" t="s">
        <v>225</v>
      </c>
      <c r="D21" s="18" t="s">
        <v>224</v>
      </c>
      <c r="E21" s="3">
        <v>20000000</v>
      </c>
      <c r="F21" s="17">
        <v>43692</v>
      </c>
      <c r="G21" s="3">
        <v>20000000</v>
      </c>
      <c r="H21" s="2">
        <v>5.0000000000000001E-3</v>
      </c>
      <c r="I21" s="17">
        <v>43709</v>
      </c>
      <c r="J21" s="17">
        <v>43738</v>
      </c>
      <c r="K21" s="3">
        <f>J21-I21+1</f>
        <v>30</v>
      </c>
      <c r="L21" s="3">
        <f>ROUND(G21*H21*K21/365,0)</f>
        <v>8219</v>
      </c>
      <c r="M21" s="3">
        <v>20000000</v>
      </c>
    </row>
    <row r="22" spans="1:13" s="16" customFormat="1" outlineLevel="1">
      <c r="A22" s="28" t="s">
        <v>41</v>
      </c>
      <c r="B22" s="21"/>
      <c r="C22" s="22"/>
      <c r="D22" s="21"/>
      <c r="E22" s="23">
        <f>SUBTOTAL(9,E4:E21)</f>
        <v>604878657</v>
      </c>
      <c r="F22" s="20"/>
      <c r="G22" s="23"/>
      <c r="H22" s="24"/>
      <c r="I22" s="20"/>
      <c r="J22" s="20"/>
      <c r="K22" s="23"/>
      <c r="L22" s="23">
        <f>SUBTOTAL(9,L4:L21)</f>
        <v>372559</v>
      </c>
      <c r="M22" s="23">
        <f>SUBTOTAL(9,M4:M21)</f>
        <v>604849801</v>
      </c>
    </row>
    <row r="23" spans="1:13" s="16" customFormat="1" outlineLevel="2">
      <c r="A23" s="17" t="s">
        <v>220</v>
      </c>
      <c r="B23" s="18" t="s">
        <v>17</v>
      </c>
      <c r="C23" s="19" t="s">
        <v>218</v>
      </c>
      <c r="D23" s="18" t="s">
        <v>219</v>
      </c>
      <c r="E23" s="3">
        <v>87650000</v>
      </c>
      <c r="F23" s="17">
        <v>43489</v>
      </c>
      <c r="G23" s="3">
        <v>87650000</v>
      </c>
      <c r="H23" s="2">
        <v>1.4999999999999999E-2</v>
      </c>
      <c r="I23" s="17">
        <v>43709</v>
      </c>
      <c r="J23" s="17">
        <v>43738</v>
      </c>
      <c r="K23" s="3">
        <f>J23-I23+1</f>
        <v>30</v>
      </c>
      <c r="L23" s="3">
        <f>ROUND(G23*H23*K23/365,0)</f>
        <v>108062</v>
      </c>
      <c r="M23" s="3">
        <v>87650000</v>
      </c>
    </row>
    <row r="24" spans="1:13" s="16" customFormat="1" outlineLevel="2">
      <c r="A24" s="17" t="s">
        <v>220</v>
      </c>
      <c r="B24" s="18" t="s">
        <v>181</v>
      </c>
      <c r="C24" s="19" t="s">
        <v>218</v>
      </c>
      <c r="D24" s="18" t="s">
        <v>219</v>
      </c>
      <c r="E24" s="3">
        <v>25000000</v>
      </c>
      <c r="F24" s="17">
        <v>43712</v>
      </c>
      <c r="G24" s="3">
        <v>25000000</v>
      </c>
      <c r="H24" s="2">
        <v>1.4999999999999999E-2</v>
      </c>
      <c r="I24" s="17">
        <v>43712</v>
      </c>
      <c r="J24" s="17">
        <v>43738</v>
      </c>
      <c r="K24" s="3">
        <f>J24-I24+1</f>
        <v>27</v>
      </c>
      <c r="L24" s="3">
        <f>ROUND(G24*H24*K24/365,0)</f>
        <v>27740</v>
      </c>
      <c r="M24" s="3">
        <v>25000000</v>
      </c>
    </row>
    <row r="25" spans="1:13" s="16" customFormat="1" outlineLevel="2">
      <c r="A25" s="17" t="s">
        <v>220</v>
      </c>
      <c r="B25" s="18" t="s">
        <v>180</v>
      </c>
      <c r="C25" s="19" t="s">
        <v>218</v>
      </c>
      <c r="D25" s="18" t="s">
        <v>219</v>
      </c>
      <c r="E25" s="3">
        <v>21000000</v>
      </c>
      <c r="F25" s="17">
        <v>43731</v>
      </c>
      <c r="G25" s="3">
        <v>21000000</v>
      </c>
      <c r="H25" s="2">
        <v>1.4999999999999999E-2</v>
      </c>
      <c r="I25" s="17">
        <v>43731</v>
      </c>
      <c r="J25" s="17">
        <v>43738</v>
      </c>
      <c r="K25" s="3">
        <f>J25-I25+1</f>
        <v>8</v>
      </c>
      <c r="L25" s="3">
        <f>ROUND(G25*H25*K25/365,0)</f>
        <v>6904</v>
      </c>
      <c r="M25" s="3">
        <v>21000000</v>
      </c>
    </row>
    <row r="26" spans="1:13" s="16" customFormat="1" outlineLevel="2">
      <c r="A26" s="17" t="s">
        <v>220</v>
      </c>
      <c r="B26" s="18" t="s">
        <v>179</v>
      </c>
      <c r="C26" s="19" t="s">
        <v>218</v>
      </c>
      <c r="D26" s="18" t="s">
        <v>219</v>
      </c>
      <c r="E26" s="3">
        <v>36000000</v>
      </c>
      <c r="F26" s="17">
        <v>43735</v>
      </c>
      <c r="G26" s="3">
        <v>36000000</v>
      </c>
      <c r="H26" s="2">
        <v>1.4999999999999999E-2</v>
      </c>
      <c r="I26" s="17">
        <v>43735</v>
      </c>
      <c r="J26" s="17">
        <v>43738</v>
      </c>
      <c r="K26" s="3">
        <f>J26-I26+1</f>
        <v>4</v>
      </c>
      <c r="L26" s="3">
        <f>ROUND(G26*H26*K26/365,0)</f>
        <v>5918</v>
      </c>
      <c r="M26" s="3">
        <v>36000000</v>
      </c>
    </row>
    <row r="27" spans="1:13" s="16" customFormat="1" outlineLevel="2">
      <c r="A27" s="17" t="s">
        <v>220</v>
      </c>
      <c r="B27" s="18" t="s">
        <v>31</v>
      </c>
      <c r="C27" s="19" t="s">
        <v>218</v>
      </c>
      <c r="D27" s="18" t="s">
        <v>219</v>
      </c>
      <c r="E27" s="3">
        <v>39730000</v>
      </c>
      <c r="F27" s="17">
        <v>43543</v>
      </c>
      <c r="G27" s="3">
        <v>39730000</v>
      </c>
      <c r="H27" s="2">
        <v>1.4999999999999999E-2</v>
      </c>
      <c r="I27" s="17">
        <v>43709</v>
      </c>
      <c r="J27" s="17">
        <v>43738</v>
      </c>
      <c r="K27" s="3">
        <f>J27-I27+1</f>
        <v>30</v>
      </c>
      <c r="L27" s="3">
        <f>ROUND(G27*H27*K27/365,0)</f>
        <v>48982</v>
      </c>
      <c r="M27" s="3">
        <v>39730000</v>
      </c>
    </row>
    <row r="28" spans="1:13" s="16" customFormat="1" outlineLevel="2">
      <c r="A28" s="17" t="s">
        <v>220</v>
      </c>
      <c r="B28" s="18" t="s">
        <v>30</v>
      </c>
      <c r="C28" s="19" t="s">
        <v>218</v>
      </c>
      <c r="D28" s="18" t="s">
        <v>219</v>
      </c>
      <c r="E28" s="3">
        <v>54420000</v>
      </c>
      <c r="F28" s="17">
        <v>43553</v>
      </c>
      <c r="G28" s="3">
        <v>54420000</v>
      </c>
      <c r="H28" s="2">
        <v>1.4999999999999999E-2</v>
      </c>
      <c r="I28" s="17">
        <v>43709</v>
      </c>
      <c r="J28" s="17">
        <v>43738</v>
      </c>
      <c r="K28" s="3">
        <f>J28-I28+1</f>
        <v>30</v>
      </c>
      <c r="L28" s="3">
        <f>ROUND(G28*H28*K28/365,0)</f>
        <v>67093</v>
      </c>
      <c r="M28" s="3">
        <v>54420000</v>
      </c>
    </row>
    <row r="29" spans="1:13" s="16" customFormat="1" outlineLevel="2">
      <c r="A29" s="17" t="s">
        <v>220</v>
      </c>
      <c r="B29" s="18" t="s">
        <v>28</v>
      </c>
      <c r="C29" s="19" t="s">
        <v>218</v>
      </c>
      <c r="D29" s="18" t="s">
        <v>219</v>
      </c>
      <c r="E29" s="3">
        <v>29000000</v>
      </c>
      <c r="F29" s="17">
        <v>43602</v>
      </c>
      <c r="G29" s="3">
        <v>29000000</v>
      </c>
      <c r="H29" s="2">
        <v>1.4999999999999999E-2</v>
      </c>
      <c r="I29" s="17">
        <v>43709</v>
      </c>
      <c r="J29" s="17">
        <v>43738</v>
      </c>
      <c r="K29" s="3">
        <f>J29-I29+1</f>
        <v>30</v>
      </c>
      <c r="L29" s="3">
        <f>ROUND(G29*H29*K29/365,0)</f>
        <v>35753</v>
      </c>
      <c r="M29" s="3">
        <v>29000000</v>
      </c>
    </row>
    <row r="30" spans="1:13" s="16" customFormat="1" outlineLevel="2">
      <c r="A30" s="17" t="s">
        <v>220</v>
      </c>
      <c r="B30" s="18" t="s">
        <v>48</v>
      </c>
      <c r="C30" s="19" t="s">
        <v>218</v>
      </c>
      <c r="D30" s="18" t="s">
        <v>219</v>
      </c>
      <c r="E30" s="3">
        <v>22340000</v>
      </c>
      <c r="F30" s="17">
        <v>43612</v>
      </c>
      <c r="G30" s="3">
        <v>22340000</v>
      </c>
      <c r="H30" s="2">
        <v>1.4999999999999999E-2</v>
      </c>
      <c r="I30" s="17">
        <v>43709</v>
      </c>
      <c r="J30" s="17">
        <v>43738</v>
      </c>
      <c r="K30" s="3">
        <f>J30-I30+1</f>
        <v>30</v>
      </c>
      <c r="L30" s="3">
        <f>ROUND(G30*H30*K30/365,0)</f>
        <v>27542</v>
      </c>
      <c r="M30" s="3">
        <v>22340000</v>
      </c>
    </row>
    <row r="31" spans="1:13" s="16" customFormat="1" outlineLevel="2">
      <c r="A31" s="17" t="s">
        <v>220</v>
      </c>
      <c r="B31" s="18" t="s">
        <v>47</v>
      </c>
      <c r="C31" s="19" t="s">
        <v>218</v>
      </c>
      <c r="D31" s="18" t="s">
        <v>219</v>
      </c>
      <c r="E31" s="3">
        <v>20000000</v>
      </c>
      <c r="F31" s="17">
        <v>43627</v>
      </c>
      <c r="G31" s="3">
        <v>20000000</v>
      </c>
      <c r="H31" s="2">
        <v>1.4999999999999999E-2</v>
      </c>
      <c r="I31" s="17">
        <v>43709</v>
      </c>
      <c r="J31" s="17">
        <v>43738</v>
      </c>
      <c r="K31" s="3">
        <f>J31-I31+1</f>
        <v>30</v>
      </c>
      <c r="L31" s="3">
        <f>ROUND(G31*H31*K31/365,0)</f>
        <v>24658</v>
      </c>
      <c r="M31" s="3">
        <v>20000000</v>
      </c>
    </row>
    <row r="32" spans="1:13" s="16" customFormat="1" outlineLevel="2">
      <c r="A32" s="17" t="s">
        <v>220</v>
      </c>
      <c r="B32" s="18" t="s">
        <v>46</v>
      </c>
      <c r="C32" s="19" t="s">
        <v>218</v>
      </c>
      <c r="D32" s="18" t="s">
        <v>219</v>
      </c>
      <c r="E32" s="3">
        <v>36000000</v>
      </c>
      <c r="F32" s="17">
        <v>43642</v>
      </c>
      <c r="G32" s="3">
        <v>36000000</v>
      </c>
      <c r="H32" s="2">
        <v>1.4999999999999999E-2</v>
      </c>
      <c r="I32" s="17">
        <v>43709</v>
      </c>
      <c r="J32" s="17">
        <v>43738</v>
      </c>
      <c r="K32" s="3">
        <f>J32-I32+1</f>
        <v>30</v>
      </c>
      <c r="L32" s="3">
        <f>ROUND(G32*H32*K32/365,0)</f>
        <v>44384</v>
      </c>
      <c r="M32" s="3">
        <v>36000000</v>
      </c>
    </row>
    <row r="33" spans="1:13" s="16" customFormat="1" outlineLevel="2">
      <c r="A33" s="17" t="s">
        <v>220</v>
      </c>
      <c r="B33" s="18" t="s">
        <v>45</v>
      </c>
      <c r="C33" s="19" t="s">
        <v>218</v>
      </c>
      <c r="D33" s="18" t="s">
        <v>219</v>
      </c>
      <c r="E33" s="3">
        <v>16040000</v>
      </c>
      <c r="F33" s="17">
        <v>43663</v>
      </c>
      <c r="G33" s="3">
        <v>16040000</v>
      </c>
      <c r="H33" s="2">
        <v>1.4999999999999999E-2</v>
      </c>
      <c r="I33" s="17">
        <v>43709</v>
      </c>
      <c r="J33" s="17">
        <v>43738</v>
      </c>
      <c r="K33" s="3">
        <f>J33-I33+1</f>
        <v>30</v>
      </c>
      <c r="L33" s="3">
        <f>ROUND(G33*H33*K33/365,0)</f>
        <v>19775</v>
      </c>
      <c r="M33" s="3">
        <v>16040000</v>
      </c>
    </row>
    <row r="34" spans="1:13" s="16" customFormat="1" outlineLevel="2">
      <c r="A34" s="17" t="s">
        <v>220</v>
      </c>
      <c r="B34" s="18" t="s">
        <v>44</v>
      </c>
      <c r="C34" s="19" t="s">
        <v>218</v>
      </c>
      <c r="D34" s="18" t="s">
        <v>219</v>
      </c>
      <c r="E34" s="3">
        <v>15590000</v>
      </c>
      <c r="F34" s="17">
        <v>43678</v>
      </c>
      <c r="G34" s="3">
        <v>15590000</v>
      </c>
      <c r="H34" s="2">
        <v>1.4999999999999999E-2</v>
      </c>
      <c r="I34" s="17">
        <v>43709</v>
      </c>
      <c r="J34" s="17">
        <v>43738</v>
      </c>
      <c r="K34" s="3">
        <f>J34-I34+1</f>
        <v>30</v>
      </c>
      <c r="L34" s="3">
        <f>ROUND(G34*H34*K34/365,0)</f>
        <v>19221</v>
      </c>
      <c r="M34" s="3">
        <v>15590000</v>
      </c>
    </row>
    <row r="35" spans="1:13" s="16" customFormat="1" outlineLevel="1">
      <c r="A35" s="28" t="s">
        <v>141</v>
      </c>
      <c r="B35" s="21"/>
      <c r="C35" s="22"/>
      <c r="D35" s="21"/>
      <c r="E35" s="23">
        <f>SUBTOTAL(9,E23:E34)</f>
        <v>402770000</v>
      </c>
      <c r="F35" s="20"/>
      <c r="G35" s="23"/>
      <c r="H35" s="24"/>
      <c r="I35" s="20"/>
      <c r="J35" s="20"/>
      <c r="K35" s="23"/>
      <c r="L35" s="23">
        <f>SUBTOTAL(9,L23:L34)</f>
        <v>436032</v>
      </c>
      <c r="M35" s="23">
        <f>SUBTOTAL(9,M23:M34)</f>
        <v>402770000</v>
      </c>
    </row>
    <row r="36" spans="1:13" s="16" customFormat="1" outlineLevel="2">
      <c r="A36" s="17" t="s">
        <v>217</v>
      </c>
      <c r="B36" s="18" t="s">
        <v>17</v>
      </c>
      <c r="C36" s="19" t="s">
        <v>218</v>
      </c>
      <c r="D36" s="18" t="s">
        <v>219</v>
      </c>
      <c r="E36" s="3">
        <v>144000000</v>
      </c>
      <c r="F36" s="17">
        <v>43675</v>
      </c>
      <c r="G36" s="3">
        <v>142285714</v>
      </c>
      <c r="H36" s="2">
        <v>5.0000000000000001E-3</v>
      </c>
      <c r="I36" s="17">
        <v>43709</v>
      </c>
      <c r="J36" s="17">
        <v>43723</v>
      </c>
      <c r="K36" s="3">
        <f>J36-I36+1</f>
        <v>15</v>
      </c>
      <c r="L36" s="3">
        <f>ROUND(G36*H36*K36/365,0)</f>
        <v>29237</v>
      </c>
      <c r="M36" s="3">
        <v>140571428</v>
      </c>
    </row>
    <row r="37" spans="1:13" s="16" customFormat="1" outlineLevel="2">
      <c r="A37" s="17" t="s">
        <v>217</v>
      </c>
      <c r="B37" s="18" t="s">
        <v>17</v>
      </c>
      <c r="C37" s="19" t="s">
        <v>218</v>
      </c>
      <c r="D37" s="18"/>
      <c r="E37" s="3"/>
      <c r="F37" s="17"/>
      <c r="G37" s="3">
        <v>140571428</v>
      </c>
      <c r="H37" s="2">
        <v>5.0000000000000001E-3</v>
      </c>
      <c r="I37" s="17">
        <v>43724</v>
      </c>
      <c r="J37" s="17">
        <v>43738</v>
      </c>
      <c r="K37" s="3">
        <f>J37-I37+1</f>
        <v>15</v>
      </c>
      <c r="L37" s="3">
        <f>ROUND(G37*H37*K37/365,0)</f>
        <v>28885</v>
      </c>
      <c r="M37" s="3"/>
    </row>
    <row r="38" spans="1:13" s="16" customFormat="1" outlineLevel="2">
      <c r="A38" s="17" t="s">
        <v>217</v>
      </c>
      <c r="B38" s="18" t="s">
        <v>31</v>
      </c>
      <c r="C38" s="19" t="s">
        <v>58</v>
      </c>
      <c r="D38" s="18" t="s">
        <v>57</v>
      </c>
      <c r="E38" s="3">
        <v>140000000</v>
      </c>
      <c r="F38" s="17">
        <v>43692</v>
      </c>
      <c r="G38" s="3">
        <v>140000000</v>
      </c>
      <c r="H38" s="2">
        <v>5.0000000000000001E-3</v>
      </c>
      <c r="I38" s="17">
        <v>43709</v>
      </c>
      <c r="J38" s="17">
        <v>43723</v>
      </c>
      <c r="K38" s="3">
        <f>J38-I38+1</f>
        <v>15</v>
      </c>
      <c r="L38" s="3">
        <f>ROUND(G38*H38*K38/365,0)</f>
        <v>28767</v>
      </c>
      <c r="M38" s="3">
        <v>138333333</v>
      </c>
    </row>
    <row r="39" spans="1:13" s="16" customFormat="1" outlineLevel="2">
      <c r="A39" s="17" t="s">
        <v>217</v>
      </c>
      <c r="B39" s="18" t="s">
        <v>31</v>
      </c>
      <c r="C39" s="19" t="s">
        <v>58</v>
      </c>
      <c r="D39" s="18"/>
      <c r="E39" s="3"/>
      <c r="F39" s="17"/>
      <c r="G39" s="3">
        <v>138333333</v>
      </c>
      <c r="H39" s="2">
        <v>5.0000000000000001E-3</v>
      </c>
      <c r="I39" s="17">
        <v>43724</v>
      </c>
      <c r="J39" s="17">
        <v>43738</v>
      </c>
      <c r="K39" s="3">
        <f>J39-I39+1</f>
        <v>15</v>
      </c>
      <c r="L39" s="3">
        <f>ROUND(G39*H39*K39/365,0)</f>
        <v>28425</v>
      </c>
      <c r="M39" s="3"/>
    </row>
    <row r="40" spans="1:13" s="16" customFormat="1" outlineLevel="2">
      <c r="A40" s="17" t="s">
        <v>217</v>
      </c>
      <c r="B40" s="18" t="s">
        <v>30</v>
      </c>
      <c r="C40" s="19" t="s">
        <v>58</v>
      </c>
      <c r="D40" s="18" t="s">
        <v>57</v>
      </c>
      <c r="E40" s="3">
        <v>148848000</v>
      </c>
      <c r="F40" s="17">
        <v>43710</v>
      </c>
      <c r="G40" s="3">
        <v>148848000</v>
      </c>
      <c r="H40" s="2">
        <v>5.0000000000000001E-3</v>
      </c>
      <c r="I40" s="17">
        <v>43710</v>
      </c>
      <c r="J40" s="17">
        <v>43738</v>
      </c>
      <c r="K40" s="3">
        <f>J40-I40+1</f>
        <v>29</v>
      </c>
      <c r="L40" s="3">
        <f>ROUND(G40*H40*K40/365,0)</f>
        <v>59131</v>
      </c>
      <c r="M40" s="3">
        <v>148848000</v>
      </c>
    </row>
    <row r="41" spans="1:13" s="16" customFormat="1" outlineLevel="1">
      <c r="A41" s="28" t="s">
        <v>137</v>
      </c>
      <c r="B41" s="21"/>
      <c r="C41" s="22"/>
      <c r="D41" s="21"/>
      <c r="E41" s="23">
        <f>SUBTOTAL(9,E36:E40)</f>
        <v>432848000</v>
      </c>
      <c r="F41" s="20"/>
      <c r="G41" s="23"/>
      <c r="H41" s="24"/>
      <c r="I41" s="20"/>
      <c r="J41" s="20"/>
      <c r="K41" s="23"/>
      <c r="L41" s="23">
        <f>SUBTOTAL(9,L36:L40)</f>
        <v>174445</v>
      </c>
      <c r="M41" s="23">
        <f>SUBTOTAL(9,M36:M40)</f>
        <v>427752761</v>
      </c>
    </row>
    <row r="42" spans="1:13" s="16" customFormat="1" outlineLevel="2">
      <c r="A42" s="17" t="s">
        <v>213</v>
      </c>
      <c r="B42" s="18" t="s">
        <v>17</v>
      </c>
      <c r="C42" s="19" t="s">
        <v>58</v>
      </c>
      <c r="D42" s="18" t="s">
        <v>57</v>
      </c>
      <c r="E42" s="3">
        <v>200000000</v>
      </c>
      <c r="F42" s="17">
        <v>43664</v>
      </c>
      <c r="G42" s="3">
        <v>197619048</v>
      </c>
      <c r="H42" s="2">
        <v>1.4999999999999999E-2</v>
      </c>
      <c r="I42" s="17">
        <v>43709</v>
      </c>
      <c r="J42" s="17">
        <v>43723</v>
      </c>
      <c r="K42" s="3">
        <f>J42-I42+1</f>
        <v>15</v>
      </c>
      <c r="L42" s="3">
        <f>ROUND(G42*H42*K42/365,0)</f>
        <v>121820</v>
      </c>
      <c r="M42" s="3">
        <v>195238096</v>
      </c>
    </row>
    <row r="43" spans="1:13" s="16" customFormat="1" outlineLevel="2">
      <c r="A43" s="17" t="s">
        <v>213</v>
      </c>
      <c r="B43" s="18" t="s">
        <v>17</v>
      </c>
      <c r="C43" s="19" t="s">
        <v>58</v>
      </c>
      <c r="D43" s="18"/>
      <c r="E43" s="3"/>
      <c r="F43" s="17"/>
      <c r="G43" s="3">
        <v>195238096</v>
      </c>
      <c r="H43" s="2">
        <v>1.4999999999999999E-2</v>
      </c>
      <c r="I43" s="17">
        <v>43724</v>
      </c>
      <c r="J43" s="17">
        <v>43738</v>
      </c>
      <c r="K43" s="3">
        <f>J43-I43+1</f>
        <v>15</v>
      </c>
      <c r="L43" s="3">
        <f>ROUND(G43*H43*K43/365,0)</f>
        <v>120352</v>
      </c>
      <c r="M43" s="3"/>
    </row>
    <row r="44" spans="1:13" s="16" customFormat="1" outlineLevel="2">
      <c r="A44" s="17" t="s">
        <v>213</v>
      </c>
      <c r="B44" s="18" t="s">
        <v>181</v>
      </c>
      <c r="C44" s="19" t="s">
        <v>284</v>
      </c>
      <c r="D44" s="18" t="s">
        <v>283</v>
      </c>
      <c r="E44" s="3">
        <v>267200</v>
      </c>
      <c r="F44" s="17">
        <v>43714</v>
      </c>
      <c r="G44" s="3">
        <v>267200</v>
      </c>
      <c r="H44" s="2">
        <v>5.0000000000000001E-3</v>
      </c>
      <c r="I44" s="17">
        <v>43714</v>
      </c>
      <c r="J44" s="17">
        <v>43738</v>
      </c>
      <c r="K44" s="3">
        <f>J44-I44+1</f>
        <v>25</v>
      </c>
      <c r="L44" s="3">
        <f>ROUND(G44*H44*K44/365,0)</f>
        <v>92</v>
      </c>
      <c r="M44" s="3">
        <v>267200</v>
      </c>
    </row>
    <row r="45" spans="1:13" s="16" customFormat="1" outlineLevel="2">
      <c r="A45" s="17" t="s">
        <v>213</v>
      </c>
      <c r="B45" s="18" t="s">
        <v>180</v>
      </c>
      <c r="C45" s="19" t="s">
        <v>280</v>
      </c>
      <c r="D45" s="18" t="s">
        <v>279</v>
      </c>
      <c r="E45" s="3">
        <v>40000000</v>
      </c>
      <c r="F45" s="17">
        <v>43734</v>
      </c>
      <c r="G45" s="3">
        <v>40000000</v>
      </c>
      <c r="H45" s="2">
        <v>5.0000000000000001E-3</v>
      </c>
      <c r="I45" s="17">
        <v>43734</v>
      </c>
      <c r="J45" s="17">
        <v>43738</v>
      </c>
      <c r="K45" s="3">
        <f>J45-I45+1</f>
        <v>5</v>
      </c>
      <c r="L45" s="3">
        <f>ROUND(G45*H45*K45/365,0)</f>
        <v>2740</v>
      </c>
      <c r="M45" s="3">
        <v>40000000</v>
      </c>
    </row>
    <row r="46" spans="1:13" s="16" customFormat="1" outlineLevel="2">
      <c r="A46" s="17" t="s">
        <v>213</v>
      </c>
      <c r="B46" s="18" t="s">
        <v>179</v>
      </c>
      <c r="C46" s="19" t="s">
        <v>253</v>
      </c>
      <c r="D46" s="18" t="s">
        <v>252</v>
      </c>
      <c r="E46" s="3">
        <v>90000000</v>
      </c>
      <c r="F46" s="17">
        <v>43735</v>
      </c>
      <c r="G46" s="3">
        <v>90000000</v>
      </c>
      <c r="H46" s="2">
        <v>5.0000000000000001E-3</v>
      </c>
      <c r="I46" s="17">
        <v>43735</v>
      </c>
      <c r="J46" s="17">
        <v>43738</v>
      </c>
      <c r="K46" s="3">
        <f>J46-I46+1</f>
        <v>4</v>
      </c>
      <c r="L46" s="3">
        <f>ROUND(G46*H46*K46/365,0)</f>
        <v>4932</v>
      </c>
      <c r="M46" s="3">
        <v>90000000</v>
      </c>
    </row>
    <row r="47" spans="1:13" s="16" customFormat="1" outlineLevel="2">
      <c r="A47" s="17" t="s">
        <v>213</v>
      </c>
      <c r="B47" s="18" t="s">
        <v>178</v>
      </c>
      <c r="C47" s="19" t="s">
        <v>253</v>
      </c>
      <c r="D47" s="18" t="s">
        <v>252</v>
      </c>
      <c r="E47" s="3">
        <v>30000000</v>
      </c>
      <c r="F47" s="17">
        <v>43735</v>
      </c>
      <c r="G47" s="3">
        <v>30000000</v>
      </c>
      <c r="H47" s="2">
        <v>5.0000000000000001E-3</v>
      </c>
      <c r="I47" s="17">
        <v>43735</v>
      </c>
      <c r="J47" s="17">
        <v>43738</v>
      </c>
      <c r="K47" s="3">
        <f>J47-I47+1</f>
        <v>4</v>
      </c>
      <c r="L47" s="3">
        <f>ROUND(G47*H47*K47/365,0)</f>
        <v>1644</v>
      </c>
      <c r="M47" s="3">
        <v>30000000</v>
      </c>
    </row>
    <row r="48" spans="1:13" s="16" customFormat="1" outlineLevel="2">
      <c r="A48" s="17" t="s">
        <v>213</v>
      </c>
      <c r="B48" s="18" t="s">
        <v>31</v>
      </c>
      <c r="C48" s="19" t="s">
        <v>58</v>
      </c>
      <c r="D48" s="18" t="s">
        <v>57</v>
      </c>
      <c r="E48" s="3">
        <v>100000000</v>
      </c>
      <c r="F48" s="17">
        <v>43683</v>
      </c>
      <c r="G48" s="3">
        <v>98809524</v>
      </c>
      <c r="H48" s="2">
        <v>1.4999999999999999E-2</v>
      </c>
      <c r="I48" s="17">
        <v>43709</v>
      </c>
      <c r="J48" s="17">
        <v>43723</v>
      </c>
      <c r="K48" s="3">
        <f>J48-I48+1</f>
        <v>15</v>
      </c>
      <c r="L48" s="3">
        <f>ROUND(G48*H48*K48/365,0)</f>
        <v>60910</v>
      </c>
      <c r="M48" s="3">
        <v>97619048</v>
      </c>
    </row>
    <row r="49" spans="1:13" s="16" customFormat="1" outlineLevel="2">
      <c r="A49" s="17" t="s">
        <v>213</v>
      </c>
      <c r="B49" s="18" t="s">
        <v>31</v>
      </c>
      <c r="C49" s="19" t="s">
        <v>58</v>
      </c>
      <c r="D49" s="18"/>
      <c r="E49" s="3"/>
      <c r="F49" s="17"/>
      <c r="G49" s="3">
        <v>97619048</v>
      </c>
      <c r="H49" s="2">
        <v>1.4999999999999999E-2</v>
      </c>
      <c r="I49" s="17">
        <v>43724</v>
      </c>
      <c r="J49" s="17">
        <v>43738</v>
      </c>
      <c r="K49" s="3">
        <f>J49-I49+1</f>
        <v>15</v>
      </c>
      <c r="L49" s="3">
        <f>ROUND(G49*H49*K49/365,0)</f>
        <v>60176</v>
      </c>
      <c r="M49" s="3"/>
    </row>
    <row r="50" spans="1:13" s="16" customFormat="1" outlineLevel="2">
      <c r="A50" s="17" t="s">
        <v>213</v>
      </c>
      <c r="B50" s="18" t="s">
        <v>30</v>
      </c>
      <c r="C50" s="19" t="s">
        <v>214</v>
      </c>
      <c r="D50" s="18" t="s">
        <v>215</v>
      </c>
      <c r="E50" s="3">
        <v>16000000</v>
      </c>
      <c r="F50" s="17">
        <v>43671</v>
      </c>
      <c r="G50" s="3">
        <v>16000000</v>
      </c>
      <c r="H50" s="2">
        <v>1.4999999999999999E-2</v>
      </c>
      <c r="I50" s="17">
        <v>43709</v>
      </c>
      <c r="J50" s="17">
        <v>43738</v>
      </c>
      <c r="K50" s="3">
        <f>J50-I50+1</f>
        <v>30</v>
      </c>
      <c r="L50" s="3">
        <f>ROUND(G50*H50*K50/365,0)</f>
        <v>19726</v>
      </c>
      <c r="M50" s="3">
        <v>16000000</v>
      </c>
    </row>
    <row r="51" spans="1:13" s="16" customFormat="1" outlineLevel="2">
      <c r="A51" s="17" t="s">
        <v>213</v>
      </c>
      <c r="B51" s="18" t="s">
        <v>28</v>
      </c>
      <c r="C51" s="19" t="s">
        <v>163</v>
      </c>
      <c r="D51" s="18" t="s">
        <v>162</v>
      </c>
      <c r="E51" s="3">
        <v>36447000</v>
      </c>
      <c r="F51" s="17">
        <v>43704</v>
      </c>
      <c r="G51" s="3">
        <v>36447000</v>
      </c>
      <c r="H51" s="2">
        <v>5.0000000000000001E-3</v>
      </c>
      <c r="I51" s="17">
        <v>43709</v>
      </c>
      <c r="J51" s="17">
        <v>43738</v>
      </c>
      <c r="K51" s="3">
        <f>J51-I51+1</f>
        <v>30</v>
      </c>
      <c r="L51" s="3">
        <f>ROUND(G51*H51*K51/365,0)</f>
        <v>14978</v>
      </c>
      <c r="M51" s="3">
        <v>36447000</v>
      </c>
    </row>
    <row r="52" spans="1:13" s="16" customFormat="1" outlineLevel="2">
      <c r="A52" s="17" t="s">
        <v>213</v>
      </c>
      <c r="B52" s="18" t="s">
        <v>48</v>
      </c>
      <c r="C52" s="19" t="s">
        <v>163</v>
      </c>
      <c r="D52" s="18" t="s">
        <v>162</v>
      </c>
      <c r="E52" s="3">
        <v>45553000</v>
      </c>
      <c r="F52" s="17">
        <v>43704</v>
      </c>
      <c r="G52" s="3">
        <v>45553000</v>
      </c>
      <c r="H52" s="2">
        <v>5.0000000000000001E-3</v>
      </c>
      <c r="I52" s="17">
        <v>43709</v>
      </c>
      <c r="J52" s="17">
        <v>43738</v>
      </c>
      <c r="K52" s="3">
        <f>J52-I52+1</f>
        <v>30</v>
      </c>
      <c r="L52" s="3">
        <f>ROUND(G52*H52*K52/365,0)</f>
        <v>18720</v>
      </c>
      <c r="M52" s="3">
        <v>45553000</v>
      </c>
    </row>
    <row r="53" spans="1:13" s="16" customFormat="1" outlineLevel="2">
      <c r="A53" s="17" t="s">
        <v>213</v>
      </c>
      <c r="B53" s="18" t="s">
        <v>47</v>
      </c>
      <c r="C53" s="19" t="s">
        <v>286</v>
      </c>
      <c r="D53" s="18" t="s">
        <v>285</v>
      </c>
      <c r="E53" s="3">
        <v>50000000</v>
      </c>
      <c r="F53" s="17">
        <v>43710</v>
      </c>
      <c r="G53" s="3">
        <v>50000000</v>
      </c>
      <c r="H53" s="2">
        <v>5.0000000000000001E-3</v>
      </c>
      <c r="I53" s="17">
        <v>43710</v>
      </c>
      <c r="J53" s="17">
        <v>43738</v>
      </c>
      <c r="K53" s="3">
        <f>J53-I53+1</f>
        <v>29</v>
      </c>
      <c r="L53" s="3">
        <f>ROUND(G53*H53*K53/365,0)</f>
        <v>19863</v>
      </c>
      <c r="M53" s="3">
        <v>50000000</v>
      </c>
    </row>
    <row r="54" spans="1:13" s="16" customFormat="1" outlineLevel="2">
      <c r="A54" s="17" t="s">
        <v>213</v>
      </c>
      <c r="B54" s="18" t="s">
        <v>46</v>
      </c>
      <c r="C54" s="19" t="s">
        <v>245</v>
      </c>
      <c r="D54" s="18" t="s">
        <v>244</v>
      </c>
      <c r="E54" s="3">
        <v>100000000</v>
      </c>
      <c r="F54" s="17">
        <v>43714</v>
      </c>
      <c r="G54" s="3">
        <v>100000000</v>
      </c>
      <c r="H54" s="2">
        <v>5.0000000000000001E-3</v>
      </c>
      <c r="I54" s="17">
        <v>43714</v>
      </c>
      <c r="J54" s="17">
        <v>43738</v>
      </c>
      <c r="K54" s="3">
        <f>J54-I54+1</f>
        <v>25</v>
      </c>
      <c r="L54" s="3">
        <f>ROUND(G54*H54*K54/365,0)</f>
        <v>34247</v>
      </c>
      <c r="M54" s="3">
        <v>100000000</v>
      </c>
    </row>
    <row r="55" spans="1:13" s="16" customFormat="1" outlineLevel="2">
      <c r="A55" s="17" t="s">
        <v>213</v>
      </c>
      <c r="B55" s="18" t="s">
        <v>45</v>
      </c>
      <c r="C55" s="19" t="s">
        <v>245</v>
      </c>
      <c r="D55" s="18" t="s">
        <v>244</v>
      </c>
      <c r="E55" s="3">
        <v>200000000</v>
      </c>
      <c r="F55" s="17">
        <v>43735</v>
      </c>
      <c r="G55" s="3">
        <v>200000000</v>
      </c>
      <c r="H55" s="2">
        <v>5.0000000000000001E-3</v>
      </c>
      <c r="I55" s="17">
        <v>43735</v>
      </c>
      <c r="J55" s="17">
        <v>43738</v>
      </c>
      <c r="K55" s="3">
        <f>J55-I55+1</f>
        <v>4</v>
      </c>
      <c r="L55" s="3">
        <f>ROUND(G55*H55*K55/365,0)</f>
        <v>10959</v>
      </c>
      <c r="M55" s="3">
        <v>200000000</v>
      </c>
    </row>
    <row r="56" spans="1:13" s="16" customFormat="1" outlineLevel="2">
      <c r="A56" s="17" t="s">
        <v>213</v>
      </c>
      <c r="B56" s="18" t="s">
        <v>44</v>
      </c>
      <c r="C56" s="19" t="s">
        <v>284</v>
      </c>
      <c r="D56" s="18" t="s">
        <v>283</v>
      </c>
      <c r="E56" s="3">
        <v>79000000</v>
      </c>
      <c r="F56" s="17">
        <v>43714</v>
      </c>
      <c r="G56" s="3">
        <v>79000000</v>
      </c>
      <c r="H56" s="2">
        <v>5.0000000000000001E-3</v>
      </c>
      <c r="I56" s="17">
        <v>43714</v>
      </c>
      <c r="J56" s="17">
        <v>43738</v>
      </c>
      <c r="K56" s="3">
        <f>J56-I56+1</f>
        <v>25</v>
      </c>
      <c r="L56" s="3">
        <f>ROUND(G56*H56*K56/365,0)</f>
        <v>27055</v>
      </c>
      <c r="M56" s="3">
        <v>79000000</v>
      </c>
    </row>
    <row r="57" spans="1:13" s="16" customFormat="1" outlineLevel="1">
      <c r="A57" s="28" t="s">
        <v>135</v>
      </c>
      <c r="B57" s="21"/>
      <c r="C57" s="22"/>
      <c r="D57" s="21"/>
      <c r="E57" s="23">
        <f>SUBTOTAL(9,E42:E56)</f>
        <v>987267200</v>
      </c>
      <c r="F57" s="20"/>
      <c r="G57" s="23"/>
      <c r="H57" s="24"/>
      <c r="I57" s="20"/>
      <c r="J57" s="20"/>
      <c r="K57" s="23"/>
      <c r="L57" s="23">
        <f>SUBTOTAL(9,L42:L56)</f>
        <v>518214</v>
      </c>
      <c r="M57" s="23">
        <f>SUBTOTAL(9,M42:M56)</f>
        <v>980124344</v>
      </c>
    </row>
    <row r="58" spans="1:13" s="16" customFormat="1" outlineLevel="2">
      <c r="A58" s="17" t="s">
        <v>212</v>
      </c>
      <c r="B58" s="18" t="s">
        <v>17</v>
      </c>
      <c r="C58" s="19" t="s">
        <v>63</v>
      </c>
      <c r="D58" s="18" t="s">
        <v>62</v>
      </c>
      <c r="E58" s="3">
        <v>25000000</v>
      </c>
      <c r="F58" s="17">
        <v>43697</v>
      </c>
      <c r="G58" s="3">
        <v>25000000</v>
      </c>
      <c r="H58" s="2">
        <v>5.0000000000000001E-3</v>
      </c>
      <c r="I58" s="17">
        <v>43709</v>
      </c>
      <c r="J58" s="17">
        <v>43738</v>
      </c>
      <c r="K58" s="3">
        <f>J58-I58+1</f>
        <v>30</v>
      </c>
      <c r="L58" s="3">
        <f>ROUND(G58*H58*K58/365,0)</f>
        <v>10274</v>
      </c>
      <c r="M58" s="3">
        <v>25000000</v>
      </c>
    </row>
    <row r="59" spans="1:13" s="16" customFormat="1" outlineLevel="2">
      <c r="A59" s="17" t="s">
        <v>212</v>
      </c>
      <c r="B59" s="18" t="s">
        <v>31</v>
      </c>
      <c r="C59" s="19" t="s">
        <v>63</v>
      </c>
      <c r="D59" s="18" t="s">
        <v>62</v>
      </c>
      <c r="E59" s="3">
        <v>48000000</v>
      </c>
      <c r="F59" s="17">
        <v>43707</v>
      </c>
      <c r="G59" s="3">
        <v>48000000</v>
      </c>
      <c r="H59" s="2">
        <v>5.0000000000000001E-3</v>
      </c>
      <c r="I59" s="17">
        <v>43709</v>
      </c>
      <c r="J59" s="17">
        <v>43738</v>
      </c>
      <c r="K59" s="3">
        <f>J59-I59+1</f>
        <v>30</v>
      </c>
      <c r="L59" s="3">
        <f>ROUND(G59*H59*K59/365,0)</f>
        <v>19726</v>
      </c>
      <c r="M59" s="3">
        <v>48000000</v>
      </c>
    </row>
    <row r="60" spans="1:13" s="16" customFormat="1" outlineLevel="2">
      <c r="A60" s="17" t="s">
        <v>212</v>
      </c>
      <c r="B60" s="18" t="s">
        <v>30</v>
      </c>
      <c r="C60" s="19" t="s">
        <v>282</v>
      </c>
      <c r="D60" s="18" t="s">
        <v>281</v>
      </c>
      <c r="E60" s="3">
        <v>22000000</v>
      </c>
      <c r="F60" s="17">
        <v>43728</v>
      </c>
      <c r="G60" s="3">
        <v>22000000</v>
      </c>
      <c r="H60" s="2">
        <v>5.0000000000000001E-3</v>
      </c>
      <c r="I60" s="17">
        <v>43728</v>
      </c>
      <c r="J60" s="17">
        <v>43738</v>
      </c>
      <c r="K60" s="3">
        <f>J60-I60+1</f>
        <v>11</v>
      </c>
      <c r="L60" s="3">
        <f>ROUND(G60*H60*K60/365,0)</f>
        <v>3315</v>
      </c>
      <c r="M60" s="3">
        <v>22000000</v>
      </c>
    </row>
    <row r="61" spans="1:13" s="16" customFormat="1" outlineLevel="2">
      <c r="A61" s="17" t="s">
        <v>212</v>
      </c>
      <c r="B61" s="18" t="s">
        <v>28</v>
      </c>
      <c r="C61" s="19" t="s">
        <v>282</v>
      </c>
      <c r="D61" s="18" t="s">
        <v>281</v>
      </c>
      <c r="E61" s="3">
        <v>26000000</v>
      </c>
      <c r="F61" s="17">
        <v>43728</v>
      </c>
      <c r="G61" s="3">
        <v>26000000</v>
      </c>
      <c r="H61" s="2">
        <v>5.0000000000000001E-3</v>
      </c>
      <c r="I61" s="17">
        <v>43728</v>
      </c>
      <c r="J61" s="17">
        <v>43738</v>
      </c>
      <c r="K61" s="3">
        <f>J61-I61+1</f>
        <v>11</v>
      </c>
      <c r="L61" s="3">
        <f>ROUND(G61*H61*K61/365,0)</f>
        <v>3918</v>
      </c>
      <c r="M61" s="3">
        <v>26000000</v>
      </c>
    </row>
    <row r="62" spans="1:13" s="16" customFormat="1" outlineLevel="2">
      <c r="A62" s="17" t="s">
        <v>212</v>
      </c>
      <c r="B62" s="18" t="s">
        <v>48</v>
      </c>
      <c r="C62" s="19" t="s">
        <v>282</v>
      </c>
      <c r="D62" s="18" t="s">
        <v>281</v>
      </c>
      <c r="E62" s="3">
        <v>72000000</v>
      </c>
      <c r="F62" s="17">
        <v>43728</v>
      </c>
      <c r="G62" s="3">
        <v>72000000</v>
      </c>
      <c r="H62" s="2">
        <v>5.0000000000000001E-3</v>
      </c>
      <c r="I62" s="17">
        <v>43728</v>
      </c>
      <c r="J62" s="17">
        <v>43738</v>
      </c>
      <c r="K62" s="3">
        <f>J62-I62+1</f>
        <v>11</v>
      </c>
      <c r="L62" s="3">
        <f>ROUND(G62*H62*K62/365,0)</f>
        <v>10849</v>
      </c>
      <c r="M62" s="3">
        <v>72000000</v>
      </c>
    </row>
    <row r="63" spans="1:13" s="16" customFormat="1" outlineLevel="2">
      <c r="A63" s="17" t="s">
        <v>212</v>
      </c>
      <c r="B63" s="18" t="s">
        <v>47</v>
      </c>
      <c r="C63" s="19" t="s">
        <v>159</v>
      </c>
      <c r="D63" s="18" t="s">
        <v>158</v>
      </c>
      <c r="E63" s="3">
        <v>10000000</v>
      </c>
      <c r="F63" s="17">
        <v>43725</v>
      </c>
      <c r="G63" s="3">
        <v>10000000</v>
      </c>
      <c r="H63" s="2">
        <v>3.0000000000000001E-3</v>
      </c>
      <c r="I63" s="17">
        <v>43725</v>
      </c>
      <c r="J63" s="17">
        <v>43738</v>
      </c>
      <c r="K63" s="3">
        <f>J63-I63+1</f>
        <v>14</v>
      </c>
      <c r="L63" s="3">
        <f>ROUND(G63*H63*K63/365,0)</f>
        <v>1151</v>
      </c>
      <c r="M63" s="3">
        <v>10000000</v>
      </c>
    </row>
    <row r="64" spans="1:13" s="16" customFormat="1" outlineLevel="2">
      <c r="A64" s="17" t="s">
        <v>212</v>
      </c>
      <c r="B64" s="18" t="s">
        <v>46</v>
      </c>
      <c r="C64" s="19" t="s">
        <v>276</v>
      </c>
      <c r="D64" s="18" t="s">
        <v>275</v>
      </c>
      <c r="E64" s="3">
        <v>100000000</v>
      </c>
      <c r="F64" s="17">
        <v>43728</v>
      </c>
      <c r="G64" s="3">
        <v>100000000</v>
      </c>
      <c r="H64" s="2">
        <v>5.0000000000000001E-3</v>
      </c>
      <c r="I64" s="17">
        <v>43728</v>
      </c>
      <c r="J64" s="17">
        <v>43738</v>
      </c>
      <c r="K64" s="3">
        <f>J64-I64+1</f>
        <v>11</v>
      </c>
      <c r="L64" s="3">
        <f>ROUND(G64*H64*K64/365,0)</f>
        <v>15068</v>
      </c>
      <c r="M64" s="3">
        <v>100000000</v>
      </c>
    </row>
    <row r="65" spans="1:13" s="16" customFormat="1" outlineLevel="1">
      <c r="A65" s="28" t="s">
        <v>211</v>
      </c>
      <c r="B65" s="21"/>
      <c r="C65" s="22"/>
      <c r="D65" s="21"/>
      <c r="E65" s="23">
        <f>SUBTOTAL(9,E58:E64)</f>
        <v>303000000</v>
      </c>
      <c r="F65" s="20"/>
      <c r="G65" s="23"/>
      <c r="H65" s="24"/>
      <c r="I65" s="20"/>
      <c r="J65" s="20"/>
      <c r="K65" s="23"/>
      <c r="L65" s="23">
        <f>SUBTOTAL(9,L58:L64)</f>
        <v>64301</v>
      </c>
      <c r="M65" s="23">
        <f>SUBTOTAL(9,M58:M64)</f>
        <v>303000000</v>
      </c>
    </row>
    <row r="66" spans="1:13" s="16" customFormat="1" outlineLevel="2">
      <c r="A66" s="17" t="s">
        <v>40</v>
      </c>
      <c r="B66" s="18" t="s">
        <v>17</v>
      </c>
      <c r="C66" s="19" t="s">
        <v>206</v>
      </c>
      <c r="D66" s="18" t="s">
        <v>38</v>
      </c>
      <c r="E66" s="3">
        <v>100000000</v>
      </c>
      <c r="F66" s="17">
        <v>43594</v>
      </c>
      <c r="G66" s="3">
        <v>100000000</v>
      </c>
      <c r="H66" s="2">
        <v>1.4999999999999999E-2</v>
      </c>
      <c r="I66" s="17">
        <v>43709</v>
      </c>
      <c r="J66" s="17">
        <v>43738</v>
      </c>
      <c r="K66" s="3">
        <f>J66-I66+1</f>
        <v>30</v>
      </c>
      <c r="L66" s="3">
        <f>ROUND(G66*H66*K66/365,0)</f>
        <v>123288</v>
      </c>
      <c r="M66" s="3">
        <v>100000000</v>
      </c>
    </row>
    <row r="67" spans="1:13" s="16" customFormat="1" outlineLevel="2">
      <c r="A67" s="17" t="s">
        <v>40</v>
      </c>
      <c r="B67" s="18" t="s">
        <v>181</v>
      </c>
      <c r="C67" s="19" t="s">
        <v>159</v>
      </c>
      <c r="D67" s="18" t="s">
        <v>158</v>
      </c>
      <c r="E67" s="3">
        <v>18915000</v>
      </c>
      <c r="F67" s="17">
        <v>43725</v>
      </c>
      <c r="G67" s="3">
        <v>18915000</v>
      </c>
      <c r="H67" s="2">
        <v>1.4999999999999999E-2</v>
      </c>
      <c r="I67" s="17">
        <v>43725</v>
      </c>
      <c r="J67" s="17">
        <v>43738</v>
      </c>
      <c r="K67" s="3">
        <f>J67-I67+1</f>
        <v>14</v>
      </c>
      <c r="L67" s="3">
        <f>ROUND(G67*H67*K67/365,0)</f>
        <v>10883</v>
      </c>
      <c r="M67" s="3">
        <v>18915000</v>
      </c>
    </row>
    <row r="68" spans="1:13" s="16" customFormat="1" outlineLevel="2">
      <c r="A68" s="17" t="s">
        <v>40</v>
      </c>
      <c r="B68" s="18" t="s">
        <v>180</v>
      </c>
      <c r="C68" s="19" t="s">
        <v>280</v>
      </c>
      <c r="D68" s="18" t="s">
        <v>279</v>
      </c>
      <c r="E68" s="3">
        <v>100000000</v>
      </c>
      <c r="F68" s="17">
        <v>43734</v>
      </c>
      <c r="G68" s="3">
        <v>100000000</v>
      </c>
      <c r="H68" s="2">
        <v>5.0000000000000001E-3</v>
      </c>
      <c r="I68" s="17">
        <v>43734</v>
      </c>
      <c r="J68" s="17">
        <v>43738</v>
      </c>
      <c r="K68" s="3">
        <f>J68-I68+1</f>
        <v>5</v>
      </c>
      <c r="L68" s="3">
        <f>ROUND(G68*H68*K68/365,0)</f>
        <v>6849</v>
      </c>
      <c r="M68" s="3">
        <v>100000000</v>
      </c>
    </row>
    <row r="69" spans="1:13" s="16" customFormat="1" outlineLevel="2">
      <c r="A69" s="17" t="s">
        <v>40</v>
      </c>
      <c r="B69" s="18" t="s">
        <v>179</v>
      </c>
      <c r="C69" s="19" t="s">
        <v>150</v>
      </c>
      <c r="D69" s="18" t="s">
        <v>149</v>
      </c>
      <c r="E69" s="3">
        <v>2815050</v>
      </c>
      <c r="F69" s="17">
        <v>43728</v>
      </c>
      <c r="G69" s="3">
        <v>2815050</v>
      </c>
      <c r="H69" s="2">
        <v>3.0000000000000001E-3</v>
      </c>
      <c r="I69" s="17">
        <v>43728</v>
      </c>
      <c r="J69" s="17">
        <v>43738</v>
      </c>
      <c r="K69" s="3">
        <f>J69-I69+1</f>
        <v>11</v>
      </c>
      <c r="L69" s="3">
        <f>ROUND(G69*H69*K69/365,0)</f>
        <v>255</v>
      </c>
      <c r="M69" s="3">
        <v>2815050</v>
      </c>
    </row>
    <row r="70" spans="1:13" s="16" customFormat="1" outlineLevel="2">
      <c r="A70" s="17" t="s">
        <v>40</v>
      </c>
      <c r="B70" s="18" t="s">
        <v>31</v>
      </c>
      <c r="C70" s="19" t="s">
        <v>159</v>
      </c>
      <c r="D70" s="18" t="s">
        <v>158</v>
      </c>
      <c r="E70" s="3">
        <v>38097000</v>
      </c>
      <c r="F70" s="17">
        <v>43663</v>
      </c>
      <c r="G70" s="3">
        <v>38097000</v>
      </c>
      <c r="H70" s="2">
        <v>1.4999999999999999E-2</v>
      </c>
      <c r="I70" s="17">
        <v>43709</v>
      </c>
      <c r="J70" s="17">
        <v>43738</v>
      </c>
      <c r="K70" s="3">
        <f>J70-I70+1</f>
        <v>30</v>
      </c>
      <c r="L70" s="3">
        <f>ROUND(G70*H70*K70/365,0)</f>
        <v>46969</v>
      </c>
      <c r="M70" s="3">
        <v>38097000</v>
      </c>
    </row>
    <row r="71" spans="1:13" s="16" customFormat="1" outlineLevel="2">
      <c r="A71" s="17" t="s">
        <v>40</v>
      </c>
      <c r="B71" s="18" t="s">
        <v>30</v>
      </c>
      <c r="C71" s="19" t="s">
        <v>159</v>
      </c>
      <c r="D71" s="18" t="s">
        <v>158</v>
      </c>
      <c r="E71" s="3">
        <v>79839000</v>
      </c>
      <c r="F71" s="17">
        <v>43663</v>
      </c>
      <c r="G71" s="3">
        <v>79839000</v>
      </c>
      <c r="H71" s="2">
        <v>1.4999999999999999E-2</v>
      </c>
      <c r="I71" s="17">
        <v>43709</v>
      </c>
      <c r="J71" s="17">
        <v>43738</v>
      </c>
      <c r="K71" s="3">
        <f>J71-I71+1</f>
        <v>30</v>
      </c>
      <c r="L71" s="3">
        <f>ROUND(G71*H71*K71/365,0)</f>
        <v>98432</v>
      </c>
      <c r="M71" s="3">
        <v>79839000</v>
      </c>
    </row>
    <row r="72" spans="1:13" s="16" customFormat="1" outlineLevel="2">
      <c r="A72" s="17" t="s">
        <v>40</v>
      </c>
      <c r="B72" s="18" t="s">
        <v>28</v>
      </c>
      <c r="C72" s="19" t="s">
        <v>206</v>
      </c>
      <c r="D72" s="18" t="s">
        <v>38</v>
      </c>
      <c r="E72" s="3">
        <v>67000000</v>
      </c>
      <c r="F72" s="17">
        <v>43671</v>
      </c>
      <c r="G72" s="3">
        <v>67000000</v>
      </c>
      <c r="H72" s="2">
        <v>1.4999999999999999E-2</v>
      </c>
      <c r="I72" s="17">
        <v>43709</v>
      </c>
      <c r="J72" s="17">
        <v>43738</v>
      </c>
      <c r="K72" s="3">
        <f>J72-I72+1</f>
        <v>30</v>
      </c>
      <c r="L72" s="3">
        <f>ROUND(G72*H72*K72/365,0)</f>
        <v>82603</v>
      </c>
      <c r="M72" s="3">
        <v>67000000</v>
      </c>
    </row>
    <row r="73" spans="1:13" s="16" customFormat="1" outlineLevel="2">
      <c r="A73" s="17" t="s">
        <v>40</v>
      </c>
      <c r="B73" s="18" t="s">
        <v>48</v>
      </c>
      <c r="C73" s="19" t="s">
        <v>159</v>
      </c>
      <c r="D73" s="18" t="s">
        <v>158</v>
      </c>
      <c r="E73" s="3">
        <v>6635000</v>
      </c>
      <c r="F73" s="17">
        <v>43693</v>
      </c>
      <c r="G73" s="3">
        <v>6635000</v>
      </c>
      <c r="H73" s="2">
        <v>1.4999999999999999E-2</v>
      </c>
      <c r="I73" s="17">
        <v>43709</v>
      </c>
      <c r="J73" s="17">
        <v>43738</v>
      </c>
      <c r="K73" s="3">
        <f>J73-I73+1</f>
        <v>30</v>
      </c>
      <c r="L73" s="3">
        <f>ROUND(G73*H73*K73/365,0)</f>
        <v>8180</v>
      </c>
      <c r="M73" s="3">
        <v>6635000</v>
      </c>
    </row>
    <row r="74" spans="1:13" s="16" customFormat="1" outlineLevel="2">
      <c r="A74" s="17" t="s">
        <v>40</v>
      </c>
      <c r="B74" s="18" t="s">
        <v>47</v>
      </c>
      <c r="C74" s="19" t="s">
        <v>159</v>
      </c>
      <c r="D74" s="18" t="s">
        <v>158</v>
      </c>
      <c r="E74" s="3">
        <v>18206000</v>
      </c>
      <c r="F74" s="17">
        <v>43693</v>
      </c>
      <c r="G74" s="3">
        <v>18206000</v>
      </c>
      <c r="H74" s="2">
        <v>1.4999999999999999E-2</v>
      </c>
      <c r="I74" s="17">
        <v>43709</v>
      </c>
      <c r="J74" s="17">
        <v>43738</v>
      </c>
      <c r="K74" s="3">
        <f>J74-I74+1</f>
        <v>30</v>
      </c>
      <c r="L74" s="3">
        <f>ROUND(G74*H74*K74/365,0)</f>
        <v>22446</v>
      </c>
      <c r="M74" s="3">
        <v>18206000</v>
      </c>
    </row>
    <row r="75" spans="1:13" s="16" customFormat="1" outlineLevel="2">
      <c r="A75" s="17" t="s">
        <v>40</v>
      </c>
      <c r="B75" s="18" t="s">
        <v>46</v>
      </c>
      <c r="C75" s="19" t="s">
        <v>183</v>
      </c>
      <c r="D75" s="18" t="s">
        <v>182</v>
      </c>
      <c r="E75" s="3">
        <v>11182589</v>
      </c>
      <c r="F75" s="17">
        <v>43718</v>
      </c>
      <c r="G75" s="3">
        <v>11182589</v>
      </c>
      <c r="H75" s="2">
        <v>5.0000000000000001E-3</v>
      </c>
      <c r="I75" s="17">
        <v>43718</v>
      </c>
      <c r="J75" s="17">
        <v>43738</v>
      </c>
      <c r="K75" s="3">
        <f>J75-I75+1</f>
        <v>21</v>
      </c>
      <c r="L75" s="3">
        <f>ROUND(G75*H75*K75/365,0)</f>
        <v>3217</v>
      </c>
      <c r="M75" s="3">
        <v>11182589</v>
      </c>
    </row>
    <row r="76" spans="1:13" s="16" customFormat="1" outlineLevel="2">
      <c r="A76" s="17" t="s">
        <v>40</v>
      </c>
      <c r="B76" s="18" t="s">
        <v>45</v>
      </c>
      <c r="C76" s="19" t="s">
        <v>280</v>
      </c>
      <c r="D76" s="18" t="s">
        <v>279</v>
      </c>
      <c r="E76" s="3">
        <v>100000000</v>
      </c>
      <c r="F76" s="17">
        <v>43724</v>
      </c>
      <c r="G76" s="3">
        <v>100000000</v>
      </c>
      <c r="H76" s="2">
        <v>5.0000000000000001E-3</v>
      </c>
      <c r="I76" s="17">
        <v>43724</v>
      </c>
      <c r="J76" s="17">
        <v>43738</v>
      </c>
      <c r="K76" s="3">
        <f>J76-I76+1</f>
        <v>15</v>
      </c>
      <c r="L76" s="3">
        <f>ROUND(G76*H76*K76/365,0)</f>
        <v>20548</v>
      </c>
      <c r="M76" s="3">
        <v>100000000</v>
      </c>
    </row>
    <row r="77" spans="1:13" s="16" customFormat="1" outlineLevel="2">
      <c r="A77" s="17" t="s">
        <v>40</v>
      </c>
      <c r="B77" s="18" t="s">
        <v>44</v>
      </c>
      <c r="C77" s="19" t="s">
        <v>159</v>
      </c>
      <c r="D77" s="18" t="s">
        <v>158</v>
      </c>
      <c r="E77" s="3">
        <v>3675000</v>
      </c>
      <c r="F77" s="17">
        <v>43725</v>
      </c>
      <c r="G77" s="3">
        <v>3675000</v>
      </c>
      <c r="H77" s="2">
        <v>1.4999999999999999E-2</v>
      </c>
      <c r="I77" s="17">
        <v>43725</v>
      </c>
      <c r="J77" s="17">
        <v>43738</v>
      </c>
      <c r="K77" s="3">
        <f>J77-I77+1</f>
        <v>14</v>
      </c>
      <c r="L77" s="3">
        <f>ROUND(G77*H77*K77/365,0)</f>
        <v>2114</v>
      </c>
      <c r="M77" s="3">
        <v>3675000</v>
      </c>
    </row>
    <row r="78" spans="1:13" s="16" customFormat="1" outlineLevel="1">
      <c r="A78" s="28" t="s">
        <v>37</v>
      </c>
      <c r="B78" s="21"/>
      <c r="C78" s="22"/>
      <c r="D78" s="21"/>
      <c r="E78" s="23">
        <f>SUBTOTAL(9,E66:E77)</f>
        <v>546364639</v>
      </c>
      <c r="F78" s="20"/>
      <c r="G78" s="23"/>
      <c r="H78" s="24"/>
      <c r="I78" s="20"/>
      <c r="J78" s="20"/>
      <c r="K78" s="23"/>
      <c r="L78" s="23">
        <f>SUBTOTAL(9,L66:L77)</f>
        <v>425784</v>
      </c>
      <c r="M78" s="23">
        <f>SUBTOTAL(9,M66:M77)</f>
        <v>546364639</v>
      </c>
    </row>
    <row r="79" spans="1:13" s="16" customFormat="1" outlineLevel="2">
      <c r="A79" s="17" t="s">
        <v>36</v>
      </c>
      <c r="B79" s="18" t="s">
        <v>17</v>
      </c>
      <c r="C79" s="19" t="s">
        <v>54</v>
      </c>
      <c r="D79" s="18" t="s">
        <v>34</v>
      </c>
      <c r="E79" s="3">
        <v>21800000</v>
      </c>
      <c r="F79" s="17">
        <v>43591</v>
      </c>
      <c r="G79" s="3">
        <v>21800000</v>
      </c>
      <c r="H79" s="2">
        <v>1.4999999999999999E-2</v>
      </c>
      <c r="I79" s="17">
        <v>43709</v>
      </c>
      <c r="J79" s="17">
        <v>43738</v>
      </c>
      <c r="K79" s="3">
        <f>J79-I79+1</f>
        <v>30</v>
      </c>
      <c r="L79" s="3">
        <f>ROUND(G79*H79*K79/365,0)</f>
        <v>26877</v>
      </c>
      <c r="M79" s="3">
        <v>21800000</v>
      </c>
    </row>
    <row r="80" spans="1:13" s="16" customFormat="1" outlineLevel="2">
      <c r="A80" s="17" t="s">
        <v>36</v>
      </c>
      <c r="B80" s="18" t="s">
        <v>181</v>
      </c>
      <c r="C80" s="19" t="s">
        <v>54</v>
      </c>
      <c r="D80" s="18" t="s">
        <v>34</v>
      </c>
      <c r="E80" s="3">
        <v>662000</v>
      </c>
      <c r="F80" s="17">
        <v>43733</v>
      </c>
      <c r="G80" s="3">
        <v>662000</v>
      </c>
      <c r="H80" s="2">
        <v>1.4999999999999999E-2</v>
      </c>
      <c r="I80" s="17">
        <v>43733</v>
      </c>
      <c r="J80" s="17">
        <v>43738</v>
      </c>
      <c r="K80" s="3">
        <f>J80-I80+1</f>
        <v>6</v>
      </c>
      <c r="L80" s="3">
        <f>ROUND(G80*H80*K80/365,0)</f>
        <v>163</v>
      </c>
      <c r="M80" s="3">
        <v>662000</v>
      </c>
    </row>
    <row r="81" spans="1:13" s="16" customFormat="1" outlineLevel="2">
      <c r="A81" s="17" t="s">
        <v>36</v>
      </c>
      <c r="B81" s="18" t="s">
        <v>31</v>
      </c>
      <c r="C81" s="19" t="s">
        <v>54</v>
      </c>
      <c r="D81" s="18" t="s">
        <v>34</v>
      </c>
      <c r="E81" s="3">
        <v>32936000</v>
      </c>
      <c r="F81" s="17">
        <v>43621</v>
      </c>
      <c r="G81" s="3">
        <v>32936000</v>
      </c>
      <c r="H81" s="2">
        <v>1.4999999999999999E-2</v>
      </c>
      <c r="I81" s="17">
        <v>43709</v>
      </c>
      <c r="J81" s="17">
        <v>43738</v>
      </c>
      <c r="K81" s="3">
        <f>J81-I81+1</f>
        <v>30</v>
      </c>
      <c r="L81" s="3">
        <f>ROUND(G81*H81*K81/365,0)</f>
        <v>40606</v>
      </c>
      <c r="M81" s="3">
        <v>32936000</v>
      </c>
    </row>
    <row r="82" spans="1:13" s="16" customFormat="1" outlineLevel="2">
      <c r="A82" s="17" t="s">
        <v>36</v>
      </c>
      <c r="B82" s="18" t="s">
        <v>30</v>
      </c>
      <c r="C82" s="19" t="s">
        <v>54</v>
      </c>
      <c r="D82" s="18" t="s">
        <v>34</v>
      </c>
      <c r="E82" s="3">
        <v>1621000</v>
      </c>
      <c r="F82" s="17">
        <v>43641</v>
      </c>
      <c r="G82" s="3">
        <v>1621000</v>
      </c>
      <c r="H82" s="2">
        <v>1.4999999999999999E-2</v>
      </c>
      <c r="I82" s="17">
        <v>43709</v>
      </c>
      <c r="J82" s="17">
        <v>43738</v>
      </c>
      <c r="K82" s="3">
        <f>J82-I82+1</f>
        <v>30</v>
      </c>
      <c r="L82" s="3">
        <f>ROUND(G82*H82*K82/365,0)</f>
        <v>1998</v>
      </c>
      <c r="M82" s="3">
        <v>1621000</v>
      </c>
    </row>
    <row r="83" spans="1:13" s="16" customFormat="1" outlineLevel="2">
      <c r="A83" s="17" t="s">
        <v>36</v>
      </c>
      <c r="B83" s="18" t="s">
        <v>28</v>
      </c>
      <c r="C83" s="19" t="s">
        <v>54</v>
      </c>
      <c r="D83" s="18" t="s">
        <v>34</v>
      </c>
      <c r="E83" s="3">
        <v>8005000</v>
      </c>
      <c r="F83" s="17">
        <v>43651</v>
      </c>
      <c r="G83" s="3">
        <v>8005000</v>
      </c>
      <c r="H83" s="2">
        <v>1.4999999999999999E-2</v>
      </c>
      <c r="I83" s="17">
        <v>43709</v>
      </c>
      <c r="J83" s="17">
        <v>43738</v>
      </c>
      <c r="K83" s="3">
        <f>J83-I83+1</f>
        <v>30</v>
      </c>
      <c r="L83" s="3">
        <f>ROUND(G83*H83*K83/365,0)</f>
        <v>9869</v>
      </c>
      <c r="M83" s="3">
        <v>8005000</v>
      </c>
    </row>
    <row r="84" spans="1:13" s="16" customFormat="1" outlineLevel="2">
      <c r="A84" s="17" t="s">
        <v>36</v>
      </c>
      <c r="B84" s="18" t="s">
        <v>48</v>
      </c>
      <c r="C84" s="19" t="s">
        <v>54</v>
      </c>
      <c r="D84" s="18" t="s">
        <v>34</v>
      </c>
      <c r="E84" s="3">
        <v>90124000</v>
      </c>
      <c r="F84" s="17">
        <v>43661</v>
      </c>
      <c r="G84" s="3">
        <v>90124000</v>
      </c>
      <c r="H84" s="2">
        <v>1.4999999999999999E-2</v>
      </c>
      <c r="I84" s="17">
        <v>43709</v>
      </c>
      <c r="J84" s="17">
        <v>43738</v>
      </c>
      <c r="K84" s="3">
        <f>J84-I84+1</f>
        <v>30</v>
      </c>
      <c r="L84" s="3">
        <f>ROUND(G84*H84*K84/365,0)</f>
        <v>111112</v>
      </c>
      <c r="M84" s="3">
        <v>90124000</v>
      </c>
    </row>
    <row r="85" spans="1:13" s="16" customFormat="1" outlineLevel="2">
      <c r="A85" s="17" t="s">
        <v>36</v>
      </c>
      <c r="B85" s="18" t="s">
        <v>47</v>
      </c>
      <c r="C85" s="19" t="s">
        <v>54</v>
      </c>
      <c r="D85" s="18" t="s">
        <v>34</v>
      </c>
      <c r="E85" s="3">
        <v>4113000</v>
      </c>
      <c r="F85" s="17">
        <v>43682</v>
      </c>
      <c r="G85" s="3">
        <v>4113000</v>
      </c>
      <c r="H85" s="2">
        <v>1.4999999999999999E-2</v>
      </c>
      <c r="I85" s="17">
        <v>43709</v>
      </c>
      <c r="J85" s="17">
        <v>43738</v>
      </c>
      <c r="K85" s="3">
        <f>J85-I85+1</f>
        <v>30</v>
      </c>
      <c r="L85" s="3">
        <f>ROUND(G85*H85*K85/365,0)</f>
        <v>5071</v>
      </c>
      <c r="M85" s="3">
        <v>4113000</v>
      </c>
    </row>
    <row r="86" spans="1:13" s="16" customFormat="1" outlineLevel="2">
      <c r="A86" s="17" t="s">
        <v>36</v>
      </c>
      <c r="B86" s="18" t="s">
        <v>46</v>
      </c>
      <c r="C86" s="19" t="s">
        <v>54</v>
      </c>
      <c r="D86" s="18" t="s">
        <v>34</v>
      </c>
      <c r="E86" s="3">
        <v>166000</v>
      </c>
      <c r="F86" s="17">
        <v>43692</v>
      </c>
      <c r="G86" s="3">
        <v>166000</v>
      </c>
      <c r="H86" s="2">
        <v>1.4999999999999999E-2</v>
      </c>
      <c r="I86" s="17">
        <v>43709</v>
      </c>
      <c r="J86" s="17">
        <v>43738</v>
      </c>
      <c r="K86" s="3">
        <f>J86-I86+1</f>
        <v>30</v>
      </c>
      <c r="L86" s="3">
        <f>ROUND(G86*H86*K86/365,0)</f>
        <v>205</v>
      </c>
      <c r="M86" s="3">
        <v>166000</v>
      </c>
    </row>
    <row r="87" spans="1:13" s="16" customFormat="1" outlineLevel="2">
      <c r="A87" s="17" t="s">
        <v>36</v>
      </c>
      <c r="B87" s="18" t="s">
        <v>45</v>
      </c>
      <c r="C87" s="19" t="s">
        <v>54</v>
      </c>
      <c r="D87" s="18" t="s">
        <v>34</v>
      </c>
      <c r="E87" s="3">
        <v>1538000</v>
      </c>
      <c r="F87" s="17">
        <v>43703</v>
      </c>
      <c r="G87" s="3">
        <v>1538000</v>
      </c>
      <c r="H87" s="2">
        <v>1.4999999999999999E-2</v>
      </c>
      <c r="I87" s="17">
        <v>43709</v>
      </c>
      <c r="J87" s="17">
        <v>43738</v>
      </c>
      <c r="K87" s="3">
        <f>J87-I87+1</f>
        <v>30</v>
      </c>
      <c r="L87" s="3">
        <f>ROUND(G87*H87*K87/365,0)</f>
        <v>1896</v>
      </c>
      <c r="M87" s="3">
        <v>1538000</v>
      </c>
    </row>
    <row r="88" spans="1:13" s="16" customFormat="1" outlineLevel="2">
      <c r="A88" s="17" t="s">
        <v>36</v>
      </c>
      <c r="B88" s="18" t="s">
        <v>44</v>
      </c>
      <c r="C88" s="19" t="s">
        <v>54</v>
      </c>
      <c r="D88" s="18" t="s">
        <v>34</v>
      </c>
      <c r="E88" s="3">
        <v>13954000</v>
      </c>
      <c r="F88" s="17">
        <v>43713</v>
      </c>
      <c r="G88" s="3">
        <v>13954000</v>
      </c>
      <c r="H88" s="2">
        <v>1.4999999999999999E-2</v>
      </c>
      <c r="I88" s="17">
        <v>43713</v>
      </c>
      <c r="J88" s="17">
        <v>43738</v>
      </c>
      <c r="K88" s="3">
        <f>J88-I88+1</f>
        <v>26</v>
      </c>
      <c r="L88" s="3">
        <f>ROUND(G88*H88*K88/365,0)</f>
        <v>14910</v>
      </c>
      <c r="M88" s="3">
        <v>13954000</v>
      </c>
    </row>
    <row r="89" spans="1:13" s="16" customFormat="1" outlineLevel="1">
      <c r="A89" s="28" t="s">
        <v>33</v>
      </c>
      <c r="B89" s="21"/>
      <c r="C89" s="22"/>
      <c r="D89" s="21"/>
      <c r="E89" s="23">
        <f>SUBTOTAL(9,E79:E88)</f>
        <v>174919000</v>
      </c>
      <c r="F89" s="20"/>
      <c r="G89" s="23"/>
      <c r="H89" s="24"/>
      <c r="I89" s="20"/>
      <c r="J89" s="20"/>
      <c r="K89" s="23"/>
      <c r="L89" s="23">
        <f>SUBTOTAL(9,L79:L88)</f>
        <v>212707</v>
      </c>
      <c r="M89" s="23">
        <f>SUBTOTAL(9,M79:M88)</f>
        <v>174919000</v>
      </c>
    </row>
    <row r="90" spans="1:13" s="16" customFormat="1" outlineLevel="2">
      <c r="A90" s="17" t="s">
        <v>67</v>
      </c>
      <c r="B90" s="18" t="s">
        <v>17</v>
      </c>
      <c r="C90" s="19" t="s">
        <v>51</v>
      </c>
      <c r="D90" s="18" t="s">
        <v>50</v>
      </c>
      <c r="E90" s="3">
        <v>200000000</v>
      </c>
      <c r="F90" s="17">
        <v>43620</v>
      </c>
      <c r="G90" s="3">
        <v>200000000</v>
      </c>
      <c r="H90" s="2">
        <v>1.4999999999999999E-2</v>
      </c>
      <c r="I90" s="17">
        <v>43709</v>
      </c>
      <c r="J90" s="17">
        <v>43738</v>
      </c>
      <c r="K90" s="3">
        <f>J90-I90+1</f>
        <v>30</v>
      </c>
      <c r="L90" s="3">
        <f>ROUND(G90*H90*K90/365,0)</f>
        <v>246575</v>
      </c>
      <c r="M90" s="3">
        <v>200000000</v>
      </c>
    </row>
    <row r="91" spans="1:13" s="16" customFormat="1" outlineLevel="2">
      <c r="A91" s="17" t="s">
        <v>67</v>
      </c>
      <c r="B91" s="18" t="s">
        <v>31</v>
      </c>
      <c r="C91" s="19" t="s">
        <v>51</v>
      </c>
      <c r="D91" s="18" t="s">
        <v>50</v>
      </c>
      <c r="E91" s="3">
        <v>170000000</v>
      </c>
      <c r="F91" s="17">
        <v>43643</v>
      </c>
      <c r="G91" s="3">
        <v>170000000</v>
      </c>
      <c r="H91" s="2">
        <v>1.4999999999999999E-2</v>
      </c>
      <c r="I91" s="17">
        <v>43709</v>
      </c>
      <c r="J91" s="17">
        <v>43738</v>
      </c>
      <c r="K91" s="3">
        <f>J91-I91+1</f>
        <v>30</v>
      </c>
      <c r="L91" s="3">
        <f>ROUND(G91*H91*K91/365,0)</f>
        <v>209589</v>
      </c>
      <c r="M91" s="3">
        <v>170000000</v>
      </c>
    </row>
    <row r="92" spans="1:13" s="16" customFormat="1" outlineLevel="2">
      <c r="A92" s="17" t="s">
        <v>67</v>
      </c>
      <c r="B92" s="18" t="s">
        <v>30</v>
      </c>
      <c r="C92" s="19" t="s">
        <v>51</v>
      </c>
      <c r="D92" s="18" t="s">
        <v>50</v>
      </c>
      <c r="E92" s="3">
        <v>670000000</v>
      </c>
      <c r="F92" s="17">
        <v>43670</v>
      </c>
      <c r="G92" s="3">
        <v>670000000</v>
      </c>
      <c r="H92" s="2">
        <v>1.4999999999999999E-2</v>
      </c>
      <c r="I92" s="17">
        <v>43709</v>
      </c>
      <c r="J92" s="17">
        <v>43738</v>
      </c>
      <c r="K92" s="3">
        <f>J92-I92+1</f>
        <v>30</v>
      </c>
      <c r="L92" s="3">
        <f>ROUND(G92*H92*K92/365,0)</f>
        <v>826027</v>
      </c>
      <c r="M92" s="3">
        <v>670000000</v>
      </c>
    </row>
    <row r="93" spans="1:13" s="16" customFormat="1" outlineLevel="2">
      <c r="A93" s="17" t="s">
        <v>67</v>
      </c>
      <c r="B93" s="18" t="s">
        <v>28</v>
      </c>
      <c r="C93" s="19" t="s">
        <v>51</v>
      </c>
      <c r="D93" s="18" t="s">
        <v>50</v>
      </c>
      <c r="E93" s="3">
        <v>330000000</v>
      </c>
      <c r="F93" s="17">
        <v>43677</v>
      </c>
      <c r="G93" s="3">
        <v>330000000</v>
      </c>
      <c r="H93" s="2">
        <v>1.4999999999999999E-2</v>
      </c>
      <c r="I93" s="17">
        <v>43709</v>
      </c>
      <c r="J93" s="17">
        <v>43738</v>
      </c>
      <c r="K93" s="3">
        <f>J93-I93+1</f>
        <v>30</v>
      </c>
      <c r="L93" s="3">
        <f>ROUND(G93*H93*K93/365,0)</f>
        <v>406849</v>
      </c>
      <c r="M93" s="3">
        <v>330000000</v>
      </c>
    </row>
    <row r="94" spans="1:13" s="16" customFormat="1" outlineLevel="2">
      <c r="A94" s="17" t="s">
        <v>67</v>
      </c>
      <c r="B94" s="18" t="s">
        <v>48</v>
      </c>
      <c r="C94" s="19" t="s">
        <v>150</v>
      </c>
      <c r="D94" s="18" t="s">
        <v>149</v>
      </c>
      <c r="E94" s="3">
        <v>1323000</v>
      </c>
      <c r="F94" s="17">
        <v>43728</v>
      </c>
      <c r="G94" s="3">
        <v>1323000</v>
      </c>
      <c r="H94" s="2">
        <v>3.0000000000000001E-3</v>
      </c>
      <c r="I94" s="17">
        <v>43728</v>
      </c>
      <c r="J94" s="17">
        <v>43738</v>
      </c>
      <c r="K94" s="3">
        <f>J94-I94+1</f>
        <v>11</v>
      </c>
      <c r="L94" s="3">
        <f>ROUND(G94*H94*K94/365,0)</f>
        <v>120</v>
      </c>
      <c r="M94" s="3">
        <v>1323000</v>
      </c>
    </row>
    <row r="95" spans="1:13" s="16" customFormat="1" outlineLevel="2">
      <c r="A95" s="17" t="s">
        <v>67</v>
      </c>
      <c r="B95" s="18" t="s">
        <v>47</v>
      </c>
      <c r="C95" s="19" t="s">
        <v>278</v>
      </c>
      <c r="D95" s="18" t="s">
        <v>277</v>
      </c>
      <c r="E95" s="3">
        <v>122100000</v>
      </c>
      <c r="F95" s="17">
        <v>43734</v>
      </c>
      <c r="G95" s="3">
        <v>122100000</v>
      </c>
      <c r="H95" s="2">
        <v>5.0000000000000001E-3</v>
      </c>
      <c r="I95" s="17">
        <v>43734</v>
      </c>
      <c r="J95" s="17">
        <v>43738</v>
      </c>
      <c r="K95" s="3">
        <f>J95-I95+1</f>
        <v>5</v>
      </c>
      <c r="L95" s="3">
        <f>ROUND(G95*H95*K95/365,0)</f>
        <v>8363</v>
      </c>
      <c r="M95" s="3">
        <v>122100000</v>
      </c>
    </row>
    <row r="96" spans="1:13" s="16" customFormat="1" outlineLevel="2">
      <c r="A96" s="17" t="s">
        <v>67</v>
      </c>
      <c r="B96" s="18" t="s">
        <v>46</v>
      </c>
      <c r="C96" s="19" t="s">
        <v>276</v>
      </c>
      <c r="D96" s="18" t="s">
        <v>275</v>
      </c>
      <c r="E96" s="3">
        <v>282000000</v>
      </c>
      <c r="F96" s="17">
        <v>43728</v>
      </c>
      <c r="G96" s="3">
        <v>282000000</v>
      </c>
      <c r="H96" s="2">
        <v>5.0000000000000001E-3</v>
      </c>
      <c r="I96" s="17">
        <v>43728</v>
      </c>
      <c r="J96" s="17">
        <v>43738</v>
      </c>
      <c r="K96" s="3">
        <f>J96-I96+1</f>
        <v>11</v>
      </c>
      <c r="L96" s="3">
        <f>ROUND(G96*H96*K96/365,0)</f>
        <v>42493</v>
      </c>
      <c r="M96" s="3">
        <v>282000000</v>
      </c>
    </row>
    <row r="97" spans="1:13" s="16" customFormat="1" outlineLevel="1">
      <c r="A97" s="28" t="s">
        <v>66</v>
      </c>
      <c r="B97" s="21"/>
      <c r="C97" s="22"/>
      <c r="D97" s="21"/>
      <c r="E97" s="23">
        <f>SUBTOTAL(9,E90:E96)</f>
        <v>1775423000</v>
      </c>
      <c r="F97" s="20"/>
      <c r="G97" s="23"/>
      <c r="H97" s="24"/>
      <c r="I97" s="20"/>
      <c r="J97" s="20"/>
      <c r="K97" s="23"/>
      <c r="L97" s="23">
        <f>SUBTOTAL(9,L90:L96)</f>
        <v>1740016</v>
      </c>
      <c r="M97" s="23">
        <f>SUBTOTAL(9,M90:M96)</f>
        <v>1775423000</v>
      </c>
    </row>
    <row r="98" spans="1:13" s="16" customFormat="1" outlineLevel="2">
      <c r="A98" s="17" t="s">
        <v>274</v>
      </c>
      <c r="B98" s="18" t="s">
        <v>17</v>
      </c>
      <c r="C98" s="19" t="s">
        <v>230</v>
      </c>
      <c r="D98" s="18" t="s">
        <v>229</v>
      </c>
      <c r="E98" s="3">
        <v>63000000</v>
      </c>
      <c r="F98" s="17">
        <v>43732</v>
      </c>
      <c r="G98" s="3">
        <v>63000000</v>
      </c>
      <c r="H98" s="2">
        <v>5.0000000000000001E-3</v>
      </c>
      <c r="I98" s="17">
        <v>43732</v>
      </c>
      <c r="J98" s="17">
        <v>43738</v>
      </c>
      <c r="K98" s="3">
        <f>J98-I98+1</f>
        <v>7</v>
      </c>
      <c r="L98" s="3">
        <f>ROUND(G98*H98*K98/365,0)</f>
        <v>6041</v>
      </c>
      <c r="M98" s="3">
        <v>63000000</v>
      </c>
    </row>
    <row r="99" spans="1:13" s="16" customFormat="1" outlineLevel="1">
      <c r="A99" s="28" t="s">
        <v>273</v>
      </c>
      <c r="B99" s="21"/>
      <c r="C99" s="22"/>
      <c r="D99" s="21"/>
      <c r="E99" s="23">
        <f>SUBTOTAL(9,E98:E98)</f>
        <v>63000000</v>
      </c>
      <c r="F99" s="20"/>
      <c r="G99" s="23"/>
      <c r="H99" s="24"/>
      <c r="I99" s="20"/>
      <c r="J99" s="20"/>
      <c r="K99" s="23"/>
      <c r="L99" s="23">
        <f>SUBTOTAL(9,L98:L98)</f>
        <v>6041</v>
      </c>
      <c r="M99" s="23">
        <f>SUBTOTAL(9,M98:M98)</f>
        <v>63000000</v>
      </c>
    </row>
    <row r="100" spans="1:13" s="16" customFormat="1" outlineLevel="2">
      <c r="A100" s="17" t="s">
        <v>65</v>
      </c>
      <c r="B100" s="18" t="s">
        <v>17</v>
      </c>
      <c r="C100" s="19" t="s">
        <v>51</v>
      </c>
      <c r="D100" s="18" t="s">
        <v>50</v>
      </c>
      <c r="E100" s="3">
        <v>500000000</v>
      </c>
      <c r="F100" s="17">
        <v>43635</v>
      </c>
      <c r="G100" s="3">
        <v>500000000</v>
      </c>
      <c r="H100" s="2">
        <v>1.4999999999999999E-2</v>
      </c>
      <c r="I100" s="17">
        <v>43709</v>
      </c>
      <c r="J100" s="17">
        <v>43738</v>
      </c>
      <c r="K100" s="3">
        <f>J100-I100+1</f>
        <v>30</v>
      </c>
      <c r="L100" s="3">
        <f>ROUND(G100*H100*K100/365,0)</f>
        <v>616438</v>
      </c>
      <c r="M100" s="3">
        <v>500000000</v>
      </c>
    </row>
    <row r="101" spans="1:13" s="16" customFormat="1" outlineLevel="2">
      <c r="A101" s="17" t="s">
        <v>65</v>
      </c>
      <c r="B101" s="18" t="s">
        <v>181</v>
      </c>
      <c r="C101" s="19" t="s">
        <v>206</v>
      </c>
      <c r="D101" s="18" t="s">
        <v>38</v>
      </c>
      <c r="E101" s="3">
        <v>200000000</v>
      </c>
      <c r="F101" s="17">
        <v>43706</v>
      </c>
      <c r="G101" s="3">
        <v>200000000</v>
      </c>
      <c r="H101" s="2">
        <v>1.4999999999999999E-2</v>
      </c>
      <c r="I101" s="17">
        <v>43709</v>
      </c>
      <c r="J101" s="17">
        <v>43738</v>
      </c>
      <c r="K101" s="3">
        <f>J101-I101+1</f>
        <v>30</v>
      </c>
      <c r="L101" s="3">
        <f>ROUND(G101*H101*K101/365,0)</f>
        <v>246575</v>
      </c>
      <c r="M101" s="3">
        <v>200000000</v>
      </c>
    </row>
    <row r="102" spans="1:13" s="16" customFormat="1" outlineLevel="2">
      <c r="A102" s="17" t="s">
        <v>65</v>
      </c>
      <c r="B102" s="18" t="s">
        <v>181</v>
      </c>
      <c r="C102" s="19" t="s">
        <v>210</v>
      </c>
      <c r="D102" s="18" t="s">
        <v>209</v>
      </c>
      <c r="E102" s="3">
        <v>3000000</v>
      </c>
      <c r="F102" s="17">
        <v>43682</v>
      </c>
      <c r="G102" s="3">
        <v>3000000</v>
      </c>
      <c r="H102" s="2">
        <v>5.0000000000000001E-3</v>
      </c>
      <c r="I102" s="17">
        <v>43709</v>
      </c>
      <c r="J102" s="17">
        <v>43738</v>
      </c>
      <c r="K102" s="3">
        <f>J102-I102+1</f>
        <v>30</v>
      </c>
      <c r="L102" s="3">
        <f>ROUND(G102*H102*K102/365,0)</f>
        <v>1233</v>
      </c>
      <c r="M102" s="3">
        <v>3000000</v>
      </c>
    </row>
    <row r="103" spans="1:13" s="16" customFormat="1" outlineLevel="2">
      <c r="A103" s="17" t="s">
        <v>65</v>
      </c>
      <c r="B103" s="18" t="s">
        <v>180</v>
      </c>
      <c r="C103" s="19" t="s">
        <v>210</v>
      </c>
      <c r="D103" s="18" t="s">
        <v>209</v>
      </c>
      <c r="E103" s="3">
        <v>23000000</v>
      </c>
      <c r="F103" s="17">
        <v>43706</v>
      </c>
      <c r="G103" s="3">
        <v>23000000</v>
      </c>
      <c r="H103" s="2">
        <v>5.0000000000000001E-3</v>
      </c>
      <c r="I103" s="17">
        <v>43709</v>
      </c>
      <c r="J103" s="17">
        <v>43738</v>
      </c>
      <c r="K103" s="3">
        <f>J103-I103+1</f>
        <v>30</v>
      </c>
      <c r="L103" s="3">
        <f>ROUND(G103*H103*K103/365,0)</f>
        <v>9452</v>
      </c>
      <c r="M103" s="3">
        <v>23000000</v>
      </c>
    </row>
    <row r="104" spans="1:13" s="16" customFormat="1" outlineLevel="2">
      <c r="A104" s="17" t="s">
        <v>65</v>
      </c>
      <c r="B104" s="18" t="s">
        <v>178</v>
      </c>
      <c r="C104" s="19" t="s">
        <v>150</v>
      </c>
      <c r="D104" s="18" t="s">
        <v>149</v>
      </c>
      <c r="E104" s="3">
        <v>6128640</v>
      </c>
      <c r="F104" s="17">
        <v>43728</v>
      </c>
      <c r="G104" s="3">
        <v>6128640</v>
      </c>
      <c r="H104" s="2">
        <v>3.0000000000000001E-3</v>
      </c>
      <c r="I104" s="17">
        <v>43728</v>
      </c>
      <c r="J104" s="17">
        <v>43738</v>
      </c>
      <c r="K104" s="3">
        <f>J104-I104+1</f>
        <v>11</v>
      </c>
      <c r="L104" s="3">
        <f>ROUND(G104*H104*K104/365,0)</f>
        <v>554</v>
      </c>
      <c r="M104" s="3">
        <v>6128640</v>
      </c>
    </row>
    <row r="105" spans="1:13" s="16" customFormat="1" outlineLevel="2">
      <c r="A105" s="17" t="s">
        <v>65</v>
      </c>
      <c r="B105" s="18" t="s">
        <v>31</v>
      </c>
      <c r="C105" s="19" t="s">
        <v>51</v>
      </c>
      <c r="D105" s="18" t="s">
        <v>50</v>
      </c>
      <c r="E105" s="3">
        <v>200000000</v>
      </c>
      <c r="F105" s="17">
        <v>43644</v>
      </c>
      <c r="G105" s="3">
        <v>200000000</v>
      </c>
      <c r="H105" s="2">
        <v>1.4999999999999999E-2</v>
      </c>
      <c r="I105" s="17">
        <v>43709</v>
      </c>
      <c r="J105" s="17">
        <v>43738</v>
      </c>
      <c r="K105" s="3">
        <f>J105-I105+1</f>
        <v>30</v>
      </c>
      <c r="L105" s="3">
        <f>ROUND(G105*H105*K105/365,0)</f>
        <v>246575</v>
      </c>
      <c r="M105" s="3">
        <v>200000000</v>
      </c>
    </row>
    <row r="106" spans="1:13" s="16" customFormat="1" outlineLevel="2">
      <c r="A106" s="17" t="s">
        <v>65</v>
      </c>
      <c r="B106" s="18" t="s">
        <v>30</v>
      </c>
      <c r="C106" s="19" t="s">
        <v>61</v>
      </c>
      <c r="D106" s="18" t="s">
        <v>60</v>
      </c>
      <c r="E106" s="3">
        <v>150000000</v>
      </c>
      <c r="F106" s="17">
        <v>43635</v>
      </c>
      <c r="G106" s="3">
        <v>150000000</v>
      </c>
      <c r="H106" s="2">
        <v>1.4999999999999999E-2</v>
      </c>
      <c r="I106" s="17">
        <v>43709</v>
      </c>
      <c r="J106" s="17">
        <v>43738</v>
      </c>
      <c r="K106" s="3">
        <f>J106-I106+1</f>
        <v>30</v>
      </c>
      <c r="L106" s="3">
        <f>ROUND(G106*H106*K106/365,0)</f>
        <v>184932</v>
      </c>
      <c r="M106" s="3">
        <v>150000000</v>
      </c>
    </row>
    <row r="107" spans="1:13" s="16" customFormat="1" outlineLevel="2">
      <c r="A107" s="17" t="s">
        <v>65</v>
      </c>
      <c r="B107" s="18" t="s">
        <v>28</v>
      </c>
      <c r="C107" s="19" t="s">
        <v>51</v>
      </c>
      <c r="D107" s="18" t="s">
        <v>50</v>
      </c>
      <c r="E107" s="3">
        <v>400000000</v>
      </c>
      <c r="F107" s="17">
        <v>43663</v>
      </c>
      <c r="G107" s="3">
        <v>400000000</v>
      </c>
      <c r="H107" s="2">
        <v>1.4999999999999999E-2</v>
      </c>
      <c r="I107" s="17">
        <v>43709</v>
      </c>
      <c r="J107" s="17">
        <v>43738</v>
      </c>
      <c r="K107" s="3">
        <f>J107-I107+1</f>
        <v>30</v>
      </c>
      <c r="L107" s="3">
        <f>ROUND(G107*H107*K107/365,0)</f>
        <v>493151</v>
      </c>
      <c r="M107" s="3">
        <v>400000000</v>
      </c>
    </row>
    <row r="108" spans="1:13" s="16" customFormat="1" outlineLevel="2">
      <c r="A108" s="17" t="s">
        <v>65</v>
      </c>
      <c r="B108" s="18" t="s">
        <v>48</v>
      </c>
      <c r="C108" s="19" t="s">
        <v>173</v>
      </c>
      <c r="D108" s="18" t="s">
        <v>172</v>
      </c>
      <c r="E108" s="3">
        <v>1000000000</v>
      </c>
      <c r="F108" s="17">
        <v>43672</v>
      </c>
      <c r="G108" s="3">
        <v>1000000000</v>
      </c>
      <c r="H108" s="2">
        <v>1.4999999999999999E-2</v>
      </c>
      <c r="I108" s="17">
        <v>43709</v>
      </c>
      <c r="J108" s="17">
        <v>43738</v>
      </c>
      <c r="K108" s="3">
        <f>J108-I108+1</f>
        <v>30</v>
      </c>
      <c r="L108" s="3">
        <f>ROUND(G108*H108*K108/365,0)</f>
        <v>1232877</v>
      </c>
      <c r="M108" s="3">
        <v>1000000000</v>
      </c>
    </row>
    <row r="109" spans="1:13" s="16" customFormat="1" outlineLevel="2">
      <c r="A109" s="17" t="s">
        <v>65</v>
      </c>
      <c r="B109" s="18" t="s">
        <v>47</v>
      </c>
      <c r="C109" s="19" t="s">
        <v>208</v>
      </c>
      <c r="D109" s="18" t="s">
        <v>207</v>
      </c>
      <c r="E109" s="3">
        <v>29300670</v>
      </c>
      <c r="F109" s="17">
        <v>43658</v>
      </c>
      <c r="G109" s="3">
        <v>29300670</v>
      </c>
      <c r="H109" s="2">
        <v>1.4999999999999999E-2</v>
      </c>
      <c r="I109" s="17">
        <v>43709</v>
      </c>
      <c r="J109" s="17">
        <v>43738</v>
      </c>
      <c r="K109" s="3">
        <f>J109-I109+1</f>
        <v>30</v>
      </c>
      <c r="L109" s="3">
        <f>ROUND(G109*H109*K109/365,0)</f>
        <v>36124</v>
      </c>
      <c r="M109" s="3">
        <v>29300670</v>
      </c>
    </row>
    <row r="110" spans="1:13" s="16" customFormat="1" outlineLevel="2">
      <c r="A110" s="17" t="s">
        <v>65</v>
      </c>
      <c r="B110" s="18" t="s">
        <v>46</v>
      </c>
      <c r="C110" s="19" t="s">
        <v>61</v>
      </c>
      <c r="D110" s="18" t="s">
        <v>60</v>
      </c>
      <c r="E110" s="3">
        <v>100000000</v>
      </c>
      <c r="F110" s="17">
        <v>43649</v>
      </c>
      <c r="G110" s="3">
        <v>100000000</v>
      </c>
      <c r="H110" s="2">
        <v>1.4999999999999999E-2</v>
      </c>
      <c r="I110" s="17">
        <v>43709</v>
      </c>
      <c r="J110" s="17">
        <v>43738</v>
      </c>
      <c r="K110" s="3">
        <f>J110-I110+1</f>
        <v>30</v>
      </c>
      <c r="L110" s="3">
        <f>ROUND(G110*H110*K110/365,0)</f>
        <v>123288</v>
      </c>
      <c r="M110" s="3">
        <v>100000000</v>
      </c>
    </row>
    <row r="111" spans="1:13" s="16" customFormat="1" outlineLevel="2">
      <c r="A111" s="17" t="s">
        <v>65</v>
      </c>
      <c r="B111" s="18" t="s">
        <v>45</v>
      </c>
      <c r="C111" s="19" t="s">
        <v>206</v>
      </c>
      <c r="D111" s="18" t="s">
        <v>38</v>
      </c>
      <c r="E111" s="3">
        <v>70000000</v>
      </c>
      <c r="F111" s="17">
        <v>43656</v>
      </c>
      <c r="G111" s="3">
        <v>70000000</v>
      </c>
      <c r="H111" s="2">
        <v>1.4999999999999999E-2</v>
      </c>
      <c r="I111" s="17">
        <v>43709</v>
      </c>
      <c r="J111" s="17">
        <v>43738</v>
      </c>
      <c r="K111" s="3">
        <f>J111-I111+1</f>
        <v>30</v>
      </c>
      <c r="L111" s="3">
        <f>ROUND(G111*H111*K111/365,0)</f>
        <v>86301</v>
      </c>
      <c r="M111" s="3">
        <v>70000000</v>
      </c>
    </row>
    <row r="112" spans="1:13" s="16" customFormat="1" outlineLevel="2">
      <c r="A112" s="17" t="s">
        <v>65</v>
      </c>
      <c r="B112" s="18" t="s">
        <v>44</v>
      </c>
      <c r="C112" s="19" t="s">
        <v>206</v>
      </c>
      <c r="D112" s="18" t="s">
        <v>38</v>
      </c>
      <c r="E112" s="3">
        <v>116000000</v>
      </c>
      <c r="F112" s="17">
        <v>43676</v>
      </c>
      <c r="G112" s="3">
        <v>116000000</v>
      </c>
      <c r="H112" s="2">
        <v>1.4999999999999999E-2</v>
      </c>
      <c r="I112" s="17">
        <v>43709</v>
      </c>
      <c r="J112" s="17">
        <v>43738</v>
      </c>
      <c r="K112" s="3">
        <f>J112-I112+1</f>
        <v>30</v>
      </c>
      <c r="L112" s="3">
        <f>ROUND(G112*H112*K112/365,0)</f>
        <v>143014</v>
      </c>
      <c r="M112" s="3">
        <v>116000000</v>
      </c>
    </row>
    <row r="113" spans="1:13" s="16" customFormat="1" outlineLevel="1">
      <c r="A113" s="28" t="s">
        <v>64</v>
      </c>
      <c r="B113" s="21"/>
      <c r="C113" s="22"/>
      <c r="D113" s="21"/>
      <c r="E113" s="23">
        <f>SUBTOTAL(9,E100:E112)</f>
        <v>2797429310</v>
      </c>
      <c r="F113" s="20"/>
      <c r="G113" s="23"/>
      <c r="H113" s="24"/>
      <c r="I113" s="20"/>
      <c r="J113" s="20"/>
      <c r="K113" s="23"/>
      <c r="L113" s="23">
        <f>SUBTOTAL(9,L100:L112)</f>
        <v>3420514</v>
      </c>
      <c r="M113" s="23">
        <f>SUBTOTAL(9,M100:M112)</f>
        <v>2797429310</v>
      </c>
    </row>
    <row r="114" spans="1:13" s="16" customFormat="1" outlineLevel="2">
      <c r="A114" s="17" t="s">
        <v>16</v>
      </c>
      <c r="B114" s="18" t="s">
        <v>17</v>
      </c>
      <c r="C114" s="19" t="s">
        <v>205</v>
      </c>
      <c r="D114" s="18" t="s">
        <v>19</v>
      </c>
      <c r="E114" s="3">
        <v>200000000</v>
      </c>
      <c r="F114" s="17">
        <v>43556</v>
      </c>
      <c r="G114" s="3">
        <v>200000000</v>
      </c>
      <c r="H114" s="2">
        <v>1.4999999999999999E-2</v>
      </c>
      <c r="I114" s="17">
        <v>43709</v>
      </c>
      <c r="J114" s="17">
        <v>43738</v>
      </c>
      <c r="K114" s="3">
        <f>J114-I114+1</f>
        <v>30</v>
      </c>
      <c r="L114" s="3">
        <f>ROUND(G114*H114*K114/365,0)</f>
        <v>246575</v>
      </c>
      <c r="M114" s="3">
        <v>200000000</v>
      </c>
    </row>
    <row r="115" spans="1:13" s="16" customFormat="1" outlineLevel="2">
      <c r="A115" s="17" t="s">
        <v>16</v>
      </c>
      <c r="B115" s="18" t="s">
        <v>181</v>
      </c>
      <c r="C115" s="19" t="s">
        <v>159</v>
      </c>
      <c r="D115" s="18" t="s">
        <v>158</v>
      </c>
      <c r="E115" s="3">
        <v>66532000</v>
      </c>
      <c r="F115" s="17">
        <v>43663</v>
      </c>
      <c r="G115" s="3">
        <v>66532000</v>
      </c>
      <c r="H115" s="2">
        <v>1.4999999999999999E-2</v>
      </c>
      <c r="I115" s="17">
        <v>43709</v>
      </c>
      <c r="J115" s="17">
        <v>43738</v>
      </c>
      <c r="K115" s="3">
        <f>J115-I115+1</f>
        <v>30</v>
      </c>
      <c r="L115" s="3">
        <f>ROUND(G115*H115*K115/365,0)</f>
        <v>82026</v>
      </c>
      <c r="M115" s="3">
        <v>66532000</v>
      </c>
    </row>
    <row r="116" spans="1:13" s="16" customFormat="1" outlineLevel="2">
      <c r="A116" s="17" t="s">
        <v>16</v>
      </c>
      <c r="B116" s="18" t="s">
        <v>180</v>
      </c>
      <c r="C116" s="19" t="s">
        <v>159</v>
      </c>
      <c r="D116" s="18" t="s">
        <v>158</v>
      </c>
      <c r="E116" s="3">
        <v>5530000</v>
      </c>
      <c r="F116" s="17">
        <v>43693</v>
      </c>
      <c r="G116" s="3">
        <v>5530000</v>
      </c>
      <c r="H116" s="2">
        <v>1.4999999999999999E-2</v>
      </c>
      <c r="I116" s="17">
        <v>43709</v>
      </c>
      <c r="J116" s="17">
        <v>43738</v>
      </c>
      <c r="K116" s="3">
        <f>J116-I116+1</f>
        <v>30</v>
      </c>
      <c r="L116" s="3">
        <f>ROUND(G116*H116*K116/365,0)</f>
        <v>6818</v>
      </c>
      <c r="M116" s="3">
        <v>5530000</v>
      </c>
    </row>
    <row r="117" spans="1:13" s="16" customFormat="1" outlineLevel="2">
      <c r="A117" s="17" t="s">
        <v>16</v>
      </c>
      <c r="B117" s="18" t="s">
        <v>179</v>
      </c>
      <c r="C117" s="19" t="s">
        <v>159</v>
      </c>
      <c r="D117" s="18" t="s">
        <v>158</v>
      </c>
      <c r="E117" s="3">
        <v>15172000</v>
      </c>
      <c r="F117" s="17">
        <v>43693</v>
      </c>
      <c r="G117" s="3">
        <v>15172000</v>
      </c>
      <c r="H117" s="2">
        <v>1.4999999999999999E-2</v>
      </c>
      <c r="I117" s="17">
        <v>43709</v>
      </c>
      <c r="J117" s="17">
        <v>43738</v>
      </c>
      <c r="K117" s="3">
        <f>J117-I117+1</f>
        <v>30</v>
      </c>
      <c r="L117" s="3">
        <f>ROUND(G117*H117*K117/365,0)</f>
        <v>18705</v>
      </c>
      <c r="M117" s="3">
        <v>15172000</v>
      </c>
    </row>
    <row r="118" spans="1:13" s="16" customFormat="1" outlineLevel="2">
      <c r="A118" s="17" t="s">
        <v>16</v>
      </c>
      <c r="B118" s="18" t="s">
        <v>178</v>
      </c>
      <c r="C118" s="19" t="s">
        <v>159</v>
      </c>
      <c r="D118" s="18" t="s">
        <v>158</v>
      </c>
      <c r="E118" s="3">
        <v>3062000</v>
      </c>
      <c r="F118" s="17">
        <v>43725</v>
      </c>
      <c r="G118" s="3">
        <v>3062000</v>
      </c>
      <c r="H118" s="2">
        <v>1.4999999999999999E-2</v>
      </c>
      <c r="I118" s="17">
        <v>43725</v>
      </c>
      <c r="J118" s="17">
        <v>43738</v>
      </c>
      <c r="K118" s="3">
        <f>J118-I118+1</f>
        <v>14</v>
      </c>
      <c r="L118" s="3">
        <f>ROUND(G118*H118*K118/365,0)</f>
        <v>1762</v>
      </c>
      <c r="M118" s="3">
        <v>3062000</v>
      </c>
    </row>
    <row r="119" spans="1:13" s="16" customFormat="1" outlineLevel="2">
      <c r="A119" s="17" t="s">
        <v>16</v>
      </c>
      <c r="B119" s="18" t="s">
        <v>177</v>
      </c>
      <c r="C119" s="19" t="s">
        <v>159</v>
      </c>
      <c r="D119" s="18" t="s">
        <v>158</v>
      </c>
      <c r="E119" s="3">
        <v>15763000</v>
      </c>
      <c r="F119" s="17">
        <v>43725</v>
      </c>
      <c r="G119" s="3">
        <v>15763000</v>
      </c>
      <c r="H119" s="2">
        <v>1.4999999999999999E-2</v>
      </c>
      <c r="I119" s="17">
        <v>43725</v>
      </c>
      <c r="J119" s="17">
        <v>43738</v>
      </c>
      <c r="K119" s="3">
        <f>J119-I119+1</f>
        <v>14</v>
      </c>
      <c r="L119" s="3">
        <f>ROUND(G119*H119*K119/365,0)</f>
        <v>9069</v>
      </c>
      <c r="M119" s="3">
        <v>15763000</v>
      </c>
    </row>
    <row r="120" spans="1:13" s="16" customFormat="1" outlineLevel="2">
      <c r="A120" s="17" t="s">
        <v>16</v>
      </c>
      <c r="B120" s="18" t="s">
        <v>31</v>
      </c>
      <c r="C120" s="19" t="s">
        <v>63</v>
      </c>
      <c r="D120" s="18" t="s">
        <v>62</v>
      </c>
      <c r="E120" s="3">
        <v>50000000</v>
      </c>
      <c r="F120" s="17">
        <v>43607</v>
      </c>
      <c r="G120" s="3">
        <v>50000000</v>
      </c>
      <c r="H120" s="2">
        <v>1.4999999999999999E-2</v>
      </c>
      <c r="I120" s="17">
        <v>43709</v>
      </c>
      <c r="J120" s="17">
        <v>43738</v>
      </c>
      <c r="K120" s="3">
        <f>J120-I120+1</f>
        <v>30</v>
      </c>
      <c r="L120" s="3">
        <f>ROUND(G120*H120*K120/365,0)</f>
        <v>61644</v>
      </c>
      <c r="M120" s="3">
        <v>50000000</v>
      </c>
    </row>
    <row r="121" spans="1:13" s="16" customFormat="1" outlineLevel="2">
      <c r="A121" s="17" t="s">
        <v>16</v>
      </c>
      <c r="B121" s="18" t="s">
        <v>30</v>
      </c>
      <c r="C121" s="19" t="s">
        <v>63</v>
      </c>
      <c r="D121" s="18" t="s">
        <v>62</v>
      </c>
      <c r="E121" s="3">
        <v>50000000</v>
      </c>
      <c r="F121" s="17">
        <v>43615</v>
      </c>
      <c r="G121" s="3">
        <v>50000000</v>
      </c>
      <c r="H121" s="2">
        <v>1.4999999999999999E-2</v>
      </c>
      <c r="I121" s="17">
        <v>43709</v>
      </c>
      <c r="J121" s="17">
        <v>43738</v>
      </c>
      <c r="K121" s="3">
        <f>J121-I121+1</f>
        <v>30</v>
      </c>
      <c r="L121" s="3">
        <f>ROUND(G121*H121*K121/365,0)</f>
        <v>61644</v>
      </c>
      <c r="M121" s="3">
        <v>50000000</v>
      </c>
    </row>
    <row r="122" spans="1:13" s="16" customFormat="1" outlineLevel="2">
      <c r="A122" s="17" t="s">
        <v>16</v>
      </c>
      <c r="B122" s="18" t="s">
        <v>28</v>
      </c>
      <c r="C122" s="19" t="s">
        <v>61</v>
      </c>
      <c r="D122" s="18" t="s">
        <v>60</v>
      </c>
      <c r="E122" s="3">
        <v>150000000</v>
      </c>
      <c r="F122" s="17">
        <v>43640</v>
      </c>
      <c r="G122" s="3">
        <v>150000000</v>
      </c>
      <c r="H122" s="2">
        <v>1.4999999999999999E-2</v>
      </c>
      <c r="I122" s="17">
        <v>43709</v>
      </c>
      <c r="J122" s="17">
        <v>43738</v>
      </c>
      <c r="K122" s="3">
        <f>J122-I122+1</f>
        <v>30</v>
      </c>
      <c r="L122" s="3">
        <f>ROUND(G122*H122*K122/365,0)</f>
        <v>184932</v>
      </c>
      <c r="M122" s="3">
        <v>150000000</v>
      </c>
    </row>
    <row r="123" spans="1:13" s="16" customFormat="1" outlineLevel="2">
      <c r="A123" s="17" t="s">
        <v>16</v>
      </c>
      <c r="B123" s="18" t="s">
        <v>48</v>
      </c>
      <c r="C123" s="19" t="s">
        <v>63</v>
      </c>
      <c r="D123" s="18" t="s">
        <v>62</v>
      </c>
      <c r="E123" s="3">
        <v>30000000</v>
      </c>
      <c r="F123" s="17">
        <v>43651</v>
      </c>
      <c r="G123" s="3">
        <v>30000000</v>
      </c>
      <c r="H123" s="2">
        <v>1.4999999999999999E-2</v>
      </c>
      <c r="I123" s="17">
        <v>43709</v>
      </c>
      <c r="J123" s="17">
        <v>43738</v>
      </c>
      <c r="K123" s="3">
        <f>J123-I123+1</f>
        <v>30</v>
      </c>
      <c r="L123" s="3">
        <f>ROUND(G123*H123*K123/365,0)</f>
        <v>36986</v>
      </c>
      <c r="M123" s="3">
        <v>30000000</v>
      </c>
    </row>
    <row r="124" spans="1:13" s="16" customFormat="1" outlineLevel="2">
      <c r="A124" s="17" t="s">
        <v>16</v>
      </c>
      <c r="B124" s="18" t="s">
        <v>47</v>
      </c>
      <c r="C124" s="19" t="s">
        <v>63</v>
      </c>
      <c r="D124" s="18" t="s">
        <v>62</v>
      </c>
      <c r="E124" s="3">
        <v>30000000</v>
      </c>
      <c r="F124" s="17">
        <v>43655</v>
      </c>
      <c r="G124" s="3">
        <v>30000000</v>
      </c>
      <c r="H124" s="2">
        <v>1.4999999999999999E-2</v>
      </c>
      <c r="I124" s="17">
        <v>43709</v>
      </c>
      <c r="J124" s="17">
        <v>43738</v>
      </c>
      <c r="K124" s="3">
        <f>J124-I124+1</f>
        <v>30</v>
      </c>
      <c r="L124" s="3">
        <f>ROUND(G124*H124*K124/365,0)</f>
        <v>36986</v>
      </c>
      <c r="M124" s="3">
        <v>30000000</v>
      </c>
    </row>
    <row r="125" spans="1:13" s="16" customFormat="1" outlineLevel="2">
      <c r="A125" s="17" t="s">
        <v>16</v>
      </c>
      <c r="B125" s="18" t="s">
        <v>46</v>
      </c>
      <c r="C125" s="19" t="s">
        <v>63</v>
      </c>
      <c r="D125" s="18" t="s">
        <v>62</v>
      </c>
      <c r="E125" s="3">
        <v>35000000</v>
      </c>
      <c r="F125" s="17">
        <v>43663</v>
      </c>
      <c r="G125" s="3">
        <v>35000000</v>
      </c>
      <c r="H125" s="2">
        <v>1.4999999999999999E-2</v>
      </c>
      <c r="I125" s="17">
        <v>43709</v>
      </c>
      <c r="J125" s="17">
        <v>43738</v>
      </c>
      <c r="K125" s="3">
        <f>J125-I125+1</f>
        <v>30</v>
      </c>
      <c r="L125" s="3">
        <f>ROUND(G125*H125*K125/365,0)</f>
        <v>43151</v>
      </c>
      <c r="M125" s="3">
        <v>35000000</v>
      </c>
    </row>
    <row r="126" spans="1:13" s="16" customFormat="1" outlineLevel="2">
      <c r="A126" s="17" t="s">
        <v>16</v>
      </c>
      <c r="B126" s="18" t="s">
        <v>45</v>
      </c>
      <c r="C126" s="19" t="s">
        <v>63</v>
      </c>
      <c r="D126" s="18" t="s">
        <v>62</v>
      </c>
      <c r="E126" s="3">
        <v>40000000</v>
      </c>
      <c r="F126" s="17">
        <v>43665</v>
      </c>
      <c r="G126" s="3">
        <v>40000000</v>
      </c>
      <c r="H126" s="2">
        <v>1.4999999999999999E-2</v>
      </c>
      <c r="I126" s="17">
        <v>43709</v>
      </c>
      <c r="J126" s="17">
        <v>43738</v>
      </c>
      <c r="K126" s="3">
        <f>J126-I126+1</f>
        <v>30</v>
      </c>
      <c r="L126" s="3">
        <f>ROUND(G126*H126*K126/365,0)</f>
        <v>49315</v>
      </c>
      <c r="M126" s="3">
        <v>40000000</v>
      </c>
    </row>
    <row r="127" spans="1:13" s="16" customFormat="1" outlineLevel="2">
      <c r="A127" s="17" t="s">
        <v>16</v>
      </c>
      <c r="B127" s="18" t="s">
        <v>44</v>
      </c>
      <c r="C127" s="19" t="s">
        <v>159</v>
      </c>
      <c r="D127" s="18" t="s">
        <v>158</v>
      </c>
      <c r="E127" s="3">
        <v>31748000</v>
      </c>
      <c r="F127" s="17">
        <v>43663</v>
      </c>
      <c r="G127" s="3">
        <v>31748000</v>
      </c>
      <c r="H127" s="2">
        <v>1.4999999999999999E-2</v>
      </c>
      <c r="I127" s="17">
        <v>43709</v>
      </c>
      <c r="J127" s="17">
        <v>43738</v>
      </c>
      <c r="K127" s="3">
        <f>J127-I127+1</f>
        <v>30</v>
      </c>
      <c r="L127" s="3">
        <f>ROUND(G127*H127*K127/365,0)</f>
        <v>39141</v>
      </c>
      <c r="M127" s="3">
        <v>31748000</v>
      </c>
    </row>
    <row r="128" spans="1:13" s="16" customFormat="1" outlineLevel="1">
      <c r="A128" s="28" t="s">
        <v>32</v>
      </c>
      <c r="B128" s="21"/>
      <c r="C128" s="22"/>
      <c r="D128" s="21"/>
      <c r="E128" s="23">
        <f>SUBTOTAL(9,E114:E127)</f>
        <v>722807000</v>
      </c>
      <c r="F128" s="20"/>
      <c r="G128" s="23"/>
      <c r="H128" s="24"/>
      <c r="I128" s="20"/>
      <c r="J128" s="20"/>
      <c r="K128" s="23"/>
      <c r="L128" s="23">
        <f>SUBTOTAL(9,L114:L127)</f>
        <v>878754</v>
      </c>
      <c r="M128" s="23">
        <f>SUBTOTAL(9,M114:M127)</f>
        <v>722807000</v>
      </c>
    </row>
    <row r="129" spans="1:13" s="16" customFormat="1" outlineLevel="2">
      <c r="A129" s="17" t="s">
        <v>59</v>
      </c>
      <c r="B129" s="18" t="s">
        <v>17</v>
      </c>
      <c r="C129" s="19" t="s">
        <v>58</v>
      </c>
      <c r="D129" s="18" t="s">
        <v>57</v>
      </c>
      <c r="E129" s="3">
        <v>200000000</v>
      </c>
      <c r="F129" s="17">
        <v>43613</v>
      </c>
      <c r="G129" s="3">
        <v>200000000</v>
      </c>
      <c r="H129" s="2">
        <v>1.4999999999999999E-2</v>
      </c>
      <c r="I129" s="17">
        <v>43709</v>
      </c>
      <c r="J129" s="17">
        <v>43738</v>
      </c>
      <c r="K129" s="3">
        <f>J129-I129+1</f>
        <v>30</v>
      </c>
      <c r="L129" s="3">
        <f>ROUND(G129*H129*K129/365,0)</f>
        <v>246575</v>
      </c>
      <c r="M129" s="3">
        <v>200000000</v>
      </c>
    </row>
    <row r="130" spans="1:13" s="16" customFormat="1" outlineLevel="2">
      <c r="A130" s="17" t="s">
        <v>59</v>
      </c>
      <c r="B130" s="18" t="s">
        <v>31</v>
      </c>
      <c r="C130" s="19" t="s">
        <v>260</v>
      </c>
      <c r="D130" s="18" t="s">
        <v>259</v>
      </c>
      <c r="E130" s="3">
        <v>40000000</v>
      </c>
      <c r="F130" s="17">
        <v>43718</v>
      </c>
      <c r="G130" s="3">
        <v>40000000</v>
      </c>
      <c r="H130" s="2">
        <v>5.0000000000000001E-3</v>
      </c>
      <c r="I130" s="17">
        <v>43718</v>
      </c>
      <c r="J130" s="17">
        <v>43738</v>
      </c>
      <c r="K130" s="3">
        <f>J130-I130+1</f>
        <v>21</v>
      </c>
      <c r="L130" s="3">
        <f>ROUND(G130*H130*K130/365,0)</f>
        <v>11507</v>
      </c>
      <c r="M130" s="3">
        <v>40000000</v>
      </c>
    </row>
    <row r="131" spans="1:13" s="16" customFormat="1" outlineLevel="2">
      <c r="A131" s="17" t="s">
        <v>59</v>
      </c>
      <c r="B131" s="18" t="s">
        <v>30</v>
      </c>
      <c r="C131" s="19" t="s">
        <v>260</v>
      </c>
      <c r="D131" s="18" t="s">
        <v>259</v>
      </c>
      <c r="E131" s="3">
        <v>13200000</v>
      </c>
      <c r="F131" s="17">
        <v>43726</v>
      </c>
      <c r="G131" s="3">
        <v>13200000</v>
      </c>
      <c r="H131" s="2">
        <v>5.0000000000000001E-3</v>
      </c>
      <c r="I131" s="17">
        <v>43726</v>
      </c>
      <c r="J131" s="17">
        <v>43738</v>
      </c>
      <c r="K131" s="3">
        <f>J131-I131+1</f>
        <v>13</v>
      </c>
      <c r="L131" s="3">
        <f>ROUND(G131*H131*K131/365,0)</f>
        <v>2351</v>
      </c>
      <c r="M131" s="3">
        <v>13200000</v>
      </c>
    </row>
    <row r="132" spans="1:13" s="16" customFormat="1" outlineLevel="2">
      <c r="A132" s="17" t="s">
        <v>59</v>
      </c>
      <c r="B132" s="18" t="s">
        <v>28</v>
      </c>
      <c r="C132" s="19" t="s">
        <v>260</v>
      </c>
      <c r="D132" s="18" t="s">
        <v>259</v>
      </c>
      <c r="E132" s="3">
        <v>11540000</v>
      </c>
      <c r="F132" s="17">
        <v>43731</v>
      </c>
      <c r="G132" s="3">
        <v>11540000</v>
      </c>
      <c r="H132" s="2">
        <v>5.0000000000000001E-3</v>
      </c>
      <c r="I132" s="17">
        <v>43731</v>
      </c>
      <c r="J132" s="17">
        <v>43738</v>
      </c>
      <c r="K132" s="3">
        <f>J132-I132+1</f>
        <v>8</v>
      </c>
      <c r="L132" s="3">
        <f>ROUND(G132*H132*K132/365,0)</f>
        <v>1265</v>
      </c>
      <c r="M132" s="3">
        <v>11540000</v>
      </c>
    </row>
    <row r="133" spans="1:13" s="16" customFormat="1" outlineLevel="2">
      <c r="A133" s="17" t="s">
        <v>59</v>
      </c>
      <c r="B133" s="18" t="s">
        <v>48</v>
      </c>
      <c r="C133" s="19" t="s">
        <v>260</v>
      </c>
      <c r="D133" s="18" t="s">
        <v>259</v>
      </c>
      <c r="E133" s="3">
        <v>4340000</v>
      </c>
      <c r="F133" s="17">
        <v>43727</v>
      </c>
      <c r="G133" s="3">
        <v>4340000</v>
      </c>
      <c r="H133" s="2">
        <v>5.0000000000000001E-3</v>
      </c>
      <c r="I133" s="17">
        <v>43727</v>
      </c>
      <c r="J133" s="17">
        <v>43738</v>
      </c>
      <c r="K133" s="3">
        <f>J133-I133+1</f>
        <v>12</v>
      </c>
      <c r="L133" s="3">
        <f>ROUND(G133*H133*K133/365,0)</f>
        <v>713</v>
      </c>
      <c r="M133" s="3">
        <v>4340000</v>
      </c>
    </row>
    <row r="134" spans="1:13" s="16" customFormat="1" outlineLevel="2">
      <c r="A134" s="17" t="s">
        <v>59</v>
      </c>
      <c r="B134" s="18" t="s">
        <v>47</v>
      </c>
      <c r="C134" s="19" t="s">
        <v>260</v>
      </c>
      <c r="D134" s="18" t="s">
        <v>259</v>
      </c>
      <c r="E134" s="3">
        <v>18040000</v>
      </c>
      <c r="F134" s="17">
        <v>43727</v>
      </c>
      <c r="G134" s="3">
        <v>18040000</v>
      </c>
      <c r="H134" s="2">
        <v>5.0000000000000001E-3</v>
      </c>
      <c r="I134" s="17">
        <v>43727</v>
      </c>
      <c r="J134" s="17">
        <v>43738</v>
      </c>
      <c r="K134" s="3">
        <f>J134-I134+1</f>
        <v>12</v>
      </c>
      <c r="L134" s="3">
        <f>ROUND(G134*H134*K134/365,0)</f>
        <v>2965</v>
      </c>
      <c r="M134" s="3">
        <v>18040000</v>
      </c>
    </row>
    <row r="135" spans="1:13" s="16" customFormat="1" outlineLevel="2">
      <c r="A135" s="17" t="s">
        <v>59</v>
      </c>
      <c r="B135" s="18" t="s">
        <v>46</v>
      </c>
      <c r="C135" s="19" t="s">
        <v>260</v>
      </c>
      <c r="D135" s="18" t="s">
        <v>259</v>
      </c>
      <c r="E135" s="3">
        <v>3470000</v>
      </c>
      <c r="F135" s="17">
        <v>43727</v>
      </c>
      <c r="G135" s="3">
        <v>3470000</v>
      </c>
      <c r="H135" s="2">
        <v>5.0000000000000001E-3</v>
      </c>
      <c r="I135" s="17">
        <v>43727</v>
      </c>
      <c r="J135" s="17">
        <v>43738</v>
      </c>
      <c r="K135" s="3">
        <f>J135-I135+1</f>
        <v>12</v>
      </c>
      <c r="L135" s="3">
        <f>ROUND(G135*H135*K135/365,0)</f>
        <v>570</v>
      </c>
      <c r="M135" s="3">
        <v>3470000</v>
      </c>
    </row>
    <row r="136" spans="1:13" s="16" customFormat="1" outlineLevel="2">
      <c r="A136" s="17" t="s">
        <v>59</v>
      </c>
      <c r="B136" s="18" t="s">
        <v>45</v>
      </c>
      <c r="C136" s="19" t="s">
        <v>260</v>
      </c>
      <c r="D136" s="18" t="s">
        <v>259</v>
      </c>
      <c r="E136" s="3">
        <v>4090000</v>
      </c>
      <c r="F136" s="17">
        <v>43727</v>
      </c>
      <c r="G136" s="3">
        <v>4090000</v>
      </c>
      <c r="H136" s="2">
        <v>5.0000000000000001E-3</v>
      </c>
      <c r="I136" s="17">
        <v>43727</v>
      </c>
      <c r="J136" s="17">
        <v>43738</v>
      </c>
      <c r="K136" s="3">
        <f>J136-I136+1</f>
        <v>12</v>
      </c>
      <c r="L136" s="3">
        <f>ROUND(G136*H136*K136/365,0)</f>
        <v>672</v>
      </c>
      <c r="M136" s="3">
        <v>4090000</v>
      </c>
    </row>
    <row r="137" spans="1:13" s="16" customFormat="1" outlineLevel="1">
      <c r="A137" s="28" t="s">
        <v>56</v>
      </c>
      <c r="B137" s="21"/>
      <c r="C137" s="22"/>
      <c r="D137" s="21"/>
      <c r="E137" s="23">
        <f>SUBTOTAL(9,E129:E136)</f>
        <v>294680000</v>
      </c>
      <c r="F137" s="20"/>
      <c r="G137" s="23"/>
      <c r="H137" s="24"/>
      <c r="I137" s="20"/>
      <c r="J137" s="20"/>
      <c r="K137" s="23"/>
      <c r="L137" s="23">
        <f>SUBTOTAL(9,L129:L136)</f>
        <v>266618</v>
      </c>
      <c r="M137" s="23">
        <f>SUBTOTAL(9,M129:M136)</f>
        <v>294680000</v>
      </c>
    </row>
    <row r="138" spans="1:13" s="16" customFormat="1" outlineLevel="2">
      <c r="A138" s="17" t="s">
        <v>202</v>
      </c>
      <c r="B138" s="18" t="s">
        <v>17</v>
      </c>
      <c r="C138" s="19" t="s">
        <v>204</v>
      </c>
      <c r="D138" s="18" t="s">
        <v>203</v>
      </c>
      <c r="E138" s="3">
        <v>60000000</v>
      </c>
      <c r="F138" s="17">
        <v>43685</v>
      </c>
      <c r="G138" s="3">
        <v>60000000</v>
      </c>
      <c r="H138" s="2">
        <v>5.0000000000000001E-3</v>
      </c>
      <c r="I138" s="17">
        <v>43709</v>
      </c>
      <c r="J138" s="17">
        <v>43738</v>
      </c>
      <c r="K138" s="3">
        <f>J138-I138+1</f>
        <v>30</v>
      </c>
      <c r="L138" s="3">
        <f>ROUND(G138*H138*K138/365,0)</f>
        <v>24658</v>
      </c>
      <c r="M138" s="3">
        <v>60000000</v>
      </c>
    </row>
    <row r="139" spans="1:13" s="16" customFormat="1" outlineLevel="2">
      <c r="A139" s="17" t="s">
        <v>202</v>
      </c>
      <c r="B139" s="18" t="s">
        <v>31</v>
      </c>
      <c r="C139" s="19" t="s">
        <v>201</v>
      </c>
      <c r="D139" s="18" t="s">
        <v>200</v>
      </c>
      <c r="E139" s="3">
        <v>20700000</v>
      </c>
      <c r="F139" s="17">
        <v>43696</v>
      </c>
      <c r="G139" s="3">
        <v>20700000</v>
      </c>
      <c r="H139" s="2">
        <v>5.0000000000000001E-3</v>
      </c>
      <c r="I139" s="17">
        <v>43709</v>
      </c>
      <c r="J139" s="17">
        <v>43738</v>
      </c>
      <c r="K139" s="3">
        <f>J139-I139+1</f>
        <v>30</v>
      </c>
      <c r="L139" s="3">
        <f>ROUND(G139*H139*K139/365,0)</f>
        <v>8507</v>
      </c>
      <c r="M139" s="3">
        <v>20700000</v>
      </c>
    </row>
    <row r="140" spans="1:13" s="16" customFormat="1" outlineLevel="2">
      <c r="A140" s="17" t="s">
        <v>202</v>
      </c>
      <c r="B140" s="18" t="s">
        <v>30</v>
      </c>
      <c r="C140" s="19" t="s">
        <v>204</v>
      </c>
      <c r="D140" s="18" t="s">
        <v>203</v>
      </c>
      <c r="E140" s="3">
        <v>60000000</v>
      </c>
      <c r="F140" s="17">
        <v>43717</v>
      </c>
      <c r="G140" s="3">
        <v>60000000</v>
      </c>
      <c r="H140" s="2">
        <v>5.0000000000000001E-3</v>
      </c>
      <c r="I140" s="17">
        <v>43717</v>
      </c>
      <c r="J140" s="17">
        <v>43738</v>
      </c>
      <c r="K140" s="3">
        <f>J140-I140+1</f>
        <v>22</v>
      </c>
      <c r="L140" s="3">
        <f>ROUND(G140*H140*K140/365,0)</f>
        <v>18082</v>
      </c>
      <c r="M140" s="3">
        <v>60000000</v>
      </c>
    </row>
    <row r="141" spans="1:13" s="16" customFormat="1" outlineLevel="2">
      <c r="A141" s="17" t="s">
        <v>202</v>
      </c>
      <c r="B141" s="18" t="s">
        <v>28</v>
      </c>
      <c r="C141" s="19" t="s">
        <v>201</v>
      </c>
      <c r="D141" s="18" t="s">
        <v>200</v>
      </c>
      <c r="E141" s="3">
        <v>27200000</v>
      </c>
      <c r="F141" s="17">
        <v>43712</v>
      </c>
      <c r="G141" s="3">
        <v>27200000</v>
      </c>
      <c r="H141" s="2">
        <v>5.0000000000000001E-3</v>
      </c>
      <c r="I141" s="17">
        <v>43712</v>
      </c>
      <c r="J141" s="17">
        <v>43738</v>
      </c>
      <c r="K141" s="3">
        <f>J141-I141+1</f>
        <v>27</v>
      </c>
      <c r="L141" s="3">
        <f>ROUND(G141*H141*K141/365,0)</f>
        <v>10060</v>
      </c>
      <c r="M141" s="3">
        <v>27200000</v>
      </c>
    </row>
    <row r="142" spans="1:13" s="16" customFormat="1" outlineLevel="2">
      <c r="A142" s="17" t="s">
        <v>202</v>
      </c>
      <c r="B142" s="18" t="s">
        <v>48</v>
      </c>
      <c r="C142" s="19" t="s">
        <v>201</v>
      </c>
      <c r="D142" s="18" t="s">
        <v>200</v>
      </c>
      <c r="E142" s="3">
        <v>13180000</v>
      </c>
      <c r="F142" s="17">
        <v>43713</v>
      </c>
      <c r="G142" s="3">
        <v>13180000</v>
      </c>
      <c r="H142" s="2">
        <v>5.0000000000000001E-3</v>
      </c>
      <c r="I142" s="17">
        <v>43713</v>
      </c>
      <c r="J142" s="17">
        <v>43738</v>
      </c>
      <c r="K142" s="3">
        <f>J142-I142+1</f>
        <v>26</v>
      </c>
      <c r="L142" s="3">
        <f>ROUND(G142*H142*K142/365,0)</f>
        <v>4694</v>
      </c>
      <c r="M142" s="3">
        <v>13180000</v>
      </c>
    </row>
    <row r="143" spans="1:13" s="16" customFormat="1" outlineLevel="2">
      <c r="A143" s="17" t="s">
        <v>202</v>
      </c>
      <c r="B143" s="18" t="s">
        <v>47</v>
      </c>
      <c r="C143" s="19" t="s">
        <v>201</v>
      </c>
      <c r="D143" s="18" t="s">
        <v>200</v>
      </c>
      <c r="E143" s="3">
        <v>10600000</v>
      </c>
      <c r="F143" s="17">
        <v>43727</v>
      </c>
      <c r="G143" s="3">
        <v>10600000</v>
      </c>
      <c r="H143" s="2">
        <v>5.0000000000000001E-3</v>
      </c>
      <c r="I143" s="17">
        <v>43727</v>
      </c>
      <c r="J143" s="17">
        <v>43738</v>
      </c>
      <c r="K143" s="3">
        <f>J143-I143+1</f>
        <v>12</v>
      </c>
      <c r="L143" s="3">
        <f>ROUND(G143*H143*K143/365,0)</f>
        <v>1742</v>
      </c>
      <c r="M143" s="3">
        <v>10600000</v>
      </c>
    </row>
    <row r="144" spans="1:13" s="16" customFormat="1" outlineLevel="2">
      <c r="A144" s="17" t="s">
        <v>202</v>
      </c>
      <c r="B144" s="18" t="s">
        <v>46</v>
      </c>
      <c r="C144" s="19" t="s">
        <v>272</v>
      </c>
      <c r="D144" s="18" t="s">
        <v>271</v>
      </c>
      <c r="E144" s="3">
        <v>20000000</v>
      </c>
      <c r="F144" s="17">
        <v>43735</v>
      </c>
      <c r="G144" s="3">
        <v>20000000</v>
      </c>
      <c r="H144" s="2">
        <v>5.0000000000000001E-3</v>
      </c>
      <c r="I144" s="17">
        <v>43735</v>
      </c>
      <c r="J144" s="17">
        <v>43738</v>
      </c>
      <c r="K144" s="3">
        <f>J144-I144+1</f>
        <v>4</v>
      </c>
      <c r="L144" s="3">
        <f>ROUND(G144*H144*K144/365,0)</f>
        <v>1096</v>
      </c>
      <c r="M144" s="3">
        <v>20000000</v>
      </c>
    </row>
    <row r="145" spans="1:13" s="16" customFormat="1" outlineLevel="2">
      <c r="A145" s="17" t="s">
        <v>202</v>
      </c>
      <c r="B145" s="18" t="s">
        <v>45</v>
      </c>
      <c r="C145" s="19" t="s">
        <v>270</v>
      </c>
      <c r="D145" s="18" t="s">
        <v>269</v>
      </c>
      <c r="E145" s="3">
        <v>15680000</v>
      </c>
      <c r="F145" s="17">
        <v>43733</v>
      </c>
      <c r="G145" s="3">
        <v>15680000</v>
      </c>
      <c r="H145" s="2">
        <v>1.4999999999999999E-2</v>
      </c>
      <c r="I145" s="17">
        <v>43733</v>
      </c>
      <c r="J145" s="17">
        <v>43738</v>
      </c>
      <c r="K145" s="3">
        <f>J145-I145+1</f>
        <v>6</v>
      </c>
      <c r="L145" s="3">
        <f>ROUND(G145*H145*K145/365,0)</f>
        <v>3866</v>
      </c>
      <c r="M145" s="3">
        <v>15680000</v>
      </c>
    </row>
    <row r="146" spans="1:13" s="16" customFormat="1" outlineLevel="1">
      <c r="A146" s="28" t="s">
        <v>199</v>
      </c>
      <c r="B146" s="21"/>
      <c r="C146" s="22"/>
      <c r="D146" s="21"/>
      <c r="E146" s="23">
        <f>SUBTOTAL(9,E138:E145)</f>
        <v>227360000</v>
      </c>
      <c r="F146" s="20"/>
      <c r="G146" s="23"/>
      <c r="H146" s="24"/>
      <c r="I146" s="20"/>
      <c r="J146" s="20"/>
      <c r="K146" s="23"/>
      <c r="L146" s="23">
        <f>SUBTOTAL(9,L138:L145)</f>
        <v>72705</v>
      </c>
      <c r="M146" s="23">
        <f>SUBTOTAL(9,M138:M145)</f>
        <v>227360000</v>
      </c>
    </row>
    <row r="147" spans="1:13" s="16" customFormat="1" outlineLevel="2">
      <c r="A147" s="17" t="s">
        <v>55</v>
      </c>
      <c r="B147" s="18" t="s">
        <v>17</v>
      </c>
      <c r="C147" s="19" t="s">
        <v>54</v>
      </c>
      <c r="D147" s="18" t="s">
        <v>34</v>
      </c>
      <c r="E147" s="3">
        <v>3656000</v>
      </c>
      <c r="F147" s="17">
        <v>43633</v>
      </c>
      <c r="G147" s="3">
        <v>3656000</v>
      </c>
      <c r="H147" s="2">
        <v>1.4999999999999999E-2</v>
      </c>
      <c r="I147" s="17">
        <v>43709</v>
      </c>
      <c r="J147" s="17">
        <v>43738</v>
      </c>
      <c r="K147" s="3">
        <f>J147-I147+1</f>
        <v>30</v>
      </c>
      <c r="L147" s="3">
        <f>ROUND(G147*H147*K147/365,0)</f>
        <v>4507</v>
      </c>
      <c r="M147" s="3">
        <v>3656000</v>
      </c>
    </row>
    <row r="148" spans="1:13" s="16" customFormat="1" outlineLevel="2">
      <c r="A148" s="17" t="s">
        <v>55</v>
      </c>
      <c r="B148" s="18" t="s">
        <v>181</v>
      </c>
      <c r="C148" s="19" t="s">
        <v>51</v>
      </c>
      <c r="D148" s="18" t="s">
        <v>50</v>
      </c>
      <c r="E148" s="3">
        <v>85000000</v>
      </c>
      <c r="F148" s="17">
        <v>43672</v>
      </c>
      <c r="G148" s="3">
        <v>85000000</v>
      </c>
      <c r="H148" s="2">
        <v>1.4999999999999999E-2</v>
      </c>
      <c r="I148" s="17">
        <v>43709</v>
      </c>
      <c r="J148" s="17">
        <v>43738</v>
      </c>
      <c r="K148" s="3">
        <f>J148-I148+1</f>
        <v>30</v>
      </c>
      <c r="L148" s="3">
        <f>ROUND(G148*H148*K148/365,0)</f>
        <v>104795</v>
      </c>
      <c r="M148" s="3">
        <v>85000000</v>
      </c>
    </row>
    <row r="149" spans="1:13" s="16" customFormat="1" outlineLevel="2">
      <c r="A149" s="17" t="s">
        <v>55</v>
      </c>
      <c r="B149" s="18" t="s">
        <v>180</v>
      </c>
      <c r="C149" s="19" t="s">
        <v>51</v>
      </c>
      <c r="D149" s="18" t="s">
        <v>50</v>
      </c>
      <c r="E149" s="3">
        <v>15000000</v>
      </c>
      <c r="F149" s="17">
        <v>43677</v>
      </c>
      <c r="G149" s="3">
        <v>15000000</v>
      </c>
      <c r="H149" s="2">
        <v>1.4999999999999999E-2</v>
      </c>
      <c r="I149" s="17">
        <v>43709</v>
      </c>
      <c r="J149" s="17">
        <v>43738</v>
      </c>
      <c r="K149" s="3">
        <f>J149-I149+1</f>
        <v>30</v>
      </c>
      <c r="L149" s="3">
        <f>ROUND(G149*H149*K149/365,0)</f>
        <v>18493</v>
      </c>
      <c r="M149" s="3">
        <v>15000000</v>
      </c>
    </row>
    <row r="150" spans="1:13" s="16" customFormat="1" outlineLevel="2">
      <c r="A150" s="17" t="s">
        <v>55</v>
      </c>
      <c r="B150" s="18" t="s">
        <v>179</v>
      </c>
      <c r="C150" s="19" t="s">
        <v>51</v>
      </c>
      <c r="D150" s="18" t="s">
        <v>50</v>
      </c>
      <c r="E150" s="3">
        <v>96000000</v>
      </c>
      <c r="F150" s="17">
        <v>43650</v>
      </c>
      <c r="G150" s="3">
        <v>96000000</v>
      </c>
      <c r="H150" s="2">
        <v>1.4999999999999999E-2</v>
      </c>
      <c r="I150" s="17">
        <v>43709</v>
      </c>
      <c r="J150" s="17">
        <v>43738</v>
      </c>
      <c r="K150" s="3">
        <f>J150-I150+1</f>
        <v>30</v>
      </c>
      <c r="L150" s="3">
        <f>ROUND(G150*H150*K150/365,0)</f>
        <v>118356</v>
      </c>
      <c r="M150" s="3">
        <v>96000000</v>
      </c>
    </row>
    <row r="151" spans="1:13" s="16" customFormat="1" outlineLevel="2">
      <c r="A151" s="17" t="s">
        <v>55</v>
      </c>
      <c r="B151" s="18" t="s">
        <v>178</v>
      </c>
      <c r="C151" s="19" t="s">
        <v>51</v>
      </c>
      <c r="D151" s="18" t="s">
        <v>50</v>
      </c>
      <c r="E151" s="3">
        <v>347000000</v>
      </c>
      <c r="F151" s="17">
        <v>43656</v>
      </c>
      <c r="G151" s="3">
        <v>347000000</v>
      </c>
      <c r="H151" s="2">
        <v>1.4999999999999999E-2</v>
      </c>
      <c r="I151" s="17">
        <v>43709</v>
      </c>
      <c r="J151" s="17">
        <v>43738</v>
      </c>
      <c r="K151" s="3">
        <f>J151-I151+1</f>
        <v>30</v>
      </c>
      <c r="L151" s="3">
        <f>ROUND(G151*H151*K151/365,0)</f>
        <v>427808</v>
      </c>
      <c r="M151" s="3">
        <v>347000000</v>
      </c>
    </row>
    <row r="152" spans="1:13" s="16" customFormat="1" outlineLevel="2">
      <c r="A152" s="17" t="s">
        <v>55</v>
      </c>
      <c r="B152" s="18" t="s">
        <v>177</v>
      </c>
      <c r="C152" s="19" t="s">
        <v>159</v>
      </c>
      <c r="D152" s="18" t="s">
        <v>158</v>
      </c>
      <c r="E152" s="3">
        <v>93146000</v>
      </c>
      <c r="F152" s="17">
        <v>43663</v>
      </c>
      <c r="G152" s="3">
        <v>93146000</v>
      </c>
      <c r="H152" s="2">
        <v>1.4999999999999999E-2</v>
      </c>
      <c r="I152" s="17">
        <v>43709</v>
      </c>
      <c r="J152" s="17">
        <v>43738</v>
      </c>
      <c r="K152" s="3">
        <f>J152-I152+1</f>
        <v>30</v>
      </c>
      <c r="L152" s="3">
        <f>ROUND(G152*H152*K152/365,0)</f>
        <v>114838</v>
      </c>
      <c r="M152" s="3">
        <v>93146000</v>
      </c>
    </row>
    <row r="153" spans="1:13" s="16" customFormat="1" outlineLevel="2">
      <c r="A153" s="17" t="s">
        <v>55</v>
      </c>
      <c r="B153" s="18" t="s">
        <v>176</v>
      </c>
      <c r="C153" s="19" t="s">
        <v>159</v>
      </c>
      <c r="D153" s="18" t="s">
        <v>158</v>
      </c>
      <c r="E153" s="3">
        <v>44447000</v>
      </c>
      <c r="F153" s="17">
        <v>43663</v>
      </c>
      <c r="G153" s="3">
        <v>44447000</v>
      </c>
      <c r="H153" s="2">
        <v>1.4999999999999999E-2</v>
      </c>
      <c r="I153" s="17">
        <v>43709</v>
      </c>
      <c r="J153" s="17">
        <v>43738</v>
      </c>
      <c r="K153" s="3">
        <f>J153-I153+1</f>
        <v>30</v>
      </c>
      <c r="L153" s="3">
        <f>ROUND(G153*H153*K153/365,0)</f>
        <v>54798</v>
      </c>
      <c r="M153" s="3">
        <v>44447000</v>
      </c>
    </row>
    <row r="154" spans="1:13" s="16" customFormat="1" outlineLevel="2">
      <c r="A154" s="17" t="s">
        <v>55</v>
      </c>
      <c r="B154" s="18" t="s">
        <v>175</v>
      </c>
      <c r="C154" s="19" t="s">
        <v>183</v>
      </c>
      <c r="D154" s="18" t="s">
        <v>182</v>
      </c>
      <c r="E154" s="3">
        <v>21200000</v>
      </c>
      <c r="F154" s="17">
        <v>43672</v>
      </c>
      <c r="G154" s="3">
        <v>21200000</v>
      </c>
      <c r="H154" s="2">
        <v>5.0000000000000001E-3</v>
      </c>
      <c r="I154" s="17">
        <v>43709</v>
      </c>
      <c r="J154" s="17">
        <v>43738</v>
      </c>
      <c r="K154" s="3">
        <f>J154-I154+1</f>
        <v>30</v>
      </c>
      <c r="L154" s="3">
        <f>ROUND(G154*H154*K154/365,0)</f>
        <v>8712</v>
      </c>
      <c r="M154" s="3">
        <v>21200000</v>
      </c>
    </row>
    <row r="155" spans="1:13" s="16" customFormat="1" outlineLevel="2">
      <c r="A155" s="17" t="s">
        <v>55</v>
      </c>
      <c r="B155" s="18" t="s">
        <v>174</v>
      </c>
      <c r="C155" s="19" t="s">
        <v>43</v>
      </c>
      <c r="D155" s="18" t="s">
        <v>26</v>
      </c>
      <c r="E155" s="3">
        <v>1858500</v>
      </c>
      <c r="F155" s="17">
        <v>43675</v>
      </c>
      <c r="G155" s="3">
        <v>1858500</v>
      </c>
      <c r="H155" s="2">
        <v>1.4999999999999999E-2</v>
      </c>
      <c r="I155" s="17">
        <v>43709</v>
      </c>
      <c r="J155" s="17">
        <v>43738</v>
      </c>
      <c r="K155" s="3">
        <f>J155-I155+1</f>
        <v>30</v>
      </c>
      <c r="L155" s="3">
        <f>ROUND(G155*H155*K155/365,0)</f>
        <v>2291</v>
      </c>
      <c r="M155" s="3">
        <v>1858500</v>
      </c>
    </row>
    <row r="156" spans="1:13" s="16" customFormat="1" outlineLevel="2">
      <c r="A156" s="17" t="s">
        <v>55</v>
      </c>
      <c r="B156" s="18" t="s">
        <v>171</v>
      </c>
      <c r="C156" s="19" t="s">
        <v>198</v>
      </c>
      <c r="D156" s="18" t="s">
        <v>197</v>
      </c>
      <c r="E156" s="3">
        <v>980000000</v>
      </c>
      <c r="F156" s="17">
        <v>43671</v>
      </c>
      <c r="G156" s="3">
        <v>980000000</v>
      </c>
      <c r="H156" s="2">
        <v>1.4999999999999999E-2</v>
      </c>
      <c r="I156" s="17">
        <v>43709</v>
      </c>
      <c r="J156" s="17">
        <v>43738</v>
      </c>
      <c r="K156" s="3">
        <f>J156-I156+1</f>
        <v>30</v>
      </c>
      <c r="L156" s="3">
        <f>ROUND(G156*H156*K156/365,0)</f>
        <v>1208219</v>
      </c>
      <c r="M156" s="3">
        <v>980000000</v>
      </c>
    </row>
    <row r="157" spans="1:13" s="16" customFormat="1" outlineLevel="2">
      <c r="A157" s="17" t="s">
        <v>55</v>
      </c>
      <c r="B157" s="18" t="s">
        <v>170</v>
      </c>
      <c r="C157" s="19" t="s">
        <v>188</v>
      </c>
      <c r="D157" s="18" t="s">
        <v>187</v>
      </c>
      <c r="E157" s="3">
        <v>7302000</v>
      </c>
      <c r="F157" s="17">
        <v>43661</v>
      </c>
      <c r="G157" s="3">
        <v>7302000</v>
      </c>
      <c r="H157" s="2">
        <v>1.4999999999999999E-2</v>
      </c>
      <c r="I157" s="17">
        <v>43709</v>
      </c>
      <c r="J157" s="17">
        <v>43738</v>
      </c>
      <c r="K157" s="3">
        <f>J157-I157+1</f>
        <v>30</v>
      </c>
      <c r="L157" s="3">
        <f>ROUND(G157*H157*K157/365,0)</f>
        <v>9002</v>
      </c>
      <c r="M157" s="3">
        <v>7302000</v>
      </c>
    </row>
    <row r="158" spans="1:13" s="16" customFormat="1" outlineLevel="2">
      <c r="A158" s="17" t="s">
        <v>55</v>
      </c>
      <c r="B158" s="18" t="s">
        <v>31</v>
      </c>
      <c r="C158" s="19" t="s">
        <v>54</v>
      </c>
      <c r="D158" s="18" t="s">
        <v>34</v>
      </c>
      <c r="E158" s="3">
        <v>11202000</v>
      </c>
      <c r="F158" s="17">
        <v>43641</v>
      </c>
      <c r="G158" s="3">
        <v>11202000</v>
      </c>
      <c r="H158" s="2">
        <v>1.4999999999999999E-2</v>
      </c>
      <c r="I158" s="17">
        <v>43709</v>
      </c>
      <c r="J158" s="17">
        <v>43738</v>
      </c>
      <c r="K158" s="3">
        <f>J158-I158+1</f>
        <v>30</v>
      </c>
      <c r="L158" s="3">
        <f>ROUND(G158*H158*K158/365,0)</f>
        <v>13811</v>
      </c>
      <c r="M158" s="3">
        <v>11202000</v>
      </c>
    </row>
    <row r="159" spans="1:13" s="16" customFormat="1" outlineLevel="2">
      <c r="A159" s="17" t="s">
        <v>55</v>
      </c>
      <c r="B159" s="18" t="s">
        <v>169</v>
      </c>
      <c r="C159" s="19" t="s">
        <v>188</v>
      </c>
      <c r="D159" s="18" t="s">
        <v>187</v>
      </c>
      <c r="E159" s="3">
        <v>98492000</v>
      </c>
      <c r="F159" s="17">
        <v>43661</v>
      </c>
      <c r="G159" s="3">
        <v>98492000</v>
      </c>
      <c r="H159" s="2">
        <v>1.4999999999999999E-2</v>
      </c>
      <c r="I159" s="17">
        <v>43709</v>
      </c>
      <c r="J159" s="17">
        <v>43738</v>
      </c>
      <c r="K159" s="3">
        <f>J159-I159+1</f>
        <v>30</v>
      </c>
      <c r="L159" s="3">
        <f>ROUND(G159*H159*K159/365,0)</f>
        <v>121428</v>
      </c>
      <c r="M159" s="3">
        <v>98492000</v>
      </c>
    </row>
    <row r="160" spans="1:13" s="16" customFormat="1" outlineLevel="2">
      <c r="A160" s="17" t="s">
        <v>55</v>
      </c>
      <c r="B160" s="18" t="s">
        <v>168</v>
      </c>
      <c r="C160" s="19" t="s">
        <v>54</v>
      </c>
      <c r="D160" s="18" t="s">
        <v>34</v>
      </c>
      <c r="E160" s="3">
        <v>23686000</v>
      </c>
      <c r="F160" s="17">
        <v>43682</v>
      </c>
      <c r="G160" s="3">
        <v>23686000</v>
      </c>
      <c r="H160" s="2">
        <v>1.4999999999999999E-2</v>
      </c>
      <c r="I160" s="17">
        <v>43709</v>
      </c>
      <c r="J160" s="17">
        <v>43738</v>
      </c>
      <c r="K160" s="3">
        <f>J160-I160+1</f>
        <v>30</v>
      </c>
      <c r="L160" s="3">
        <f>ROUND(G160*H160*K160/365,0)</f>
        <v>29202</v>
      </c>
      <c r="M160" s="3">
        <v>23686000</v>
      </c>
    </row>
    <row r="161" spans="1:13" s="16" customFormat="1" outlineLevel="2">
      <c r="A161" s="17" t="s">
        <v>55</v>
      </c>
      <c r="B161" s="18" t="s">
        <v>167</v>
      </c>
      <c r="C161" s="19" t="s">
        <v>54</v>
      </c>
      <c r="D161" s="18" t="s">
        <v>34</v>
      </c>
      <c r="E161" s="3">
        <v>3080000</v>
      </c>
      <c r="F161" s="17">
        <v>43692</v>
      </c>
      <c r="G161" s="3">
        <v>3080000</v>
      </c>
      <c r="H161" s="2">
        <v>1.4999999999999999E-2</v>
      </c>
      <c r="I161" s="17">
        <v>43709</v>
      </c>
      <c r="J161" s="17">
        <v>43738</v>
      </c>
      <c r="K161" s="3">
        <f>J161-I161+1</f>
        <v>30</v>
      </c>
      <c r="L161" s="3">
        <f>ROUND(G161*H161*K161/365,0)</f>
        <v>3797</v>
      </c>
      <c r="M161" s="3">
        <v>3080000</v>
      </c>
    </row>
    <row r="162" spans="1:13" s="16" customFormat="1" outlineLevel="2">
      <c r="A162" s="17" t="s">
        <v>55</v>
      </c>
      <c r="B162" s="18" t="s">
        <v>166</v>
      </c>
      <c r="C162" s="19" t="s">
        <v>54</v>
      </c>
      <c r="D162" s="18" t="s">
        <v>34</v>
      </c>
      <c r="E162" s="3">
        <v>1506000</v>
      </c>
      <c r="F162" s="17">
        <v>43696</v>
      </c>
      <c r="G162" s="3">
        <v>1506000</v>
      </c>
      <c r="H162" s="2">
        <v>1.4999999999999999E-2</v>
      </c>
      <c r="I162" s="17">
        <v>43709</v>
      </c>
      <c r="J162" s="17">
        <v>43738</v>
      </c>
      <c r="K162" s="3">
        <f>J162-I162+1</f>
        <v>30</v>
      </c>
      <c r="L162" s="3">
        <f>ROUND(G162*H162*K162/365,0)</f>
        <v>1857</v>
      </c>
      <c r="M162" s="3">
        <v>1506000</v>
      </c>
    </row>
    <row r="163" spans="1:13" s="16" customFormat="1" outlineLevel="2">
      <c r="A163" s="17" t="s">
        <v>55</v>
      </c>
      <c r="B163" s="18" t="s">
        <v>165</v>
      </c>
      <c r="C163" s="19" t="s">
        <v>54</v>
      </c>
      <c r="D163" s="18" t="s">
        <v>34</v>
      </c>
      <c r="E163" s="3">
        <v>12655000</v>
      </c>
      <c r="F163" s="17">
        <v>43703</v>
      </c>
      <c r="G163" s="3">
        <v>12655000</v>
      </c>
      <c r="H163" s="2">
        <v>1.4999999999999999E-2</v>
      </c>
      <c r="I163" s="17">
        <v>43709</v>
      </c>
      <c r="J163" s="17">
        <v>43738</v>
      </c>
      <c r="K163" s="3">
        <f>J163-I163+1</f>
        <v>30</v>
      </c>
      <c r="L163" s="3">
        <f>ROUND(G163*H163*K163/365,0)</f>
        <v>15602</v>
      </c>
      <c r="M163" s="3">
        <v>12655000</v>
      </c>
    </row>
    <row r="164" spans="1:13" s="16" customFormat="1" outlineLevel="2">
      <c r="A164" s="17" t="s">
        <v>55</v>
      </c>
      <c r="B164" s="18" t="s">
        <v>164</v>
      </c>
      <c r="C164" s="19" t="s">
        <v>51</v>
      </c>
      <c r="D164" s="18" t="s">
        <v>50</v>
      </c>
      <c r="E164" s="3">
        <v>45000000</v>
      </c>
      <c r="F164" s="17">
        <v>43698</v>
      </c>
      <c r="G164" s="3">
        <v>45000000</v>
      </c>
      <c r="H164" s="2">
        <v>1.4999999999999999E-2</v>
      </c>
      <c r="I164" s="17">
        <v>43709</v>
      </c>
      <c r="J164" s="17">
        <v>43738</v>
      </c>
      <c r="K164" s="3">
        <f>J164-I164+1</f>
        <v>30</v>
      </c>
      <c r="L164" s="3">
        <f>ROUND(G164*H164*K164/365,0)</f>
        <v>55479</v>
      </c>
      <c r="M164" s="3">
        <v>45000000</v>
      </c>
    </row>
    <row r="165" spans="1:13" s="16" customFormat="1" outlineLevel="2">
      <c r="A165" s="17" t="s">
        <v>55</v>
      </c>
      <c r="B165" s="18" t="s">
        <v>161</v>
      </c>
      <c r="C165" s="19" t="s">
        <v>159</v>
      </c>
      <c r="D165" s="18" t="s">
        <v>158</v>
      </c>
      <c r="E165" s="3">
        <v>21241000</v>
      </c>
      <c r="F165" s="17">
        <v>43693</v>
      </c>
      <c r="G165" s="3">
        <v>21241000</v>
      </c>
      <c r="H165" s="2">
        <v>1.4999999999999999E-2</v>
      </c>
      <c r="I165" s="17">
        <v>43709</v>
      </c>
      <c r="J165" s="17">
        <v>43738</v>
      </c>
      <c r="K165" s="3">
        <f>J165-I165+1</f>
        <v>30</v>
      </c>
      <c r="L165" s="3">
        <f>ROUND(G165*H165*K165/365,0)</f>
        <v>26188</v>
      </c>
      <c r="M165" s="3">
        <v>21241000</v>
      </c>
    </row>
    <row r="166" spans="1:13" s="16" customFormat="1" outlineLevel="2">
      <c r="A166" s="17" t="s">
        <v>55</v>
      </c>
      <c r="B166" s="18" t="s">
        <v>160</v>
      </c>
      <c r="C166" s="19" t="s">
        <v>159</v>
      </c>
      <c r="D166" s="18" t="s">
        <v>158</v>
      </c>
      <c r="E166" s="3">
        <v>7741000</v>
      </c>
      <c r="F166" s="17">
        <v>43693</v>
      </c>
      <c r="G166" s="3">
        <v>7741000</v>
      </c>
      <c r="H166" s="2">
        <v>1.4999999999999999E-2</v>
      </c>
      <c r="I166" s="17">
        <v>43709</v>
      </c>
      <c r="J166" s="17">
        <v>43738</v>
      </c>
      <c r="K166" s="3">
        <f>J166-I166+1</f>
        <v>30</v>
      </c>
      <c r="L166" s="3">
        <f>ROUND(G166*H166*K166/365,0)</f>
        <v>9544</v>
      </c>
      <c r="M166" s="3">
        <v>7741000</v>
      </c>
    </row>
    <row r="167" spans="1:13" s="16" customFormat="1" outlineLevel="2">
      <c r="A167" s="17" t="s">
        <v>55</v>
      </c>
      <c r="B167" s="18" t="s">
        <v>157</v>
      </c>
      <c r="C167" s="19" t="s">
        <v>183</v>
      </c>
      <c r="D167" s="18" t="s">
        <v>182</v>
      </c>
      <c r="E167" s="3">
        <v>14360000</v>
      </c>
      <c r="F167" s="17">
        <v>43696</v>
      </c>
      <c r="G167" s="3">
        <v>14360000</v>
      </c>
      <c r="H167" s="2">
        <v>5.0000000000000001E-3</v>
      </c>
      <c r="I167" s="17">
        <v>43709</v>
      </c>
      <c r="J167" s="17">
        <v>43738</v>
      </c>
      <c r="K167" s="3">
        <f>J167-I167+1</f>
        <v>30</v>
      </c>
      <c r="L167" s="3">
        <f>ROUND(G167*H167*K167/365,0)</f>
        <v>5901</v>
      </c>
      <c r="M167" s="3">
        <v>14360000</v>
      </c>
    </row>
    <row r="168" spans="1:13" s="16" customFormat="1" outlineLevel="2">
      <c r="A168" s="17" t="s">
        <v>55</v>
      </c>
      <c r="B168" s="18" t="s">
        <v>156</v>
      </c>
      <c r="C168" s="19" t="s">
        <v>183</v>
      </c>
      <c r="D168" s="18" t="s">
        <v>182</v>
      </c>
      <c r="E168" s="3">
        <v>10871559</v>
      </c>
      <c r="F168" s="17">
        <v>43684</v>
      </c>
      <c r="G168" s="3">
        <v>10871559</v>
      </c>
      <c r="H168" s="2">
        <v>5.0000000000000001E-3</v>
      </c>
      <c r="I168" s="17">
        <v>43709</v>
      </c>
      <c r="J168" s="17">
        <v>43738</v>
      </c>
      <c r="K168" s="3">
        <f>J168-I168+1</f>
        <v>30</v>
      </c>
      <c r="L168" s="3">
        <f>ROUND(G168*H168*K168/365,0)</f>
        <v>4468</v>
      </c>
      <c r="M168" s="3">
        <v>10871559</v>
      </c>
    </row>
    <row r="169" spans="1:13" s="16" customFormat="1" outlineLevel="2">
      <c r="A169" s="17" t="s">
        <v>55</v>
      </c>
      <c r="B169" s="18" t="s">
        <v>30</v>
      </c>
      <c r="C169" s="19" t="s">
        <v>54</v>
      </c>
      <c r="D169" s="18" t="s">
        <v>34</v>
      </c>
      <c r="E169" s="3">
        <v>2382000</v>
      </c>
      <c r="F169" s="17">
        <v>43647</v>
      </c>
      <c r="G169" s="3">
        <v>2382000</v>
      </c>
      <c r="H169" s="2">
        <v>1.4999999999999999E-2</v>
      </c>
      <c r="I169" s="17">
        <v>43709</v>
      </c>
      <c r="J169" s="17">
        <v>43738</v>
      </c>
      <c r="K169" s="3">
        <f>J169-I169+1</f>
        <v>30</v>
      </c>
      <c r="L169" s="3">
        <f>ROUND(G169*H169*K169/365,0)</f>
        <v>2937</v>
      </c>
      <c r="M169" s="3">
        <v>2382000</v>
      </c>
    </row>
    <row r="170" spans="1:13" s="16" customFormat="1" outlineLevel="2">
      <c r="A170" s="17" t="s">
        <v>55</v>
      </c>
      <c r="B170" s="18" t="s">
        <v>155</v>
      </c>
      <c r="C170" s="19" t="s">
        <v>183</v>
      </c>
      <c r="D170" s="18" t="s">
        <v>182</v>
      </c>
      <c r="E170" s="3">
        <v>7669734</v>
      </c>
      <c r="F170" s="17">
        <v>43684</v>
      </c>
      <c r="G170" s="3">
        <v>7669734</v>
      </c>
      <c r="H170" s="2">
        <v>5.0000000000000001E-3</v>
      </c>
      <c r="I170" s="17">
        <v>43709</v>
      </c>
      <c r="J170" s="17">
        <v>43738</v>
      </c>
      <c r="K170" s="3">
        <f>J170-I170+1</f>
        <v>30</v>
      </c>
      <c r="L170" s="3">
        <f>ROUND(G170*H170*K170/365,0)</f>
        <v>3152</v>
      </c>
      <c r="M170" s="3">
        <v>7669734</v>
      </c>
    </row>
    <row r="171" spans="1:13" s="16" customFormat="1" outlineLevel="2">
      <c r="A171" s="17" t="s">
        <v>55</v>
      </c>
      <c r="B171" s="18" t="s">
        <v>154</v>
      </c>
      <c r="C171" s="19" t="s">
        <v>183</v>
      </c>
      <c r="D171" s="18" t="s">
        <v>182</v>
      </c>
      <c r="E171" s="3">
        <v>10512413</v>
      </c>
      <c r="F171" s="17">
        <v>43689</v>
      </c>
      <c r="G171" s="3">
        <v>10512413</v>
      </c>
      <c r="H171" s="2">
        <v>5.0000000000000001E-3</v>
      </c>
      <c r="I171" s="17">
        <v>43709</v>
      </c>
      <c r="J171" s="17">
        <v>43738</v>
      </c>
      <c r="K171" s="3">
        <f>J171-I171+1</f>
        <v>30</v>
      </c>
      <c r="L171" s="3">
        <f>ROUND(G171*H171*K171/365,0)</f>
        <v>4320</v>
      </c>
      <c r="M171" s="3">
        <v>10512413</v>
      </c>
    </row>
    <row r="172" spans="1:13" s="16" customFormat="1" outlineLevel="2">
      <c r="A172" s="17" t="s">
        <v>55</v>
      </c>
      <c r="B172" s="18" t="s">
        <v>153</v>
      </c>
      <c r="C172" s="19" t="s">
        <v>183</v>
      </c>
      <c r="D172" s="18" t="s">
        <v>182</v>
      </c>
      <c r="E172" s="3">
        <v>10012074</v>
      </c>
      <c r="F172" s="17">
        <v>43705</v>
      </c>
      <c r="G172" s="3">
        <v>10012074</v>
      </c>
      <c r="H172" s="2">
        <v>5.0000000000000001E-3</v>
      </c>
      <c r="I172" s="17">
        <v>43709</v>
      </c>
      <c r="J172" s="17">
        <v>43738</v>
      </c>
      <c r="K172" s="3">
        <f>J172-I172+1</f>
        <v>30</v>
      </c>
      <c r="L172" s="3">
        <f>ROUND(G172*H172*K172/365,0)</f>
        <v>4115</v>
      </c>
      <c r="M172" s="3">
        <v>10012074</v>
      </c>
    </row>
    <row r="173" spans="1:13" s="16" customFormat="1" outlineLevel="2">
      <c r="A173" s="17" t="s">
        <v>55</v>
      </c>
      <c r="B173" s="18" t="s">
        <v>152</v>
      </c>
      <c r="C173" s="19" t="s">
        <v>43</v>
      </c>
      <c r="D173" s="18" t="s">
        <v>26</v>
      </c>
      <c r="E173" s="3">
        <v>18630500</v>
      </c>
      <c r="F173" s="17">
        <v>43685</v>
      </c>
      <c r="G173" s="3">
        <v>18630500</v>
      </c>
      <c r="H173" s="2">
        <v>1.4999999999999999E-2</v>
      </c>
      <c r="I173" s="17">
        <v>43709</v>
      </c>
      <c r="J173" s="17">
        <v>43738</v>
      </c>
      <c r="K173" s="3">
        <f>J173-I173+1</f>
        <v>30</v>
      </c>
      <c r="L173" s="3">
        <f>ROUND(G173*H173*K173/365,0)</f>
        <v>22969</v>
      </c>
      <c r="M173" s="3">
        <v>18630500</v>
      </c>
    </row>
    <row r="174" spans="1:13" s="16" customFormat="1" outlineLevel="2">
      <c r="A174" s="17" t="s">
        <v>55</v>
      </c>
      <c r="B174" s="18" t="s">
        <v>151</v>
      </c>
      <c r="C174" s="19" t="s">
        <v>43</v>
      </c>
      <c r="D174" s="18" t="s">
        <v>26</v>
      </c>
      <c r="E174" s="3">
        <v>54790672</v>
      </c>
      <c r="F174" s="17">
        <v>43696</v>
      </c>
      <c r="G174" s="3">
        <v>54790672</v>
      </c>
      <c r="H174" s="2">
        <v>1.4999999999999999E-2</v>
      </c>
      <c r="I174" s="17">
        <v>43709</v>
      </c>
      <c r="J174" s="17">
        <v>43738</v>
      </c>
      <c r="K174" s="3">
        <f>J174-I174+1</f>
        <v>30</v>
      </c>
      <c r="L174" s="3">
        <f>ROUND(G174*H174*K174/365,0)</f>
        <v>67550</v>
      </c>
      <c r="M174" s="3">
        <v>54790672</v>
      </c>
    </row>
    <row r="175" spans="1:13" s="16" customFormat="1" outlineLevel="2">
      <c r="A175" s="17" t="s">
        <v>55</v>
      </c>
      <c r="B175" s="18" t="s">
        <v>196</v>
      </c>
      <c r="C175" s="19" t="s">
        <v>43</v>
      </c>
      <c r="D175" s="18" t="s">
        <v>26</v>
      </c>
      <c r="E175" s="3">
        <v>13244438</v>
      </c>
      <c r="F175" s="17">
        <v>43705</v>
      </c>
      <c r="G175" s="3">
        <v>13244438</v>
      </c>
      <c r="H175" s="2">
        <v>1.4999999999999999E-2</v>
      </c>
      <c r="I175" s="17">
        <v>43709</v>
      </c>
      <c r="J175" s="17">
        <v>43738</v>
      </c>
      <c r="K175" s="3">
        <f>J175-I175+1</f>
        <v>30</v>
      </c>
      <c r="L175" s="3">
        <f>ROUND(G175*H175*K175/365,0)</f>
        <v>16329</v>
      </c>
      <c r="M175" s="3">
        <v>13244438</v>
      </c>
    </row>
    <row r="176" spans="1:13" s="16" customFormat="1" outlineLevel="2">
      <c r="A176" s="17" t="s">
        <v>55</v>
      </c>
      <c r="B176" s="18" t="s">
        <v>195</v>
      </c>
      <c r="C176" s="19" t="s">
        <v>43</v>
      </c>
      <c r="D176" s="18" t="s">
        <v>26</v>
      </c>
      <c r="E176" s="3">
        <v>6140736</v>
      </c>
      <c r="F176" s="17">
        <v>43685</v>
      </c>
      <c r="G176" s="3">
        <v>6140736</v>
      </c>
      <c r="H176" s="2">
        <v>1.4999999999999999E-2</v>
      </c>
      <c r="I176" s="17">
        <v>43709</v>
      </c>
      <c r="J176" s="17">
        <v>43738</v>
      </c>
      <c r="K176" s="3">
        <f>J176-I176+1</f>
        <v>30</v>
      </c>
      <c r="L176" s="3">
        <f>ROUND(G176*H176*K176/365,0)</f>
        <v>7571</v>
      </c>
      <c r="M176" s="3">
        <v>6140736</v>
      </c>
    </row>
    <row r="177" spans="1:13" s="16" customFormat="1" outlineLevel="2">
      <c r="A177" s="17" t="s">
        <v>55</v>
      </c>
      <c r="B177" s="18" t="s">
        <v>194</v>
      </c>
      <c r="C177" s="19" t="s">
        <v>43</v>
      </c>
      <c r="D177" s="18" t="s">
        <v>26</v>
      </c>
      <c r="E177" s="3">
        <v>5716241</v>
      </c>
      <c r="F177" s="17">
        <v>43696</v>
      </c>
      <c r="G177" s="3">
        <v>5716241</v>
      </c>
      <c r="H177" s="2">
        <v>1.4999999999999999E-2</v>
      </c>
      <c r="I177" s="17">
        <v>43709</v>
      </c>
      <c r="J177" s="17">
        <v>43738</v>
      </c>
      <c r="K177" s="3">
        <f>J177-I177+1</f>
        <v>30</v>
      </c>
      <c r="L177" s="3">
        <f>ROUND(G177*H177*K177/365,0)</f>
        <v>7047</v>
      </c>
      <c r="M177" s="3">
        <v>5716241</v>
      </c>
    </row>
    <row r="178" spans="1:13" s="16" customFormat="1" outlineLevel="2">
      <c r="A178" s="17" t="s">
        <v>55</v>
      </c>
      <c r="B178" s="18" t="s">
        <v>193</v>
      </c>
      <c r="C178" s="19" t="s">
        <v>43</v>
      </c>
      <c r="D178" s="18" t="s">
        <v>26</v>
      </c>
      <c r="E178" s="3">
        <v>10167768</v>
      </c>
      <c r="F178" s="17">
        <v>43705</v>
      </c>
      <c r="G178" s="3">
        <v>10167768</v>
      </c>
      <c r="H178" s="2">
        <v>1.4999999999999999E-2</v>
      </c>
      <c r="I178" s="17">
        <v>43709</v>
      </c>
      <c r="J178" s="17">
        <v>43738</v>
      </c>
      <c r="K178" s="3">
        <f>J178-I178+1</f>
        <v>30</v>
      </c>
      <c r="L178" s="3">
        <f>ROUND(G178*H178*K178/365,0)</f>
        <v>12536</v>
      </c>
      <c r="M178" s="3">
        <v>10167768</v>
      </c>
    </row>
    <row r="179" spans="1:13" s="16" customFormat="1" outlineLevel="2">
      <c r="A179" s="17" t="s">
        <v>55</v>
      </c>
      <c r="B179" s="18" t="s">
        <v>192</v>
      </c>
      <c r="C179" s="19" t="s">
        <v>188</v>
      </c>
      <c r="D179" s="18" t="s">
        <v>187</v>
      </c>
      <c r="E179" s="3">
        <v>19530000</v>
      </c>
      <c r="F179" s="17">
        <v>43692</v>
      </c>
      <c r="G179" s="3">
        <v>19530000</v>
      </c>
      <c r="H179" s="2">
        <v>1.4999999999999999E-2</v>
      </c>
      <c r="I179" s="17">
        <v>43709</v>
      </c>
      <c r="J179" s="17">
        <v>43738</v>
      </c>
      <c r="K179" s="3">
        <f>J179-I179+1</f>
        <v>30</v>
      </c>
      <c r="L179" s="3">
        <f>ROUND(G179*H179*K179/365,0)</f>
        <v>24078</v>
      </c>
      <c r="M179" s="3">
        <v>19530000</v>
      </c>
    </row>
    <row r="180" spans="1:13" s="16" customFormat="1" outlineLevel="2">
      <c r="A180" s="17" t="s">
        <v>55</v>
      </c>
      <c r="B180" s="18" t="s">
        <v>28</v>
      </c>
      <c r="C180" s="19" t="s">
        <v>54</v>
      </c>
      <c r="D180" s="18" t="s">
        <v>34</v>
      </c>
      <c r="E180" s="3">
        <v>25917000</v>
      </c>
      <c r="F180" s="17">
        <v>43651</v>
      </c>
      <c r="G180" s="3">
        <v>25917000</v>
      </c>
      <c r="H180" s="2">
        <v>1.4999999999999999E-2</v>
      </c>
      <c r="I180" s="17">
        <v>43709</v>
      </c>
      <c r="J180" s="17">
        <v>43738</v>
      </c>
      <c r="K180" s="3">
        <f>J180-I180+1</f>
        <v>30</v>
      </c>
      <c r="L180" s="3">
        <f>ROUND(G180*H180*K180/365,0)</f>
        <v>31952</v>
      </c>
      <c r="M180" s="3">
        <v>25917000</v>
      </c>
    </row>
    <row r="181" spans="1:13" s="16" customFormat="1" outlineLevel="2">
      <c r="A181" s="17" t="s">
        <v>55</v>
      </c>
      <c r="B181" s="18" t="s">
        <v>191</v>
      </c>
      <c r="C181" s="19" t="s">
        <v>188</v>
      </c>
      <c r="D181" s="18" t="s">
        <v>187</v>
      </c>
      <c r="E181" s="3">
        <v>1096000</v>
      </c>
      <c r="F181" s="17">
        <v>43707</v>
      </c>
      <c r="G181" s="3">
        <v>1096000</v>
      </c>
      <c r="H181" s="2">
        <v>1.4999999999999999E-2</v>
      </c>
      <c r="I181" s="17">
        <v>43709</v>
      </c>
      <c r="J181" s="17">
        <v>43738</v>
      </c>
      <c r="K181" s="3">
        <f>J181-I181+1</f>
        <v>30</v>
      </c>
      <c r="L181" s="3">
        <f>ROUND(G181*H181*K181/365,0)</f>
        <v>1351</v>
      </c>
      <c r="M181" s="3">
        <v>1096000</v>
      </c>
    </row>
    <row r="182" spans="1:13" s="16" customFormat="1" outlineLevel="2">
      <c r="A182" s="17" t="s">
        <v>55</v>
      </c>
      <c r="B182" s="18" t="s">
        <v>190</v>
      </c>
      <c r="C182" s="19" t="s">
        <v>188</v>
      </c>
      <c r="D182" s="18" t="s">
        <v>187</v>
      </c>
      <c r="E182" s="3">
        <v>15507000</v>
      </c>
      <c r="F182" s="17">
        <v>43692</v>
      </c>
      <c r="G182" s="3">
        <v>15507000</v>
      </c>
      <c r="H182" s="2">
        <v>1.4999999999999999E-2</v>
      </c>
      <c r="I182" s="17">
        <v>43709</v>
      </c>
      <c r="J182" s="17">
        <v>43738</v>
      </c>
      <c r="K182" s="3">
        <f>J182-I182+1</f>
        <v>30</v>
      </c>
      <c r="L182" s="3">
        <f>ROUND(G182*H182*K182/365,0)</f>
        <v>19118</v>
      </c>
      <c r="M182" s="3">
        <v>15507000</v>
      </c>
    </row>
    <row r="183" spans="1:13" s="16" customFormat="1" outlineLevel="2">
      <c r="A183" s="17" t="s">
        <v>55</v>
      </c>
      <c r="B183" s="18" t="s">
        <v>189</v>
      </c>
      <c r="C183" s="19" t="s">
        <v>188</v>
      </c>
      <c r="D183" s="18" t="s">
        <v>187</v>
      </c>
      <c r="E183" s="3">
        <v>23876000</v>
      </c>
      <c r="F183" s="17">
        <v>43707</v>
      </c>
      <c r="G183" s="3">
        <v>23876000</v>
      </c>
      <c r="H183" s="2">
        <v>1.4999999999999999E-2</v>
      </c>
      <c r="I183" s="17">
        <v>43709</v>
      </c>
      <c r="J183" s="17">
        <v>43738</v>
      </c>
      <c r="K183" s="3">
        <f>J183-I183+1</f>
        <v>30</v>
      </c>
      <c r="L183" s="3">
        <f>ROUND(G183*H183*K183/365,0)</f>
        <v>29436</v>
      </c>
      <c r="M183" s="3">
        <v>23876000</v>
      </c>
    </row>
    <row r="184" spans="1:13" s="16" customFormat="1" outlineLevel="2">
      <c r="A184" s="17" t="s">
        <v>55</v>
      </c>
      <c r="B184" s="18" t="s">
        <v>186</v>
      </c>
      <c r="C184" s="19" t="s">
        <v>185</v>
      </c>
      <c r="D184" s="18" t="s">
        <v>184</v>
      </c>
      <c r="E184" s="3">
        <v>32780000</v>
      </c>
      <c r="F184" s="17">
        <v>43689</v>
      </c>
      <c r="G184" s="3">
        <v>32780000</v>
      </c>
      <c r="H184" s="2">
        <v>5.0000000000000001E-3</v>
      </c>
      <c r="I184" s="17">
        <v>43709</v>
      </c>
      <c r="J184" s="17">
        <v>43738</v>
      </c>
      <c r="K184" s="3">
        <f>J184-I184+1</f>
        <v>30</v>
      </c>
      <c r="L184" s="3">
        <f>ROUND(G184*H184*K184/365,0)</f>
        <v>13471</v>
      </c>
      <c r="M184" s="3">
        <v>32780000</v>
      </c>
    </row>
    <row r="185" spans="1:13" s="16" customFormat="1" outlineLevel="2">
      <c r="A185" s="17" t="s">
        <v>55</v>
      </c>
      <c r="B185" s="18" t="s">
        <v>228</v>
      </c>
      <c r="C185" s="19" t="s">
        <v>54</v>
      </c>
      <c r="D185" s="18" t="s">
        <v>34</v>
      </c>
      <c r="E185" s="3">
        <v>4871000</v>
      </c>
      <c r="F185" s="17">
        <v>43710</v>
      </c>
      <c r="G185" s="3">
        <v>4871000</v>
      </c>
      <c r="H185" s="2">
        <v>1.4999999999999999E-2</v>
      </c>
      <c r="I185" s="17">
        <v>43710</v>
      </c>
      <c r="J185" s="17">
        <v>43738</v>
      </c>
      <c r="K185" s="3">
        <f>J185-I185+1</f>
        <v>29</v>
      </c>
      <c r="L185" s="3">
        <f>ROUND(G185*H185*K185/365,0)</f>
        <v>5805</v>
      </c>
      <c r="M185" s="3">
        <v>4871000</v>
      </c>
    </row>
    <row r="186" spans="1:13" s="16" customFormat="1" outlineLevel="2">
      <c r="A186" s="17" t="s">
        <v>55</v>
      </c>
      <c r="B186" s="18" t="s">
        <v>227</v>
      </c>
      <c r="C186" s="19" t="s">
        <v>54</v>
      </c>
      <c r="D186" s="18" t="s">
        <v>34</v>
      </c>
      <c r="E186" s="3">
        <v>40225000</v>
      </c>
      <c r="F186" s="17">
        <v>43713</v>
      </c>
      <c r="G186" s="3">
        <v>40225000</v>
      </c>
      <c r="H186" s="2">
        <v>1.4999999999999999E-2</v>
      </c>
      <c r="I186" s="17">
        <v>43713</v>
      </c>
      <c r="J186" s="17">
        <v>43738</v>
      </c>
      <c r="K186" s="3">
        <f>J186-I186+1</f>
        <v>26</v>
      </c>
      <c r="L186" s="3">
        <f>ROUND(G186*H186*K186/365,0)</f>
        <v>42980</v>
      </c>
      <c r="M186" s="3">
        <v>40225000</v>
      </c>
    </row>
    <row r="187" spans="1:13" s="16" customFormat="1" outlineLevel="2">
      <c r="A187" s="17" t="s">
        <v>55</v>
      </c>
      <c r="B187" s="18" t="s">
        <v>226</v>
      </c>
      <c r="C187" s="19" t="s">
        <v>54</v>
      </c>
      <c r="D187" s="18" t="s">
        <v>34</v>
      </c>
      <c r="E187" s="3">
        <v>9037000</v>
      </c>
      <c r="F187" s="17">
        <v>43724</v>
      </c>
      <c r="G187" s="3">
        <v>9037000</v>
      </c>
      <c r="H187" s="2">
        <v>1.4999999999999999E-2</v>
      </c>
      <c r="I187" s="17">
        <v>43724</v>
      </c>
      <c r="J187" s="17">
        <v>43738</v>
      </c>
      <c r="K187" s="3">
        <f>J187-I187+1</f>
        <v>15</v>
      </c>
      <c r="L187" s="3">
        <f>ROUND(G187*H187*K187/365,0)</f>
        <v>5571</v>
      </c>
      <c r="M187" s="3">
        <v>9037000</v>
      </c>
    </row>
    <row r="188" spans="1:13" s="16" customFormat="1" outlineLevel="2">
      <c r="A188" s="17" t="s">
        <v>55</v>
      </c>
      <c r="B188" s="18" t="s">
        <v>223</v>
      </c>
      <c r="C188" s="19" t="s">
        <v>54</v>
      </c>
      <c r="D188" s="18" t="s">
        <v>34</v>
      </c>
      <c r="E188" s="3">
        <v>849000</v>
      </c>
      <c r="F188" s="17">
        <v>43732</v>
      </c>
      <c r="G188" s="3">
        <v>849000</v>
      </c>
      <c r="H188" s="2">
        <v>1.4999999999999999E-2</v>
      </c>
      <c r="I188" s="17">
        <v>43732</v>
      </c>
      <c r="J188" s="17">
        <v>43738</v>
      </c>
      <c r="K188" s="3">
        <f>J188-I188+1</f>
        <v>7</v>
      </c>
      <c r="L188" s="3">
        <f>ROUND(G188*H188*K188/365,0)</f>
        <v>244</v>
      </c>
      <c r="M188" s="3">
        <v>849000</v>
      </c>
    </row>
    <row r="189" spans="1:13" s="16" customFormat="1" outlineLevel="2">
      <c r="A189" s="17" t="s">
        <v>55</v>
      </c>
      <c r="B189" s="18" t="s">
        <v>241</v>
      </c>
      <c r="C189" s="19" t="s">
        <v>54</v>
      </c>
      <c r="D189" s="18" t="s">
        <v>34</v>
      </c>
      <c r="E189" s="3">
        <v>27422000</v>
      </c>
      <c r="F189" s="17">
        <v>43733</v>
      </c>
      <c r="G189" s="3">
        <v>27422000</v>
      </c>
      <c r="H189" s="2">
        <v>1.4999999999999999E-2</v>
      </c>
      <c r="I189" s="17">
        <v>43733</v>
      </c>
      <c r="J189" s="17">
        <v>43738</v>
      </c>
      <c r="K189" s="3">
        <f>J189-I189+1</f>
        <v>6</v>
      </c>
      <c r="L189" s="3">
        <f>ROUND(G189*H189*K189/365,0)</f>
        <v>6762</v>
      </c>
      <c r="M189" s="3">
        <v>27422000</v>
      </c>
    </row>
    <row r="190" spans="1:13" s="16" customFormat="1" outlineLevel="2">
      <c r="A190" s="17" t="s">
        <v>55</v>
      </c>
      <c r="B190" s="18" t="s">
        <v>240</v>
      </c>
      <c r="C190" s="19" t="s">
        <v>51</v>
      </c>
      <c r="D190" s="18" t="s">
        <v>50</v>
      </c>
      <c r="E190" s="3">
        <v>8000000</v>
      </c>
      <c r="F190" s="17">
        <v>43720</v>
      </c>
      <c r="G190" s="3">
        <v>8000000</v>
      </c>
      <c r="H190" s="2">
        <v>1.4999999999999999E-2</v>
      </c>
      <c r="I190" s="17">
        <v>43720</v>
      </c>
      <c r="J190" s="17">
        <v>43738</v>
      </c>
      <c r="K190" s="3">
        <f>J190-I190+1</f>
        <v>19</v>
      </c>
      <c r="L190" s="3">
        <f>ROUND(G190*H190*K190/365,0)</f>
        <v>6247</v>
      </c>
      <c r="M190" s="3">
        <v>8000000</v>
      </c>
    </row>
    <row r="191" spans="1:13" s="16" customFormat="1" outlineLevel="2">
      <c r="A191" s="17" t="s">
        <v>55</v>
      </c>
      <c r="B191" s="18" t="s">
        <v>48</v>
      </c>
      <c r="C191" s="19" t="s">
        <v>54</v>
      </c>
      <c r="D191" s="18" t="s">
        <v>34</v>
      </c>
      <c r="E191" s="3">
        <v>5067000</v>
      </c>
      <c r="F191" s="17">
        <v>43661</v>
      </c>
      <c r="G191" s="3">
        <v>5067000</v>
      </c>
      <c r="H191" s="2">
        <v>1.4999999999999999E-2</v>
      </c>
      <c r="I191" s="17">
        <v>43709</v>
      </c>
      <c r="J191" s="17">
        <v>43738</v>
      </c>
      <c r="K191" s="3">
        <f>J191-I191+1</f>
        <v>30</v>
      </c>
      <c r="L191" s="3">
        <f>ROUND(G191*H191*K191/365,0)</f>
        <v>6247</v>
      </c>
      <c r="M191" s="3">
        <v>5067000</v>
      </c>
    </row>
    <row r="192" spans="1:13" s="16" customFormat="1" outlineLevel="2">
      <c r="A192" s="17" t="s">
        <v>55</v>
      </c>
      <c r="B192" s="18" t="s">
        <v>239</v>
      </c>
      <c r="C192" s="19" t="s">
        <v>159</v>
      </c>
      <c r="D192" s="18" t="s">
        <v>158</v>
      </c>
      <c r="E192" s="3">
        <v>22068000</v>
      </c>
      <c r="F192" s="17">
        <v>43725</v>
      </c>
      <c r="G192" s="3">
        <v>22068000</v>
      </c>
      <c r="H192" s="2">
        <v>1.4999999999999999E-2</v>
      </c>
      <c r="I192" s="17">
        <v>43725</v>
      </c>
      <c r="J192" s="17">
        <v>43738</v>
      </c>
      <c r="K192" s="3">
        <f>J192-I192+1</f>
        <v>14</v>
      </c>
      <c r="L192" s="3">
        <f>ROUND(G192*H192*K192/365,0)</f>
        <v>12697</v>
      </c>
      <c r="M192" s="3">
        <v>22068000</v>
      </c>
    </row>
    <row r="193" spans="1:13" s="16" customFormat="1" outlineLevel="2">
      <c r="A193" s="17" t="s">
        <v>55</v>
      </c>
      <c r="B193" s="18" t="s">
        <v>238</v>
      </c>
      <c r="C193" s="19" t="s">
        <v>159</v>
      </c>
      <c r="D193" s="18" t="s">
        <v>158</v>
      </c>
      <c r="E193" s="3">
        <v>4287000</v>
      </c>
      <c r="F193" s="17">
        <v>43725</v>
      </c>
      <c r="G193" s="3">
        <v>4287000</v>
      </c>
      <c r="H193" s="2">
        <v>1.4999999999999999E-2</v>
      </c>
      <c r="I193" s="17">
        <v>43725</v>
      </c>
      <c r="J193" s="17">
        <v>43738</v>
      </c>
      <c r="K193" s="3">
        <f>J193-I193+1</f>
        <v>14</v>
      </c>
      <c r="L193" s="3">
        <f>ROUND(G193*H193*K193/365,0)</f>
        <v>2466</v>
      </c>
      <c r="M193" s="3">
        <v>4287000</v>
      </c>
    </row>
    <row r="194" spans="1:13" s="16" customFormat="1" outlineLevel="2">
      <c r="A194" s="17" t="s">
        <v>55</v>
      </c>
      <c r="B194" s="18" t="s">
        <v>237</v>
      </c>
      <c r="C194" s="19" t="s">
        <v>183</v>
      </c>
      <c r="D194" s="18" t="s">
        <v>182</v>
      </c>
      <c r="E194" s="3">
        <v>11420000</v>
      </c>
      <c r="F194" s="17">
        <v>43710</v>
      </c>
      <c r="G194" s="3">
        <v>11420000</v>
      </c>
      <c r="H194" s="2">
        <v>5.0000000000000001E-3</v>
      </c>
      <c r="I194" s="17">
        <v>43710</v>
      </c>
      <c r="J194" s="17">
        <v>43738</v>
      </c>
      <c r="K194" s="3">
        <f>J194-I194+1</f>
        <v>29</v>
      </c>
      <c r="L194" s="3">
        <f>ROUND(G194*H194*K194/365,0)</f>
        <v>4537</v>
      </c>
      <c r="M194" s="3">
        <v>11420000</v>
      </c>
    </row>
    <row r="195" spans="1:13" s="16" customFormat="1" outlineLevel="2">
      <c r="A195" s="17" t="s">
        <v>55</v>
      </c>
      <c r="B195" s="18" t="s">
        <v>236</v>
      </c>
      <c r="C195" s="19" t="s">
        <v>183</v>
      </c>
      <c r="D195" s="18" t="s">
        <v>182</v>
      </c>
      <c r="E195" s="3">
        <v>9999884</v>
      </c>
      <c r="F195" s="17">
        <v>43733</v>
      </c>
      <c r="G195" s="3">
        <v>9999884</v>
      </c>
      <c r="H195" s="2">
        <v>5.0000000000000001E-3</v>
      </c>
      <c r="I195" s="17">
        <v>43733</v>
      </c>
      <c r="J195" s="17">
        <v>43738</v>
      </c>
      <c r="K195" s="3">
        <f>J195-I195+1</f>
        <v>6</v>
      </c>
      <c r="L195" s="3">
        <f>ROUND(G195*H195*K195/365,0)</f>
        <v>822</v>
      </c>
      <c r="M195" s="3">
        <v>9999884</v>
      </c>
    </row>
    <row r="196" spans="1:13" s="16" customFormat="1" outlineLevel="2">
      <c r="A196" s="17" t="s">
        <v>55</v>
      </c>
      <c r="B196" s="18" t="s">
        <v>235</v>
      </c>
      <c r="C196" s="19" t="s">
        <v>188</v>
      </c>
      <c r="D196" s="18" t="s">
        <v>187</v>
      </c>
      <c r="E196" s="3">
        <v>19052000</v>
      </c>
      <c r="F196" s="17">
        <v>43720</v>
      </c>
      <c r="G196" s="3">
        <v>19052000</v>
      </c>
      <c r="H196" s="2">
        <v>1.4999999999999999E-2</v>
      </c>
      <c r="I196" s="17">
        <v>43720</v>
      </c>
      <c r="J196" s="17">
        <v>43738</v>
      </c>
      <c r="K196" s="3">
        <f>J196-I196+1</f>
        <v>19</v>
      </c>
      <c r="L196" s="3">
        <f>ROUND(G196*H196*K196/365,0)</f>
        <v>14876</v>
      </c>
      <c r="M196" s="3">
        <v>19052000</v>
      </c>
    </row>
    <row r="197" spans="1:13" s="16" customFormat="1" outlineLevel="2">
      <c r="A197" s="17" t="s">
        <v>55</v>
      </c>
      <c r="B197" s="18" t="s">
        <v>234</v>
      </c>
      <c r="C197" s="19" t="s">
        <v>188</v>
      </c>
      <c r="D197" s="18" t="s">
        <v>187</v>
      </c>
      <c r="E197" s="3">
        <v>5878000</v>
      </c>
      <c r="F197" s="17">
        <v>43738</v>
      </c>
      <c r="G197" s="3">
        <v>5878000</v>
      </c>
      <c r="H197" s="2">
        <v>1.4999999999999999E-2</v>
      </c>
      <c r="I197" s="17">
        <v>43738</v>
      </c>
      <c r="J197" s="17">
        <v>43738</v>
      </c>
      <c r="K197" s="3">
        <f>J197-I197+1</f>
        <v>1</v>
      </c>
      <c r="L197" s="3">
        <f>ROUND(G197*H197*K197/365,0)</f>
        <v>242</v>
      </c>
      <c r="M197" s="3">
        <v>5878000</v>
      </c>
    </row>
    <row r="198" spans="1:13" s="16" customFormat="1" outlineLevel="2">
      <c r="A198" s="17" t="s">
        <v>55</v>
      </c>
      <c r="B198" s="18" t="s">
        <v>231</v>
      </c>
      <c r="C198" s="19" t="s">
        <v>188</v>
      </c>
      <c r="D198" s="18" t="s">
        <v>187</v>
      </c>
      <c r="E198" s="3">
        <v>26351000</v>
      </c>
      <c r="F198" s="17">
        <v>43720</v>
      </c>
      <c r="G198" s="3">
        <v>26351000</v>
      </c>
      <c r="H198" s="2">
        <v>1.4999999999999999E-2</v>
      </c>
      <c r="I198" s="17">
        <v>43720</v>
      </c>
      <c r="J198" s="17">
        <v>43738</v>
      </c>
      <c r="K198" s="3">
        <f>J198-I198+1</f>
        <v>19</v>
      </c>
      <c r="L198" s="3">
        <f>ROUND(G198*H198*K198/365,0)</f>
        <v>20575</v>
      </c>
      <c r="M198" s="3">
        <v>26351000</v>
      </c>
    </row>
    <row r="199" spans="1:13" s="16" customFormat="1" outlineLevel="2">
      <c r="A199" s="17" t="s">
        <v>55</v>
      </c>
      <c r="B199" s="18" t="s">
        <v>268</v>
      </c>
      <c r="C199" s="19" t="s">
        <v>188</v>
      </c>
      <c r="D199" s="18" t="s">
        <v>187</v>
      </c>
      <c r="E199" s="3">
        <v>5866000</v>
      </c>
      <c r="F199" s="17">
        <v>43738</v>
      </c>
      <c r="G199" s="3">
        <v>5866000</v>
      </c>
      <c r="H199" s="2">
        <v>1.4999999999999999E-2</v>
      </c>
      <c r="I199" s="17">
        <v>43738</v>
      </c>
      <c r="J199" s="17">
        <v>43738</v>
      </c>
      <c r="K199" s="3">
        <f>J199-I199+1</f>
        <v>1</v>
      </c>
      <c r="L199" s="3">
        <f>ROUND(G199*H199*K199/365,0)</f>
        <v>241</v>
      </c>
      <c r="M199" s="3">
        <v>5866000</v>
      </c>
    </row>
    <row r="200" spans="1:13" s="16" customFormat="1" outlineLevel="2">
      <c r="A200" s="17" t="s">
        <v>55</v>
      </c>
      <c r="B200" s="18" t="s">
        <v>267</v>
      </c>
      <c r="C200" s="19" t="s">
        <v>185</v>
      </c>
      <c r="D200" s="18" t="s">
        <v>184</v>
      </c>
      <c r="E200" s="3">
        <v>46670000</v>
      </c>
      <c r="F200" s="17">
        <v>43718</v>
      </c>
      <c r="G200" s="3">
        <v>46670000</v>
      </c>
      <c r="H200" s="2">
        <v>5.0000000000000001E-3</v>
      </c>
      <c r="I200" s="17">
        <v>43718</v>
      </c>
      <c r="J200" s="17">
        <v>43738</v>
      </c>
      <c r="K200" s="3">
        <f>J200-I200+1</f>
        <v>21</v>
      </c>
      <c r="L200" s="3">
        <f>ROUND(G200*H200*K200/365,0)</f>
        <v>13426</v>
      </c>
      <c r="M200" s="3">
        <v>46670000</v>
      </c>
    </row>
    <row r="201" spans="1:13" s="16" customFormat="1" outlineLevel="2">
      <c r="A201" s="17" t="s">
        <v>55</v>
      </c>
      <c r="B201" s="18" t="s">
        <v>266</v>
      </c>
      <c r="C201" s="19" t="s">
        <v>265</v>
      </c>
      <c r="D201" s="18" t="s">
        <v>264</v>
      </c>
      <c r="E201" s="3">
        <v>1587000</v>
      </c>
      <c r="F201" s="17">
        <v>43735</v>
      </c>
      <c r="G201" s="3">
        <v>1587000</v>
      </c>
      <c r="H201" s="2">
        <v>1.4999999999999999E-2</v>
      </c>
      <c r="I201" s="17">
        <v>43735</v>
      </c>
      <c r="J201" s="17">
        <v>43738</v>
      </c>
      <c r="K201" s="3">
        <f>J201-I201+1</f>
        <v>4</v>
      </c>
      <c r="L201" s="3">
        <f>ROUND(G201*H201*K201/365,0)</f>
        <v>261</v>
      </c>
      <c r="M201" s="3">
        <v>1587000</v>
      </c>
    </row>
    <row r="202" spans="1:13" s="16" customFormat="1" outlineLevel="2">
      <c r="A202" s="17" t="s">
        <v>55</v>
      </c>
      <c r="B202" s="18" t="s">
        <v>47</v>
      </c>
      <c r="C202" s="19" t="s">
        <v>54</v>
      </c>
      <c r="D202" s="18" t="s">
        <v>34</v>
      </c>
      <c r="E202" s="3">
        <v>1214000</v>
      </c>
      <c r="F202" s="17">
        <v>43664</v>
      </c>
      <c r="G202" s="3">
        <v>1214000</v>
      </c>
      <c r="H202" s="2">
        <v>1.4999999999999999E-2</v>
      </c>
      <c r="I202" s="17">
        <v>43709</v>
      </c>
      <c r="J202" s="17">
        <v>43738</v>
      </c>
      <c r="K202" s="3">
        <f>J202-I202+1</f>
        <v>30</v>
      </c>
      <c r="L202" s="3">
        <f>ROUND(G202*H202*K202/365,0)</f>
        <v>1497</v>
      </c>
      <c r="M202" s="3">
        <v>1214000</v>
      </c>
    </row>
    <row r="203" spans="1:13" s="16" customFormat="1" outlineLevel="2">
      <c r="A203" s="17" t="s">
        <v>55</v>
      </c>
      <c r="B203" s="18" t="s">
        <v>263</v>
      </c>
      <c r="C203" s="19" t="s">
        <v>260</v>
      </c>
      <c r="D203" s="18" t="s">
        <v>259</v>
      </c>
      <c r="E203" s="3">
        <v>14100000</v>
      </c>
      <c r="F203" s="17">
        <v>43731</v>
      </c>
      <c r="G203" s="3">
        <v>14100000</v>
      </c>
      <c r="H203" s="2">
        <v>5.0000000000000001E-3</v>
      </c>
      <c r="I203" s="17">
        <v>43731</v>
      </c>
      <c r="J203" s="17">
        <v>43738</v>
      </c>
      <c r="K203" s="3">
        <f>J203-I203+1</f>
        <v>8</v>
      </c>
      <c r="L203" s="3">
        <f>ROUND(G203*H203*K203/365,0)</f>
        <v>1545</v>
      </c>
      <c r="M203" s="3">
        <v>14100000</v>
      </c>
    </row>
    <row r="204" spans="1:13" s="16" customFormat="1" outlineLevel="2">
      <c r="A204" s="17" t="s">
        <v>55</v>
      </c>
      <c r="B204" s="18" t="s">
        <v>262</v>
      </c>
      <c r="C204" s="19" t="s">
        <v>260</v>
      </c>
      <c r="D204" s="18" t="s">
        <v>259</v>
      </c>
      <c r="E204" s="3">
        <v>12070000</v>
      </c>
      <c r="F204" s="17">
        <v>43731</v>
      </c>
      <c r="G204" s="3">
        <v>12070000</v>
      </c>
      <c r="H204" s="2">
        <v>5.0000000000000001E-3</v>
      </c>
      <c r="I204" s="17">
        <v>43731</v>
      </c>
      <c r="J204" s="17">
        <v>43738</v>
      </c>
      <c r="K204" s="3">
        <f>J204-I204+1</f>
        <v>8</v>
      </c>
      <c r="L204" s="3">
        <f>ROUND(G204*H204*K204/365,0)</f>
        <v>1323</v>
      </c>
      <c r="M204" s="3">
        <v>12070000</v>
      </c>
    </row>
    <row r="205" spans="1:13" s="16" customFormat="1" outlineLevel="2">
      <c r="A205" s="17" t="s">
        <v>55</v>
      </c>
      <c r="B205" s="18" t="s">
        <v>261</v>
      </c>
      <c r="C205" s="19" t="s">
        <v>260</v>
      </c>
      <c r="D205" s="18" t="s">
        <v>259</v>
      </c>
      <c r="E205" s="3">
        <v>12830000</v>
      </c>
      <c r="F205" s="17">
        <v>43731</v>
      </c>
      <c r="G205" s="3">
        <v>12830000</v>
      </c>
      <c r="H205" s="2">
        <v>5.0000000000000001E-3</v>
      </c>
      <c r="I205" s="17">
        <v>43731</v>
      </c>
      <c r="J205" s="17">
        <v>43738</v>
      </c>
      <c r="K205" s="3">
        <f>J205-I205+1</f>
        <v>8</v>
      </c>
      <c r="L205" s="3">
        <f>ROUND(G205*H205*K205/365,0)</f>
        <v>1406</v>
      </c>
      <c r="M205" s="3">
        <v>12830000</v>
      </c>
    </row>
    <row r="206" spans="1:13" s="16" customFormat="1" outlineLevel="2">
      <c r="A206" s="17" t="s">
        <v>55</v>
      </c>
      <c r="B206" s="18" t="s">
        <v>258</v>
      </c>
      <c r="C206" s="19" t="s">
        <v>257</v>
      </c>
      <c r="D206" s="18" t="s">
        <v>256</v>
      </c>
      <c r="E206" s="3">
        <v>201000</v>
      </c>
      <c r="F206" s="17">
        <v>43735</v>
      </c>
      <c r="G206" s="3">
        <v>201000</v>
      </c>
      <c r="H206" s="2">
        <v>1.4999999999999999E-2</v>
      </c>
      <c r="I206" s="17">
        <v>43735</v>
      </c>
      <c r="J206" s="17">
        <v>43738</v>
      </c>
      <c r="K206" s="3">
        <f>J206-I206+1</f>
        <v>4</v>
      </c>
      <c r="L206" s="3">
        <f>ROUND(G206*H206*K206/365,0)</f>
        <v>33</v>
      </c>
      <c r="M206" s="3">
        <v>201000</v>
      </c>
    </row>
    <row r="207" spans="1:13" s="16" customFormat="1" outlineLevel="2">
      <c r="A207" s="17" t="s">
        <v>55</v>
      </c>
      <c r="B207" s="18" t="s">
        <v>255</v>
      </c>
      <c r="C207" s="19" t="s">
        <v>253</v>
      </c>
      <c r="D207" s="18" t="s">
        <v>252</v>
      </c>
      <c r="E207" s="3">
        <v>12000000</v>
      </c>
      <c r="F207" s="17">
        <v>43735</v>
      </c>
      <c r="G207" s="3">
        <v>12000000</v>
      </c>
      <c r="H207" s="2">
        <v>5.0000000000000001E-3</v>
      </c>
      <c r="I207" s="17">
        <v>43735</v>
      </c>
      <c r="J207" s="17">
        <v>43738</v>
      </c>
      <c r="K207" s="3">
        <f>J207-I207+1</f>
        <v>4</v>
      </c>
      <c r="L207" s="3">
        <f>ROUND(G207*H207*K207/365,0)</f>
        <v>658</v>
      </c>
      <c r="M207" s="3">
        <v>12000000</v>
      </c>
    </row>
    <row r="208" spans="1:13" s="16" customFormat="1" outlineLevel="2">
      <c r="A208" s="17" t="s">
        <v>55</v>
      </c>
      <c r="B208" s="18" t="s">
        <v>254</v>
      </c>
      <c r="C208" s="19" t="s">
        <v>253</v>
      </c>
      <c r="D208" s="18" t="s">
        <v>252</v>
      </c>
      <c r="E208" s="3">
        <v>38000000</v>
      </c>
      <c r="F208" s="17">
        <v>43735</v>
      </c>
      <c r="G208" s="3">
        <v>38000000</v>
      </c>
      <c r="H208" s="2">
        <v>5.0000000000000001E-3</v>
      </c>
      <c r="I208" s="17">
        <v>43735</v>
      </c>
      <c r="J208" s="17">
        <v>43738</v>
      </c>
      <c r="K208" s="3">
        <f>J208-I208+1</f>
        <v>4</v>
      </c>
      <c r="L208" s="3">
        <f>ROUND(G208*H208*K208/365,0)</f>
        <v>2082</v>
      </c>
      <c r="M208" s="3">
        <v>38000000</v>
      </c>
    </row>
    <row r="209" spans="1:13" s="16" customFormat="1" outlineLevel="2">
      <c r="A209" s="17" t="s">
        <v>55</v>
      </c>
      <c r="B209" s="18" t="s">
        <v>46</v>
      </c>
      <c r="C209" s="19" t="s">
        <v>54</v>
      </c>
      <c r="D209" s="18" t="s">
        <v>34</v>
      </c>
      <c r="E209" s="3">
        <v>8346000</v>
      </c>
      <c r="F209" s="17">
        <v>43671</v>
      </c>
      <c r="G209" s="3">
        <v>8346000</v>
      </c>
      <c r="H209" s="2">
        <v>1.4999999999999999E-2</v>
      </c>
      <c r="I209" s="17">
        <v>43709</v>
      </c>
      <c r="J209" s="17">
        <v>43738</v>
      </c>
      <c r="K209" s="3">
        <f>J209-I209+1</f>
        <v>30</v>
      </c>
      <c r="L209" s="3">
        <f>ROUND(G209*H209*K209/365,0)</f>
        <v>10290</v>
      </c>
      <c r="M209" s="3">
        <v>8346000</v>
      </c>
    </row>
    <row r="210" spans="1:13" s="16" customFormat="1" outlineLevel="2">
      <c r="A210" s="17" t="s">
        <v>55</v>
      </c>
      <c r="B210" s="18" t="s">
        <v>45</v>
      </c>
      <c r="C210" s="19" t="s">
        <v>54</v>
      </c>
      <c r="D210" s="18" t="s">
        <v>34</v>
      </c>
      <c r="E210" s="3">
        <v>4626000</v>
      </c>
      <c r="F210" s="17">
        <v>43677</v>
      </c>
      <c r="G210" s="3">
        <v>4626000</v>
      </c>
      <c r="H210" s="2">
        <v>1.4999999999999999E-2</v>
      </c>
      <c r="I210" s="17">
        <v>43709</v>
      </c>
      <c r="J210" s="17">
        <v>43738</v>
      </c>
      <c r="K210" s="3">
        <f>J210-I210+1</f>
        <v>30</v>
      </c>
      <c r="L210" s="3">
        <f>ROUND(G210*H210*K210/365,0)</f>
        <v>5703</v>
      </c>
      <c r="M210" s="3">
        <v>4626000</v>
      </c>
    </row>
    <row r="211" spans="1:13" s="16" customFormat="1" outlineLevel="2">
      <c r="A211" s="17" t="s">
        <v>55</v>
      </c>
      <c r="B211" s="18" t="s">
        <v>44</v>
      </c>
      <c r="C211" s="19" t="s">
        <v>51</v>
      </c>
      <c r="D211" s="18" t="s">
        <v>50</v>
      </c>
      <c r="E211" s="3">
        <v>900000000</v>
      </c>
      <c r="F211" s="17">
        <v>43649</v>
      </c>
      <c r="G211" s="3">
        <v>900000000</v>
      </c>
      <c r="H211" s="2">
        <v>1.4999999999999999E-2</v>
      </c>
      <c r="I211" s="17">
        <v>43709</v>
      </c>
      <c r="J211" s="17">
        <v>43738</v>
      </c>
      <c r="K211" s="3">
        <f>J211-I211+1</f>
        <v>30</v>
      </c>
      <c r="L211" s="3">
        <f>ROUND(G211*H211*K211/365,0)</f>
        <v>1109589</v>
      </c>
      <c r="M211" s="3">
        <v>900000000</v>
      </c>
    </row>
    <row r="212" spans="1:13" s="16" customFormat="1" outlineLevel="1">
      <c r="A212" s="28" t="s">
        <v>53</v>
      </c>
      <c r="B212" s="21"/>
      <c r="C212" s="22"/>
      <c r="D212" s="21"/>
      <c r="E212" s="23">
        <f>SUBTOTAL(9,E147:E211)</f>
        <v>3454453519</v>
      </c>
      <c r="F212" s="20"/>
      <c r="G212" s="23"/>
      <c r="H212" s="24"/>
      <c r="I212" s="20"/>
      <c r="J212" s="20"/>
      <c r="K212" s="23"/>
      <c r="L212" s="23">
        <f>SUBTOTAL(9,L147:L211)</f>
        <v>3905153</v>
      </c>
      <c r="M212" s="23">
        <f>SUBTOTAL(9,M147:M211)</f>
        <v>3454453519</v>
      </c>
    </row>
    <row r="213" spans="1:13" s="16" customFormat="1" outlineLevel="2">
      <c r="A213" s="17" t="s">
        <v>251</v>
      </c>
      <c r="B213" s="18" t="s">
        <v>17</v>
      </c>
      <c r="C213" s="19" t="s">
        <v>159</v>
      </c>
      <c r="D213" s="18" t="s">
        <v>158</v>
      </c>
      <c r="E213" s="3">
        <v>10000000</v>
      </c>
      <c r="F213" s="17">
        <v>43725</v>
      </c>
      <c r="G213" s="3">
        <v>10000000</v>
      </c>
      <c r="H213" s="2">
        <v>3.0000000000000001E-3</v>
      </c>
      <c r="I213" s="17">
        <v>43725</v>
      </c>
      <c r="J213" s="17">
        <v>43738</v>
      </c>
      <c r="K213" s="3">
        <f>J213-I213+1</f>
        <v>14</v>
      </c>
      <c r="L213" s="3">
        <f>ROUND(G213*H213*K213/365,0)</f>
        <v>1151</v>
      </c>
      <c r="M213" s="3">
        <v>10000000</v>
      </c>
    </row>
    <row r="214" spans="1:13" s="16" customFormat="1" outlineLevel="1">
      <c r="A214" s="28" t="s">
        <v>250</v>
      </c>
      <c r="B214" s="21"/>
      <c r="C214" s="22"/>
      <c r="D214" s="21"/>
      <c r="E214" s="23">
        <f>SUBTOTAL(9,E213:E213)</f>
        <v>10000000</v>
      </c>
      <c r="F214" s="20"/>
      <c r="G214" s="23"/>
      <c r="H214" s="24"/>
      <c r="I214" s="20"/>
      <c r="J214" s="20"/>
      <c r="K214" s="23"/>
      <c r="L214" s="23">
        <f>SUBTOTAL(9,L213:L213)</f>
        <v>1151</v>
      </c>
      <c r="M214" s="23">
        <f>SUBTOTAL(9,M213:M213)</f>
        <v>10000000</v>
      </c>
    </row>
    <row r="215" spans="1:13" s="16" customFormat="1" outlineLevel="2">
      <c r="A215" s="17" t="s">
        <v>249</v>
      </c>
      <c r="B215" s="18" t="s">
        <v>17</v>
      </c>
      <c r="C215" s="19" t="s">
        <v>248</v>
      </c>
      <c r="D215" s="18" t="s">
        <v>247</v>
      </c>
      <c r="E215" s="3">
        <v>300000000</v>
      </c>
      <c r="F215" s="17">
        <v>43726</v>
      </c>
      <c r="G215" s="3">
        <v>300000000</v>
      </c>
      <c r="H215" s="2">
        <v>5.0000000000000001E-3</v>
      </c>
      <c r="I215" s="17">
        <v>43726</v>
      </c>
      <c r="J215" s="17">
        <v>43738</v>
      </c>
      <c r="K215" s="3">
        <f>J215-I215+1</f>
        <v>13</v>
      </c>
      <c r="L215" s="3">
        <f>ROUND(G215*H215*K215/365,0)</f>
        <v>53425</v>
      </c>
      <c r="M215" s="3">
        <v>300000000</v>
      </c>
    </row>
    <row r="216" spans="1:13" s="16" customFormat="1" outlineLevel="1">
      <c r="A216" s="28" t="s">
        <v>246</v>
      </c>
      <c r="B216" s="21"/>
      <c r="C216" s="22"/>
      <c r="D216" s="21"/>
      <c r="E216" s="23">
        <f>SUBTOTAL(9,E215:E215)</f>
        <v>300000000</v>
      </c>
      <c r="F216" s="20"/>
      <c r="G216" s="23"/>
      <c r="H216" s="24"/>
      <c r="I216" s="20"/>
      <c r="J216" s="20"/>
      <c r="K216" s="23"/>
      <c r="L216" s="23">
        <f>SUBTOTAL(9,L215:L215)</f>
        <v>53425</v>
      </c>
      <c r="M216" s="23">
        <f>SUBTOTAL(9,M215:M215)</f>
        <v>300000000</v>
      </c>
    </row>
    <row r="217" spans="1:13" s="16" customFormat="1" outlineLevel="2">
      <c r="A217" s="17" t="s">
        <v>52</v>
      </c>
      <c r="B217" s="18" t="s">
        <v>17</v>
      </c>
      <c r="C217" s="19" t="s">
        <v>51</v>
      </c>
      <c r="D217" s="18" t="s">
        <v>50</v>
      </c>
      <c r="E217" s="3">
        <v>350000000</v>
      </c>
      <c r="F217" s="17">
        <v>43644</v>
      </c>
      <c r="G217" s="3">
        <v>350000000</v>
      </c>
      <c r="H217" s="2">
        <v>1.4999999999999999E-2</v>
      </c>
      <c r="I217" s="17">
        <v>43709</v>
      </c>
      <c r="J217" s="17">
        <v>43738</v>
      </c>
      <c r="K217" s="3">
        <f>J217-I217+1</f>
        <v>30</v>
      </c>
      <c r="L217" s="3">
        <f>ROUND(G217*H217*K217/365,0)</f>
        <v>431507</v>
      </c>
      <c r="M217" s="3">
        <v>350000000</v>
      </c>
    </row>
    <row r="218" spans="1:13" s="16" customFormat="1" outlineLevel="2">
      <c r="A218" s="17" t="s">
        <v>52</v>
      </c>
      <c r="B218" s="18" t="s">
        <v>181</v>
      </c>
      <c r="C218" s="19" t="s">
        <v>245</v>
      </c>
      <c r="D218" s="18" t="s">
        <v>244</v>
      </c>
      <c r="E218" s="3">
        <v>28000000</v>
      </c>
      <c r="F218" s="17">
        <v>43732</v>
      </c>
      <c r="G218" s="3">
        <v>28000000</v>
      </c>
      <c r="H218" s="2">
        <v>5.0000000000000001E-3</v>
      </c>
      <c r="I218" s="17">
        <v>43732</v>
      </c>
      <c r="J218" s="17">
        <v>43738</v>
      </c>
      <c r="K218" s="3">
        <f>J218-I218+1</f>
        <v>7</v>
      </c>
      <c r="L218" s="3">
        <f>ROUND(G218*H218*K218/365,0)</f>
        <v>2685</v>
      </c>
      <c r="M218" s="3">
        <v>28000000</v>
      </c>
    </row>
    <row r="219" spans="1:13" s="16" customFormat="1" outlineLevel="2">
      <c r="A219" s="17" t="s">
        <v>52</v>
      </c>
      <c r="B219" s="18" t="s">
        <v>180</v>
      </c>
      <c r="C219" s="19" t="s">
        <v>243</v>
      </c>
      <c r="D219" s="18" t="s">
        <v>242</v>
      </c>
      <c r="E219" s="3">
        <v>100000000</v>
      </c>
      <c r="F219" s="17">
        <v>43732</v>
      </c>
      <c r="G219" s="3">
        <v>100000000</v>
      </c>
      <c r="H219" s="2">
        <v>5.0000000000000001E-3</v>
      </c>
      <c r="I219" s="17">
        <v>43732</v>
      </c>
      <c r="J219" s="17">
        <v>43738</v>
      </c>
      <c r="K219" s="3">
        <f>J219-I219+1</f>
        <v>7</v>
      </c>
      <c r="L219" s="3">
        <f>ROUND(G219*H219*K219/365,0)</f>
        <v>9589</v>
      </c>
      <c r="M219" s="3">
        <v>100000000</v>
      </c>
    </row>
    <row r="220" spans="1:13" s="16" customFormat="1" outlineLevel="2">
      <c r="A220" s="17" t="s">
        <v>52</v>
      </c>
      <c r="B220" s="18" t="s">
        <v>31</v>
      </c>
      <c r="C220" s="19" t="s">
        <v>51</v>
      </c>
      <c r="D220" s="18" t="s">
        <v>50</v>
      </c>
      <c r="E220" s="3">
        <v>200000000</v>
      </c>
      <c r="F220" s="17">
        <v>43620</v>
      </c>
      <c r="G220" s="3">
        <v>200000000</v>
      </c>
      <c r="H220" s="2">
        <v>1.4999999999999999E-2</v>
      </c>
      <c r="I220" s="17">
        <v>43709</v>
      </c>
      <c r="J220" s="17">
        <v>43738</v>
      </c>
      <c r="K220" s="3">
        <f>J220-I220+1</f>
        <v>30</v>
      </c>
      <c r="L220" s="3">
        <f>ROUND(G220*H220*K220/365,0)</f>
        <v>246575</v>
      </c>
      <c r="M220" s="3">
        <v>200000000</v>
      </c>
    </row>
    <row r="221" spans="1:13" s="16" customFormat="1" outlineLevel="2">
      <c r="A221" s="17" t="s">
        <v>52</v>
      </c>
      <c r="B221" s="18" t="s">
        <v>30</v>
      </c>
      <c r="C221" s="19" t="s">
        <v>51</v>
      </c>
      <c r="D221" s="18" t="s">
        <v>50</v>
      </c>
      <c r="E221" s="3">
        <v>200000000</v>
      </c>
      <c r="F221" s="17">
        <v>43644</v>
      </c>
      <c r="G221" s="3">
        <v>200000000</v>
      </c>
      <c r="H221" s="2">
        <v>1.4999999999999999E-2</v>
      </c>
      <c r="I221" s="17">
        <v>43709</v>
      </c>
      <c r="J221" s="17">
        <v>43738</v>
      </c>
      <c r="K221" s="3">
        <f>J221-I221+1</f>
        <v>30</v>
      </c>
      <c r="L221" s="3">
        <f>ROUND(G221*H221*K221/365,0)</f>
        <v>246575</v>
      </c>
      <c r="M221" s="3">
        <v>200000000</v>
      </c>
    </row>
    <row r="222" spans="1:13" s="16" customFormat="1" outlineLevel="2">
      <c r="A222" s="17" t="s">
        <v>52</v>
      </c>
      <c r="B222" s="18" t="s">
        <v>28</v>
      </c>
      <c r="C222" s="19" t="s">
        <v>51</v>
      </c>
      <c r="D222" s="18" t="s">
        <v>50</v>
      </c>
      <c r="E222" s="3">
        <v>380000000</v>
      </c>
      <c r="F222" s="17">
        <v>43656</v>
      </c>
      <c r="G222" s="3">
        <v>380000000</v>
      </c>
      <c r="H222" s="2">
        <v>1.4999999999999999E-2</v>
      </c>
      <c r="I222" s="17">
        <v>43709</v>
      </c>
      <c r="J222" s="17">
        <v>43738</v>
      </c>
      <c r="K222" s="3">
        <f>J222-I222+1</f>
        <v>30</v>
      </c>
      <c r="L222" s="3">
        <f>ROUND(G222*H222*K222/365,0)</f>
        <v>468493</v>
      </c>
      <c r="M222" s="3">
        <v>380000000</v>
      </c>
    </row>
    <row r="223" spans="1:13" s="16" customFormat="1" outlineLevel="2">
      <c r="A223" s="17" t="s">
        <v>52</v>
      </c>
      <c r="B223" s="18" t="s">
        <v>48</v>
      </c>
      <c r="C223" s="19" t="s">
        <v>51</v>
      </c>
      <c r="D223" s="18" t="s">
        <v>50</v>
      </c>
      <c r="E223" s="3">
        <v>370000000</v>
      </c>
      <c r="F223" s="17">
        <v>43677</v>
      </c>
      <c r="G223" s="3">
        <v>370000000</v>
      </c>
      <c r="H223" s="2">
        <v>1.4999999999999999E-2</v>
      </c>
      <c r="I223" s="17">
        <v>43709</v>
      </c>
      <c r="J223" s="17">
        <v>43738</v>
      </c>
      <c r="K223" s="3">
        <f>J223-I223+1</f>
        <v>30</v>
      </c>
      <c r="L223" s="3">
        <f>ROUND(G223*H223*K223/365,0)</f>
        <v>456164</v>
      </c>
      <c r="M223" s="3">
        <v>370000000</v>
      </c>
    </row>
    <row r="224" spans="1:13" s="16" customFormat="1" outlineLevel="2">
      <c r="A224" s="17" t="s">
        <v>52</v>
      </c>
      <c r="B224" s="18" t="s">
        <v>47</v>
      </c>
      <c r="C224" s="19" t="s">
        <v>183</v>
      </c>
      <c r="D224" s="18" t="s">
        <v>182</v>
      </c>
      <c r="E224" s="3">
        <v>49200000</v>
      </c>
      <c r="F224" s="17">
        <v>43683</v>
      </c>
      <c r="G224" s="3">
        <v>49200000</v>
      </c>
      <c r="H224" s="2">
        <v>5.0000000000000001E-3</v>
      </c>
      <c r="I224" s="17">
        <v>43709</v>
      </c>
      <c r="J224" s="17">
        <v>43738</v>
      </c>
      <c r="K224" s="3">
        <f>J224-I224+1</f>
        <v>30</v>
      </c>
      <c r="L224" s="3">
        <f>ROUND(G224*H224*K224/365,0)</f>
        <v>20219</v>
      </c>
      <c r="M224" s="3">
        <v>49200000</v>
      </c>
    </row>
    <row r="225" spans="1:13" s="16" customFormat="1" outlineLevel="2">
      <c r="A225" s="17" t="s">
        <v>52</v>
      </c>
      <c r="B225" s="18" t="s">
        <v>46</v>
      </c>
      <c r="C225" s="19" t="s">
        <v>183</v>
      </c>
      <c r="D225" s="18" t="s">
        <v>182</v>
      </c>
      <c r="E225" s="3">
        <v>10098793</v>
      </c>
      <c r="F225" s="17">
        <v>43698</v>
      </c>
      <c r="G225" s="3">
        <v>10098793</v>
      </c>
      <c r="H225" s="2">
        <v>5.0000000000000001E-3</v>
      </c>
      <c r="I225" s="17">
        <v>43709</v>
      </c>
      <c r="J225" s="17">
        <v>43738</v>
      </c>
      <c r="K225" s="3">
        <f>J225-I225+1</f>
        <v>30</v>
      </c>
      <c r="L225" s="3">
        <f>ROUND(G225*H225*K225/365,0)</f>
        <v>4150</v>
      </c>
      <c r="M225" s="3">
        <v>10098793</v>
      </c>
    </row>
    <row r="226" spans="1:13" s="16" customFormat="1" outlineLevel="2">
      <c r="A226" s="17" t="s">
        <v>52</v>
      </c>
      <c r="B226" s="18" t="s">
        <v>45</v>
      </c>
      <c r="C226" s="19" t="s">
        <v>183</v>
      </c>
      <c r="D226" s="18" t="s">
        <v>182</v>
      </c>
      <c r="E226" s="3">
        <v>9667674</v>
      </c>
      <c r="F226" s="17">
        <v>43713</v>
      </c>
      <c r="G226" s="3">
        <v>9667674</v>
      </c>
      <c r="H226" s="2">
        <v>5.0000000000000001E-3</v>
      </c>
      <c r="I226" s="17">
        <v>43713</v>
      </c>
      <c r="J226" s="17">
        <v>43738</v>
      </c>
      <c r="K226" s="3">
        <f>J226-I226+1</f>
        <v>26</v>
      </c>
      <c r="L226" s="3">
        <f>ROUND(G226*H226*K226/365,0)</f>
        <v>3443</v>
      </c>
      <c r="M226" s="3">
        <v>9667674</v>
      </c>
    </row>
    <row r="227" spans="1:13" s="16" customFormat="1" outlineLevel="2">
      <c r="A227" s="17" t="s">
        <v>52</v>
      </c>
      <c r="B227" s="18" t="s">
        <v>44</v>
      </c>
      <c r="C227" s="19" t="s">
        <v>183</v>
      </c>
      <c r="D227" s="18" t="s">
        <v>182</v>
      </c>
      <c r="E227" s="3">
        <v>10239814</v>
      </c>
      <c r="F227" s="17">
        <v>43727</v>
      </c>
      <c r="G227" s="3">
        <v>10239814</v>
      </c>
      <c r="H227" s="2">
        <v>5.0000000000000001E-3</v>
      </c>
      <c r="I227" s="17">
        <v>43727</v>
      </c>
      <c r="J227" s="17">
        <v>43738</v>
      </c>
      <c r="K227" s="3">
        <f>J227-I227+1</f>
        <v>12</v>
      </c>
      <c r="L227" s="3">
        <f>ROUND(G227*H227*K227/365,0)</f>
        <v>1683</v>
      </c>
      <c r="M227" s="3">
        <v>10239814</v>
      </c>
    </row>
    <row r="228" spans="1:13" s="16" customFormat="1" outlineLevel="1">
      <c r="A228" s="28" t="s">
        <v>49</v>
      </c>
      <c r="B228" s="21"/>
      <c r="C228" s="22"/>
      <c r="D228" s="21"/>
      <c r="E228" s="23">
        <f>SUBTOTAL(9,E217:E227)</f>
        <v>1707206281</v>
      </c>
      <c r="F228" s="20"/>
      <c r="G228" s="23"/>
      <c r="H228" s="24"/>
      <c r="I228" s="20"/>
      <c r="J228" s="20"/>
      <c r="K228" s="23"/>
      <c r="L228" s="23">
        <f>SUBTOTAL(9,L217:L227)</f>
        <v>1891083</v>
      </c>
      <c r="M228" s="23">
        <f>SUBTOTAL(9,M217:M227)</f>
        <v>1707206281</v>
      </c>
    </row>
    <row r="229" spans="1:13" s="16" customFormat="1" outlineLevel="2">
      <c r="A229" s="17" t="s">
        <v>29</v>
      </c>
      <c r="B229" s="18" t="s">
        <v>17</v>
      </c>
      <c r="C229" s="19" t="s">
        <v>43</v>
      </c>
      <c r="D229" s="18" t="s">
        <v>26</v>
      </c>
      <c r="E229" s="3">
        <v>25874221</v>
      </c>
      <c r="F229" s="17">
        <v>43605</v>
      </c>
      <c r="G229" s="3">
        <v>25874221</v>
      </c>
      <c r="H229" s="2">
        <v>1.4999999999999999E-2</v>
      </c>
      <c r="I229" s="17">
        <v>43709</v>
      </c>
      <c r="J229" s="17">
        <v>43738</v>
      </c>
      <c r="K229" s="3">
        <f>J229-I229+1</f>
        <v>30</v>
      </c>
      <c r="L229" s="3">
        <f>ROUND(G229*H229*K229/365,0)</f>
        <v>31900</v>
      </c>
      <c r="M229" s="3">
        <v>25874221</v>
      </c>
    </row>
    <row r="230" spans="1:13" s="16" customFormat="1" outlineLevel="2">
      <c r="A230" s="17" t="s">
        <v>29</v>
      </c>
      <c r="B230" s="18" t="s">
        <v>181</v>
      </c>
      <c r="C230" s="19" t="s">
        <v>43</v>
      </c>
      <c r="D230" s="18" t="s">
        <v>26</v>
      </c>
      <c r="E230" s="3">
        <v>3361050</v>
      </c>
      <c r="F230" s="17">
        <v>43654</v>
      </c>
      <c r="G230" s="3">
        <v>3361050</v>
      </c>
      <c r="H230" s="2">
        <v>1.4999999999999999E-2</v>
      </c>
      <c r="I230" s="17">
        <v>43709</v>
      </c>
      <c r="J230" s="17">
        <v>43738</v>
      </c>
      <c r="K230" s="3">
        <f>J230-I230+1</f>
        <v>30</v>
      </c>
      <c r="L230" s="3">
        <f>ROUND(G230*H230*K230/365,0)</f>
        <v>4144</v>
      </c>
      <c r="M230" s="3">
        <v>3361050</v>
      </c>
    </row>
    <row r="231" spans="1:13" s="16" customFormat="1" outlineLevel="2">
      <c r="A231" s="17" t="s">
        <v>29</v>
      </c>
      <c r="B231" s="18" t="s">
        <v>180</v>
      </c>
      <c r="C231" s="19" t="s">
        <v>43</v>
      </c>
      <c r="D231" s="18" t="s">
        <v>26</v>
      </c>
      <c r="E231" s="3">
        <v>23833840</v>
      </c>
      <c r="F231" s="17">
        <v>43664</v>
      </c>
      <c r="G231" s="3">
        <v>23833840</v>
      </c>
      <c r="H231" s="2">
        <v>1.4999999999999999E-2</v>
      </c>
      <c r="I231" s="17">
        <v>43709</v>
      </c>
      <c r="J231" s="17">
        <v>43738</v>
      </c>
      <c r="K231" s="3">
        <f>J231-I231+1</f>
        <v>30</v>
      </c>
      <c r="L231" s="3">
        <f>ROUND(G231*H231*K231/365,0)</f>
        <v>29384</v>
      </c>
      <c r="M231" s="3">
        <v>23833840</v>
      </c>
    </row>
    <row r="232" spans="1:13" s="16" customFormat="1" outlineLevel="2">
      <c r="A232" s="17" t="s">
        <v>29</v>
      </c>
      <c r="B232" s="18" t="s">
        <v>179</v>
      </c>
      <c r="C232" s="19" t="s">
        <v>43</v>
      </c>
      <c r="D232" s="18" t="s">
        <v>26</v>
      </c>
      <c r="E232" s="3">
        <v>92130451</v>
      </c>
      <c r="F232" s="17">
        <v>43665</v>
      </c>
      <c r="G232" s="3">
        <v>92130451</v>
      </c>
      <c r="H232" s="2">
        <v>1.4999999999999999E-2</v>
      </c>
      <c r="I232" s="17">
        <v>43709</v>
      </c>
      <c r="J232" s="17">
        <v>43738</v>
      </c>
      <c r="K232" s="3">
        <f>J232-I232+1</f>
        <v>30</v>
      </c>
      <c r="L232" s="3">
        <f>ROUND(G232*H232*K232/365,0)</f>
        <v>113585</v>
      </c>
      <c r="M232" s="3">
        <v>92130451</v>
      </c>
    </row>
    <row r="233" spans="1:13" s="16" customFormat="1" outlineLevel="2">
      <c r="A233" s="17" t="s">
        <v>29</v>
      </c>
      <c r="B233" s="18" t="s">
        <v>178</v>
      </c>
      <c r="C233" s="19" t="s">
        <v>43</v>
      </c>
      <c r="D233" s="18" t="s">
        <v>26</v>
      </c>
      <c r="E233" s="3">
        <v>13975915</v>
      </c>
      <c r="F233" s="17">
        <v>43675</v>
      </c>
      <c r="G233" s="3">
        <v>13975915</v>
      </c>
      <c r="H233" s="2">
        <v>1.4999999999999999E-2</v>
      </c>
      <c r="I233" s="17">
        <v>43709</v>
      </c>
      <c r="J233" s="17">
        <v>43738</v>
      </c>
      <c r="K233" s="3">
        <f>J233-I233+1</f>
        <v>30</v>
      </c>
      <c r="L233" s="3">
        <f>ROUND(G233*H233*K233/365,0)</f>
        <v>17231</v>
      </c>
      <c r="M233" s="3">
        <v>13975915</v>
      </c>
    </row>
    <row r="234" spans="1:13" s="16" customFormat="1" outlineLevel="2">
      <c r="A234" s="17" t="s">
        <v>29</v>
      </c>
      <c r="B234" s="18" t="s">
        <v>177</v>
      </c>
      <c r="C234" s="19" t="s">
        <v>43</v>
      </c>
      <c r="D234" s="18" t="s">
        <v>26</v>
      </c>
      <c r="E234" s="3">
        <v>16675884</v>
      </c>
      <c r="F234" s="17">
        <v>43654</v>
      </c>
      <c r="G234" s="3">
        <v>16675884</v>
      </c>
      <c r="H234" s="2">
        <v>1.4999999999999999E-2</v>
      </c>
      <c r="I234" s="17">
        <v>43709</v>
      </c>
      <c r="J234" s="17">
        <v>43738</v>
      </c>
      <c r="K234" s="3">
        <f>J234-I234+1</f>
        <v>30</v>
      </c>
      <c r="L234" s="3">
        <f>ROUND(G234*H234*K234/365,0)</f>
        <v>20559</v>
      </c>
      <c r="M234" s="3">
        <v>16675884</v>
      </c>
    </row>
    <row r="235" spans="1:13" s="16" customFormat="1" outlineLevel="2">
      <c r="A235" s="17" t="s">
        <v>29</v>
      </c>
      <c r="B235" s="18" t="s">
        <v>176</v>
      </c>
      <c r="C235" s="19" t="s">
        <v>43</v>
      </c>
      <c r="D235" s="18" t="s">
        <v>26</v>
      </c>
      <c r="E235" s="3">
        <v>44604939</v>
      </c>
      <c r="F235" s="17">
        <v>43664</v>
      </c>
      <c r="G235" s="3">
        <v>44604939</v>
      </c>
      <c r="H235" s="2">
        <v>1.4999999999999999E-2</v>
      </c>
      <c r="I235" s="17">
        <v>43709</v>
      </c>
      <c r="J235" s="17">
        <v>43738</v>
      </c>
      <c r="K235" s="3">
        <f>J235-I235+1</f>
        <v>30</v>
      </c>
      <c r="L235" s="3">
        <f>ROUND(G235*H235*K235/365,0)</f>
        <v>54992</v>
      </c>
      <c r="M235" s="3">
        <v>44604939</v>
      </c>
    </row>
    <row r="236" spans="1:13" s="16" customFormat="1" outlineLevel="2">
      <c r="A236" s="17" t="s">
        <v>29</v>
      </c>
      <c r="B236" s="18" t="s">
        <v>175</v>
      </c>
      <c r="C236" s="19" t="s">
        <v>43</v>
      </c>
      <c r="D236" s="18" t="s">
        <v>26</v>
      </c>
      <c r="E236" s="3">
        <v>3069360</v>
      </c>
      <c r="F236" s="17">
        <v>43675</v>
      </c>
      <c r="G236" s="3">
        <v>3069360</v>
      </c>
      <c r="H236" s="2">
        <v>1.4999999999999999E-2</v>
      </c>
      <c r="I236" s="17">
        <v>43709</v>
      </c>
      <c r="J236" s="17">
        <v>43738</v>
      </c>
      <c r="K236" s="3">
        <f>J236-I236+1</f>
        <v>30</v>
      </c>
      <c r="L236" s="3">
        <f>ROUND(G236*H236*K236/365,0)</f>
        <v>3784</v>
      </c>
      <c r="M236" s="3">
        <v>3069360</v>
      </c>
    </row>
    <row r="237" spans="1:13" s="16" customFormat="1" outlineLevel="2">
      <c r="A237" s="17" t="s">
        <v>29</v>
      </c>
      <c r="B237" s="18" t="s">
        <v>174</v>
      </c>
      <c r="C237" s="19" t="s">
        <v>173</v>
      </c>
      <c r="D237" s="18" t="s">
        <v>172</v>
      </c>
      <c r="E237" s="3">
        <v>1000000000</v>
      </c>
      <c r="F237" s="17">
        <v>43672</v>
      </c>
      <c r="G237" s="3">
        <v>1000000000</v>
      </c>
      <c r="H237" s="2">
        <v>1.4999999999999999E-2</v>
      </c>
      <c r="I237" s="17">
        <v>43709</v>
      </c>
      <c r="J237" s="17">
        <v>43738</v>
      </c>
      <c r="K237" s="3">
        <f>J237-I237+1</f>
        <v>30</v>
      </c>
      <c r="L237" s="3">
        <f>ROUND(G237*H237*K237/365,0)</f>
        <v>1232877</v>
      </c>
      <c r="M237" s="3">
        <v>1000000000</v>
      </c>
    </row>
    <row r="238" spans="1:13" s="16" customFormat="1" outlineLevel="2">
      <c r="A238" s="17" t="s">
        <v>29</v>
      </c>
      <c r="B238" s="18" t="s">
        <v>171</v>
      </c>
      <c r="C238" s="19" t="s">
        <v>163</v>
      </c>
      <c r="D238" s="18" t="s">
        <v>162</v>
      </c>
      <c r="E238" s="3">
        <v>1300000</v>
      </c>
      <c r="F238" s="17">
        <v>43672</v>
      </c>
      <c r="G238" s="3">
        <v>1300000</v>
      </c>
      <c r="H238" s="2">
        <v>1.4999999999999999E-2</v>
      </c>
      <c r="I238" s="17">
        <v>43709</v>
      </c>
      <c r="J238" s="17">
        <v>43738</v>
      </c>
      <c r="K238" s="3">
        <f>J238-I238+1</f>
        <v>30</v>
      </c>
      <c r="L238" s="3">
        <f>ROUND(G238*H238*K238/365,0)</f>
        <v>1603</v>
      </c>
      <c r="M238" s="3">
        <v>1300000</v>
      </c>
    </row>
    <row r="239" spans="1:13" s="16" customFormat="1" outlineLevel="2">
      <c r="A239" s="17" t="s">
        <v>29</v>
      </c>
      <c r="B239" s="18" t="s">
        <v>170</v>
      </c>
      <c r="C239" s="19" t="s">
        <v>163</v>
      </c>
      <c r="D239" s="18" t="s">
        <v>162</v>
      </c>
      <c r="E239" s="3">
        <v>7780000</v>
      </c>
      <c r="F239" s="17">
        <v>43672</v>
      </c>
      <c r="G239" s="3">
        <v>7780000</v>
      </c>
      <c r="H239" s="2">
        <v>1.4999999999999999E-2</v>
      </c>
      <c r="I239" s="17">
        <v>43709</v>
      </c>
      <c r="J239" s="17">
        <v>43738</v>
      </c>
      <c r="K239" s="3">
        <f>J239-I239+1</f>
        <v>30</v>
      </c>
      <c r="L239" s="3">
        <f>ROUND(G239*H239*K239/365,0)</f>
        <v>9592</v>
      </c>
      <c r="M239" s="3">
        <v>7780000</v>
      </c>
    </row>
    <row r="240" spans="1:13" s="16" customFormat="1" outlineLevel="2">
      <c r="A240" s="17" t="s">
        <v>29</v>
      </c>
      <c r="B240" s="18" t="s">
        <v>31</v>
      </c>
      <c r="C240" s="19" t="s">
        <v>43</v>
      </c>
      <c r="D240" s="18" t="s">
        <v>26</v>
      </c>
      <c r="E240" s="3">
        <v>7967807</v>
      </c>
      <c r="F240" s="17">
        <v>43613</v>
      </c>
      <c r="G240" s="3">
        <v>7967807</v>
      </c>
      <c r="H240" s="2">
        <v>1.4999999999999999E-2</v>
      </c>
      <c r="I240" s="17">
        <v>43709</v>
      </c>
      <c r="J240" s="17">
        <v>43738</v>
      </c>
      <c r="K240" s="3">
        <f>J240-I240+1</f>
        <v>30</v>
      </c>
      <c r="L240" s="3">
        <f>ROUND(G240*H240*K240/365,0)</f>
        <v>9823</v>
      </c>
      <c r="M240" s="3">
        <v>7967807</v>
      </c>
    </row>
    <row r="241" spans="1:13" s="16" customFormat="1" outlineLevel="2">
      <c r="A241" s="17" t="s">
        <v>29</v>
      </c>
      <c r="B241" s="18" t="s">
        <v>169</v>
      </c>
      <c r="C241" s="19" t="s">
        <v>51</v>
      </c>
      <c r="D241" s="18" t="s">
        <v>50</v>
      </c>
      <c r="E241" s="3">
        <v>81000000</v>
      </c>
      <c r="F241" s="17">
        <v>43650</v>
      </c>
      <c r="G241" s="3">
        <v>81000000</v>
      </c>
      <c r="H241" s="2">
        <v>1.4999999999999999E-2</v>
      </c>
      <c r="I241" s="17">
        <v>43709</v>
      </c>
      <c r="J241" s="17">
        <v>43738</v>
      </c>
      <c r="K241" s="3">
        <f>J241-I241+1</f>
        <v>30</v>
      </c>
      <c r="L241" s="3">
        <f>ROUND(G241*H241*K241/365,0)</f>
        <v>99863</v>
      </c>
      <c r="M241" s="3">
        <v>81000000</v>
      </c>
    </row>
    <row r="242" spans="1:13" s="16" customFormat="1" outlineLevel="2">
      <c r="A242" s="17" t="s">
        <v>29</v>
      </c>
      <c r="B242" s="18" t="s">
        <v>168</v>
      </c>
      <c r="C242" s="19" t="s">
        <v>51</v>
      </c>
      <c r="D242" s="18" t="s">
        <v>50</v>
      </c>
      <c r="E242" s="3">
        <v>500000000</v>
      </c>
      <c r="F242" s="17">
        <v>43651</v>
      </c>
      <c r="G242" s="3">
        <v>500000000</v>
      </c>
      <c r="H242" s="2">
        <v>1.4999999999999999E-2</v>
      </c>
      <c r="I242" s="17">
        <v>43709</v>
      </c>
      <c r="J242" s="17">
        <v>43738</v>
      </c>
      <c r="K242" s="3">
        <f>J242-I242+1</f>
        <v>30</v>
      </c>
      <c r="L242" s="3">
        <f>ROUND(G242*H242*K242/365,0)</f>
        <v>616438</v>
      </c>
      <c r="M242" s="3">
        <v>500000000</v>
      </c>
    </row>
    <row r="243" spans="1:13" s="16" customFormat="1" outlineLevel="2">
      <c r="A243" s="17" t="s">
        <v>29</v>
      </c>
      <c r="B243" s="18" t="s">
        <v>167</v>
      </c>
      <c r="C243" s="19" t="s">
        <v>159</v>
      </c>
      <c r="D243" s="18" t="s">
        <v>158</v>
      </c>
      <c r="E243" s="3">
        <v>79839000</v>
      </c>
      <c r="F243" s="17">
        <v>43663</v>
      </c>
      <c r="G243" s="3">
        <v>79839000</v>
      </c>
      <c r="H243" s="2">
        <v>1.4999999999999999E-2</v>
      </c>
      <c r="I243" s="17">
        <v>43709</v>
      </c>
      <c r="J243" s="17">
        <v>43738</v>
      </c>
      <c r="K243" s="3">
        <f>J243-I243+1</f>
        <v>30</v>
      </c>
      <c r="L243" s="3">
        <f>ROUND(G243*H243*K243/365,0)</f>
        <v>98432</v>
      </c>
      <c r="M243" s="3">
        <v>79839000</v>
      </c>
    </row>
    <row r="244" spans="1:13" s="16" customFormat="1" outlineLevel="2">
      <c r="A244" s="17" t="s">
        <v>29</v>
      </c>
      <c r="B244" s="18" t="s">
        <v>166</v>
      </c>
      <c r="C244" s="19" t="s">
        <v>159</v>
      </c>
      <c r="D244" s="18" t="s">
        <v>158</v>
      </c>
      <c r="E244" s="3">
        <v>38097000</v>
      </c>
      <c r="F244" s="17">
        <v>43663</v>
      </c>
      <c r="G244" s="3">
        <v>38097000</v>
      </c>
      <c r="H244" s="2">
        <v>1.4999999999999999E-2</v>
      </c>
      <c r="I244" s="17">
        <v>43709</v>
      </c>
      <c r="J244" s="17">
        <v>43738</v>
      </c>
      <c r="K244" s="3">
        <f>J244-I244+1</f>
        <v>30</v>
      </c>
      <c r="L244" s="3">
        <f>ROUND(G244*H244*K244/365,0)</f>
        <v>46969</v>
      </c>
      <c r="M244" s="3">
        <v>38097000</v>
      </c>
    </row>
    <row r="245" spans="1:13" s="16" customFormat="1" outlineLevel="2">
      <c r="A245" s="17" t="s">
        <v>29</v>
      </c>
      <c r="B245" s="18" t="s">
        <v>165</v>
      </c>
      <c r="C245" s="19" t="s">
        <v>43</v>
      </c>
      <c r="D245" s="18" t="s">
        <v>26</v>
      </c>
      <c r="E245" s="3">
        <v>78330067</v>
      </c>
      <c r="F245" s="17">
        <v>43692</v>
      </c>
      <c r="G245" s="3">
        <v>78330067</v>
      </c>
      <c r="H245" s="2">
        <v>1.4999999999999999E-2</v>
      </c>
      <c r="I245" s="17">
        <v>43709</v>
      </c>
      <c r="J245" s="17">
        <v>43738</v>
      </c>
      <c r="K245" s="3">
        <f>J245-I245+1</f>
        <v>30</v>
      </c>
      <c r="L245" s="3">
        <f>ROUND(G245*H245*K245/365,0)</f>
        <v>96571</v>
      </c>
      <c r="M245" s="3">
        <v>78330067</v>
      </c>
    </row>
    <row r="246" spans="1:13" s="16" customFormat="1" outlineLevel="2">
      <c r="A246" s="17" t="s">
        <v>29</v>
      </c>
      <c r="B246" s="18" t="s">
        <v>164</v>
      </c>
      <c r="C246" s="19" t="s">
        <v>163</v>
      </c>
      <c r="D246" s="18" t="s">
        <v>162</v>
      </c>
      <c r="E246" s="3">
        <v>6600000</v>
      </c>
      <c r="F246" s="17">
        <v>43700</v>
      </c>
      <c r="G246" s="3">
        <v>6600000</v>
      </c>
      <c r="H246" s="2">
        <v>1.4999999999999999E-2</v>
      </c>
      <c r="I246" s="17">
        <v>43709</v>
      </c>
      <c r="J246" s="17">
        <v>43738</v>
      </c>
      <c r="K246" s="3">
        <f>J246-I246+1</f>
        <v>30</v>
      </c>
      <c r="L246" s="3">
        <f>ROUND(G246*H246*K246/365,0)</f>
        <v>8137</v>
      </c>
      <c r="M246" s="3">
        <v>6600000</v>
      </c>
    </row>
    <row r="247" spans="1:13" s="16" customFormat="1" outlineLevel="2">
      <c r="A247" s="17" t="s">
        <v>29</v>
      </c>
      <c r="B247" s="18" t="s">
        <v>161</v>
      </c>
      <c r="C247" s="19" t="s">
        <v>159</v>
      </c>
      <c r="D247" s="18" t="s">
        <v>158</v>
      </c>
      <c r="E247" s="3">
        <v>18206000</v>
      </c>
      <c r="F247" s="17">
        <v>43693</v>
      </c>
      <c r="G247" s="3">
        <v>18206000</v>
      </c>
      <c r="H247" s="2">
        <v>1.4999999999999999E-2</v>
      </c>
      <c r="I247" s="17">
        <v>43709</v>
      </c>
      <c r="J247" s="17">
        <v>43738</v>
      </c>
      <c r="K247" s="3">
        <f>J247-I247+1</f>
        <v>30</v>
      </c>
      <c r="L247" s="3">
        <f>ROUND(G247*H247*K247/365,0)</f>
        <v>22446</v>
      </c>
      <c r="M247" s="3">
        <v>18206000</v>
      </c>
    </row>
    <row r="248" spans="1:13" s="16" customFormat="1" outlineLevel="2">
      <c r="A248" s="17" t="s">
        <v>29</v>
      </c>
      <c r="B248" s="18" t="s">
        <v>160</v>
      </c>
      <c r="C248" s="19" t="s">
        <v>159</v>
      </c>
      <c r="D248" s="18" t="s">
        <v>158</v>
      </c>
      <c r="E248" s="3">
        <v>6635000</v>
      </c>
      <c r="F248" s="17">
        <v>43693</v>
      </c>
      <c r="G248" s="3">
        <v>6635000</v>
      </c>
      <c r="H248" s="2">
        <v>1.4999999999999999E-2</v>
      </c>
      <c r="I248" s="17">
        <v>43709</v>
      </c>
      <c r="J248" s="17">
        <v>43738</v>
      </c>
      <c r="K248" s="3">
        <f>J248-I248+1</f>
        <v>30</v>
      </c>
      <c r="L248" s="3">
        <f>ROUND(G248*H248*K248/365,0)</f>
        <v>8180</v>
      </c>
      <c r="M248" s="3">
        <v>6635000</v>
      </c>
    </row>
    <row r="249" spans="1:13" s="16" customFormat="1" outlineLevel="2">
      <c r="A249" s="17" t="s">
        <v>29</v>
      </c>
      <c r="B249" s="18" t="s">
        <v>157</v>
      </c>
      <c r="C249" s="19" t="s">
        <v>150</v>
      </c>
      <c r="D249" s="18" t="s">
        <v>149</v>
      </c>
      <c r="E249" s="3">
        <v>145793089</v>
      </c>
      <c r="F249" s="17">
        <v>43697</v>
      </c>
      <c r="G249" s="3">
        <v>145793089</v>
      </c>
      <c r="H249" s="2">
        <v>5.0000000000000001E-3</v>
      </c>
      <c r="I249" s="17">
        <v>43709</v>
      </c>
      <c r="J249" s="17">
        <v>43738</v>
      </c>
      <c r="K249" s="3">
        <f>J249-I249+1</f>
        <v>30</v>
      </c>
      <c r="L249" s="3">
        <f>ROUND(G249*H249*K249/365,0)</f>
        <v>59915</v>
      </c>
      <c r="M249" s="3">
        <v>145793089</v>
      </c>
    </row>
    <row r="250" spans="1:13" s="16" customFormat="1" outlineLevel="2">
      <c r="A250" s="17" t="s">
        <v>29</v>
      </c>
      <c r="B250" s="18" t="s">
        <v>156</v>
      </c>
      <c r="C250" s="19" t="s">
        <v>150</v>
      </c>
      <c r="D250" s="18" t="s">
        <v>149</v>
      </c>
      <c r="E250" s="3">
        <v>53362182</v>
      </c>
      <c r="F250" s="17">
        <v>43697</v>
      </c>
      <c r="G250" s="3">
        <v>53362182</v>
      </c>
      <c r="H250" s="2">
        <v>5.0000000000000001E-3</v>
      </c>
      <c r="I250" s="17">
        <v>43709</v>
      </c>
      <c r="J250" s="17">
        <v>43738</v>
      </c>
      <c r="K250" s="3">
        <f>J250-I250+1</f>
        <v>30</v>
      </c>
      <c r="L250" s="3">
        <f>ROUND(G250*H250*K250/365,0)</f>
        <v>21930</v>
      </c>
      <c r="M250" s="3">
        <v>53362182</v>
      </c>
    </row>
    <row r="251" spans="1:13" s="16" customFormat="1" outlineLevel="2">
      <c r="A251" s="17" t="s">
        <v>29</v>
      </c>
      <c r="B251" s="18" t="s">
        <v>30</v>
      </c>
      <c r="C251" s="19" t="s">
        <v>43</v>
      </c>
      <c r="D251" s="18" t="s">
        <v>26</v>
      </c>
      <c r="E251" s="3">
        <v>40136695</v>
      </c>
      <c r="F251" s="17">
        <v>43605</v>
      </c>
      <c r="G251" s="3">
        <v>40136695</v>
      </c>
      <c r="H251" s="2">
        <v>1.4999999999999999E-2</v>
      </c>
      <c r="I251" s="17">
        <v>43709</v>
      </c>
      <c r="J251" s="17">
        <v>43738</v>
      </c>
      <c r="K251" s="3">
        <f>J251-I251+1</f>
        <v>30</v>
      </c>
      <c r="L251" s="3">
        <f>ROUND(G251*H251*K251/365,0)</f>
        <v>49484</v>
      </c>
      <c r="M251" s="3">
        <v>40136695</v>
      </c>
    </row>
    <row r="252" spans="1:13" s="16" customFormat="1" outlineLevel="2">
      <c r="A252" s="17" t="s">
        <v>29</v>
      </c>
      <c r="B252" s="18" t="s">
        <v>155</v>
      </c>
      <c r="C252" s="19" t="s">
        <v>150</v>
      </c>
      <c r="D252" s="18" t="s">
        <v>149</v>
      </c>
      <c r="E252" s="3">
        <v>6066888</v>
      </c>
      <c r="F252" s="17">
        <v>43698</v>
      </c>
      <c r="G252" s="3">
        <v>6066888</v>
      </c>
      <c r="H252" s="2">
        <v>5.0000000000000001E-3</v>
      </c>
      <c r="I252" s="17">
        <v>43709</v>
      </c>
      <c r="J252" s="17">
        <v>43738</v>
      </c>
      <c r="K252" s="3">
        <f>J252-I252+1</f>
        <v>30</v>
      </c>
      <c r="L252" s="3">
        <f>ROUND(G252*H252*K252/365,0)</f>
        <v>2493</v>
      </c>
      <c r="M252" s="3">
        <v>6066888</v>
      </c>
    </row>
    <row r="253" spans="1:13" s="16" customFormat="1" outlineLevel="2">
      <c r="A253" s="17" t="s">
        <v>29</v>
      </c>
      <c r="B253" s="18" t="s">
        <v>154</v>
      </c>
      <c r="C253" s="19" t="s">
        <v>150</v>
      </c>
      <c r="D253" s="18" t="s">
        <v>149</v>
      </c>
      <c r="E253" s="3">
        <v>8672311</v>
      </c>
      <c r="F253" s="17">
        <v>43705</v>
      </c>
      <c r="G253" s="3">
        <v>8672311</v>
      </c>
      <c r="H253" s="2">
        <v>5.0000000000000001E-3</v>
      </c>
      <c r="I253" s="17">
        <v>43709</v>
      </c>
      <c r="J253" s="17">
        <v>43738</v>
      </c>
      <c r="K253" s="3">
        <f>J253-I253+1</f>
        <v>30</v>
      </c>
      <c r="L253" s="3">
        <f>ROUND(G253*H253*K253/365,0)</f>
        <v>3564</v>
      </c>
      <c r="M253" s="3">
        <v>8672311</v>
      </c>
    </row>
    <row r="254" spans="1:13" s="16" customFormat="1" outlineLevel="2">
      <c r="A254" s="17" t="s">
        <v>29</v>
      </c>
      <c r="B254" s="18" t="s">
        <v>153</v>
      </c>
      <c r="C254" s="19" t="s">
        <v>150</v>
      </c>
      <c r="D254" s="18" t="s">
        <v>149</v>
      </c>
      <c r="E254" s="3">
        <v>72772468</v>
      </c>
      <c r="F254" s="17">
        <v>43697</v>
      </c>
      <c r="G254" s="3">
        <v>72772468</v>
      </c>
      <c r="H254" s="2">
        <v>3.0000000000000001E-3</v>
      </c>
      <c r="I254" s="17">
        <v>43709</v>
      </c>
      <c r="J254" s="17">
        <v>43738</v>
      </c>
      <c r="K254" s="3">
        <f>J254-I254+1</f>
        <v>30</v>
      </c>
      <c r="L254" s="3">
        <f>ROUND(G254*H254*K254/365,0)</f>
        <v>17944</v>
      </c>
      <c r="M254" s="3">
        <v>72772468</v>
      </c>
    </row>
    <row r="255" spans="1:13" s="16" customFormat="1" outlineLevel="2">
      <c r="A255" s="17" t="s">
        <v>29</v>
      </c>
      <c r="B255" s="18" t="s">
        <v>152</v>
      </c>
      <c r="C255" s="19" t="s">
        <v>150</v>
      </c>
      <c r="D255" s="18" t="s">
        <v>149</v>
      </c>
      <c r="E255" s="3">
        <v>21070723</v>
      </c>
      <c r="F255" s="17">
        <v>43697</v>
      </c>
      <c r="G255" s="3">
        <v>21070723</v>
      </c>
      <c r="H255" s="2">
        <v>3.0000000000000001E-3</v>
      </c>
      <c r="I255" s="17">
        <v>43709</v>
      </c>
      <c r="J255" s="17">
        <v>43738</v>
      </c>
      <c r="K255" s="3">
        <f>J255-I255+1</f>
        <v>30</v>
      </c>
      <c r="L255" s="3">
        <f>ROUND(G255*H255*K255/365,0)</f>
        <v>5196</v>
      </c>
      <c r="M255" s="3">
        <v>21070723</v>
      </c>
    </row>
    <row r="256" spans="1:13" s="16" customFormat="1" outlineLevel="2">
      <c r="A256" s="17" t="s">
        <v>29</v>
      </c>
      <c r="B256" s="18" t="s">
        <v>151</v>
      </c>
      <c r="C256" s="19" t="s">
        <v>150</v>
      </c>
      <c r="D256" s="18" t="s">
        <v>149</v>
      </c>
      <c r="E256" s="3">
        <v>3227640</v>
      </c>
      <c r="F256" s="17">
        <v>43705</v>
      </c>
      <c r="G256" s="3">
        <v>3227640</v>
      </c>
      <c r="H256" s="2">
        <v>3.0000000000000001E-3</v>
      </c>
      <c r="I256" s="17">
        <v>43709</v>
      </c>
      <c r="J256" s="17">
        <v>43738</v>
      </c>
      <c r="K256" s="3">
        <f>J256-I256+1</f>
        <v>30</v>
      </c>
      <c r="L256" s="3">
        <f>ROUND(G256*H256*K256/365,0)</f>
        <v>796</v>
      </c>
      <c r="M256" s="3">
        <v>3227640</v>
      </c>
    </row>
    <row r="257" spans="1:13" s="16" customFormat="1" outlineLevel="2">
      <c r="A257" s="17" t="s">
        <v>29</v>
      </c>
      <c r="B257" s="18" t="s">
        <v>196</v>
      </c>
      <c r="C257" s="19" t="s">
        <v>43</v>
      </c>
      <c r="D257" s="18" t="s">
        <v>26</v>
      </c>
      <c r="E257" s="3">
        <v>670189</v>
      </c>
      <c r="F257" s="17">
        <v>43717</v>
      </c>
      <c r="G257" s="3">
        <v>670189</v>
      </c>
      <c r="H257" s="2">
        <v>1.4999999999999999E-2</v>
      </c>
      <c r="I257" s="17">
        <v>43717</v>
      </c>
      <c r="J257" s="17">
        <v>43738</v>
      </c>
      <c r="K257" s="3">
        <f>J257-I257+1</f>
        <v>22</v>
      </c>
      <c r="L257" s="3">
        <f>ROUND(G257*H257*K257/365,0)</f>
        <v>606</v>
      </c>
      <c r="M257" s="3">
        <v>670189</v>
      </c>
    </row>
    <row r="258" spans="1:13" s="16" customFormat="1" outlineLevel="2">
      <c r="A258" s="17" t="s">
        <v>29</v>
      </c>
      <c r="B258" s="18" t="s">
        <v>195</v>
      </c>
      <c r="C258" s="19" t="s">
        <v>43</v>
      </c>
      <c r="D258" s="18" t="s">
        <v>26</v>
      </c>
      <c r="E258" s="3">
        <v>17810846</v>
      </c>
      <c r="F258" s="17">
        <v>43726</v>
      </c>
      <c r="G258" s="3">
        <v>17810846</v>
      </c>
      <c r="H258" s="2">
        <v>1.4999999999999999E-2</v>
      </c>
      <c r="I258" s="17">
        <v>43726</v>
      </c>
      <c r="J258" s="17">
        <v>43738</v>
      </c>
      <c r="K258" s="3">
        <f>J258-I258+1</f>
        <v>13</v>
      </c>
      <c r="L258" s="3">
        <f>ROUND(G258*H258*K258/365,0)</f>
        <v>9515</v>
      </c>
      <c r="M258" s="3">
        <v>17810846</v>
      </c>
    </row>
    <row r="259" spans="1:13" s="16" customFormat="1" outlineLevel="2">
      <c r="A259" s="17" t="s">
        <v>29</v>
      </c>
      <c r="B259" s="18" t="s">
        <v>194</v>
      </c>
      <c r="C259" s="19" t="s">
        <v>43</v>
      </c>
      <c r="D259" s="18" t="s">
        <v>26</v>
      </c>
      <c r="E259" s="3">
        <v>26174136</v>
      </c>
      <c r="F259" s="17">
        <v>43717</v>
      </c>
      <c r="G259" s="3">
        <v>26174136</v>
      </c>
      <c r="H259" s="2">
        <v>1.4999999999999999E-2</v>
      </c>
      <c r="I259" s="17">
        <v>43717</v>
      </c>
      <c r="J259" s="17">
        <v>43738</v>
      </c>
      <c r="K259" s="3">
        <f>J259-I259+1</f>
        <v>22</v>
      </c>
      <c r="L259" s="3">
        <f>ROUND(G259*H259*K259/365,0)</f>
        <v>23664</v>
      </c>
      <c r="M259" s="3">
        <v>26174136</v>
      </c>
    </row>
    <row r="260" spans="1:13" s="16" customFormat="1" outlineLevel="2">
      <c r="A260" s="17" t="s">
        <v>29</v>
      </c>
      <c r="B260" s="18" t="s">
        <v>193</v>
      </c>
      <c r="C260" s="19" t="s">
        <v>43</v>
      </c>
      <c r="D260" s="18" t="s">
        <v>26</v>
      </c>
      <c r="E260" s="3">
        <v>91994545</v>
      </c>
      <c r="F260" s="17">
        <v>43726</v>
      </c>
      <c r="G260" s="3">
        <v>91994545</v>
      </c>
      <c r="H260" s="2">
        <v>1.4999999999999999E-2</v>
      </c>
      <c r="I260" s="17">
        <v>43726</v>
      </c>
      <c r="J260" s="17">
        <v>43738</v>
      </c>
      <c r="K260" s="3">
        <f>J260-I260+1</f>
        <v>13</v>
      </c>
      <c r="L260" s="3">
        <f>ROUND(G260*H260*K260/365,0)</f>
        <v>49148</v>
      </c>
      <c r="M260" s="3">
        <v>91994545</v>
      </c>
    </row>
    <row r="261" spans="1:13" s="16" customFormat="1" outlineLevel="2">
      <c r="A261" s="17" t="s">
        <v>29</v>
      </c>
      <c r="B261" s="18" t="s">
        <v>192</v>
      </c>
      <c r="C261" s="19" t="s">
        <v>173</v>
      </c>
      <c r="D261" s="18" t="s">
        <v>172</v>
      </c>
      <c r="E261" s="3">
        <v>1000000000</v>
      </c>
      <c r="F261" s="17">
        <v>43720</v>
      </c>
      <c r="G261" s="3">
        <v>1000000000</v>
      </c>
      <c r="H261" s="2">
        <v>1.4999999999999999E-2</v>
      </c>
      <c r="I261" s="17">
        <v>43720</v>
      </c>
      <c r="J261" s="17">
        <v>43738</v>
      </c>
      <c r="K261" s="3">
        <f>J261-I261+1</f>
        <v>19</v>
      </c>
      <c r="L261" s="3">
        <f>ROUND(G261*H261*K261/365,0)</f>
        <v>780822</v>
      </c>
      <c r="M261" s="3">
        <v>1000000000</v>
      </c>
    </row>
    <row r="262" spans="1:13" s="16" customFormat="1" outlineLevel="2">
      <c r="A262" s="17" t="s">
        <v>29</v>
      </c>
      <c r="B262" s="18" t="s">
        <v>28</v>
      </c>
      <c r="C262" s="19" t="s">
        <v>43</v>
      </c>
      <c r="D262" s="18" t="s">
        <v>26</v>
      </c>
      <c r="E262" s="3">
        <v>2356988</v>
      </c>
      <c r="F262" s="17">
        <v>43613</v>
      </c>
      <c r="G262" s="3">
        <v>2356988</v>
      </c>
      <c r="H262" s="2">
        <v>1.4999999999999999E-2</v>
      </c>
      <c r="I262" s="17">
        <v>43709</v>
      </c>
      <c r="J262" s="17">
        <v>43738</v>
      </c>
      <c r="K262" s="3">
        <f>J262-I262+1</f>
        <v>30</v>
      </c>
      <c r="L262" s="3">
        <f>ROUND(G262*H262*K262/365,0)</f>
        <v>2906</v>
      </c>
      <c r="M262" s="3">
        <v>2356988</v>
      </c>
    </row>
    <row r="263" spans="1:13" s="16" customFormat="1" outlineLevel="2">
      <c r="A263" s="17" t="s">
        <v>29</v>
      </c>
      <c r="B263" s="18" t="s">
        <v>191</v>
      </c>
      <c r="C263" s="19" t="s">
        <v>159</v>
      </c>
      <c r="D263" s="18" t="s">
        <v>158</v>
      </c>
      <c r="E263" s="3">
        <v>18915000</v>
      </c>
      <c r="F263" s="17">
        <v>43725</v>
      </c>
      <c r="G263" s="3">
        <v>18915000</v>
      </c>
      <c r="H263" s="2">
        <v>1.4999999999999999E-2</v>
      </c>
      <c r="I263" s="17">
        <v>43725</v>
      </c>
      <c r="J263" s="17">
        <v>43738</v>
      </c>
      <c r="K263" s="3">
        <f>J263-I263+1</f>
        <v>14</v>
      </c>
      <c r="L263" s="3">
        <f>ROUND(G263*H263*K263/365,0)</f>
        <v>10883</v>
      </c>
      <c r="M263" s="3">
        <v>18915000</v>
      </c>
    </row>
    <row r="264" spans="1:13" s="16" customFormat="1" outlineLevel="2">
      <c r="A264" s="17" t="s">
        <v>29</v>
      </c>
      <c r="B264" s="18" t="s">
        <v>190</v>
      </c>
      <c r="C264" s="19" t="s">
        <v>159</v>
      </c>
      <c r="D264" s="18" t="s">
        <v>158</v>
      </c>
      <c r="E264" s="3">
        <v>3675000</v>
      </c>
      <c r="F264" s="17">
        <v>43725</v>
      </c>
      <c r="G264" s="3">
        <v>3675000</v>
      </c>
      <c r="H264" s="2">
        <v>1.4999999999999999E-2</v>
      </c>
      <c r="I264" s="17">
        <v>43725</v>
      </c>
      <c r="J264" s="17">
        <v>43738</v>
      </c>
      <c r="K264" s="3">
        <f>J264-I264+1</f>
        <v>14</v>
      </c>
      <c r="L264" s="3">
        <f>ROUND(G264*H264*K264/365,0)</f>
        <v>2114</v>
      </c>
      <c r="M264" s="3">
        <v>3675000</v>
      </c>
    </row>
    <row r="265" spans="1:13" s="16" customFormat="1" outlineLevel="2">
      <c r="A265" s="17" t="s">
        <v>29</v>
      </c>
      <c r="B265" s="18" t="s">
        <v>189</v>
      </c>
      <c r="C265" s="19" t="s">
        <v>51</v>
      </c>
      <c r="D265" s="18" t="s">
        <v>50</v>
      </c>
      <c r="E265" s="3">
        <v>22900000</v>
      </c>
      <c r="F265" s="17">
        <v>43720</v>
      </c>
      <c r="G265" s="3">
        <v>22900000</v>
      </c>
      <c r="H265" s="2">
        <v>1.4999999999999999E-2</v>
      </c>
      <c r="I265" s="17">
        <v>43720</v>
      </c>
      <c r="J265" s="17">
        <v>43738</v>
      </c>
      <c r="K265" s="3">
        <f>J265-I265+1</f>
        <v>19</v>
      </c>
      <c r="L265" s="3">
        <f>ROUND(G265*H265*K265/365,0)</f>
        <v>17881</v>
      </c>
      <c r="M265" s="3">
        <v>22900000</v>
      </c>
    </row>
    <row r="266" spans="1:13" s="16" customFormat="1" outlineLevel="2">
      <c r="A266" s="17" t="s">
        <v>29</v>
      </c>
      <c r="B266" s="18" t="s">
        <v>186</v>
      </c>
      <c r="C266" s="19" t="s">
        <v>150</v>
      </c>
      <c r="D266" s="18" t="s">
        <v>149</v>
      </c>
      <c r="E266" s="3">
        <v>11351225</v>
      </c>
      <c r="F266" s="17">
        <v>43726</v>
      </c>
      <c r="G266" s="3">
        <v>11351225</v>
      </c>
      <c r="H266" s="2">
        <v>3.0000000000000001E-3</v>
      </c>
      <c r="I266" s="17">
        <v>43726</v>
      </c>
      <c r="J266" s="17">
        <v>43738</v>
      </c>
      <c r="K266" s="3">
        <f>J266-I266+1</f>
        <v>13</v>
      </c>
      <c r="L266" s="3">
        <f>ROUND(G266*H266*K266/365,0)</f>
        <v>1213</v>
      </c>
      <c r="M266" s="3">
        <v>11351225</v>
      </c>
    </row>
    <row r="267" spans="1:13" s="16" customFormat="1" outlineLevel="2">
      <c r="A267" s="17" t="s">
        <v>29</v>
      </c>
      <c r="B267" s="18" t="s">
        <v>228</v>
      </c>
      <c r="C267" s="19" t="s">
        <v>150</v>
      </c>
      <c r="D267" s="18" t="s">
        <v>149</v>
      </c>
      <c r="E267" s="3">
        <v>35573768</v>
      </c>
      <c r="F267" s="17">
        <v>43728</v>
      </c>
      <c r="G267" s="3">
        <v>35573768</v>
      </c>
      <c r="H267" s="2">
        <v>3.0000000000000001E-3</v>
      </c>
      <c r="I267" s="17">
        <v>43728</v>
      </c>
      <c r="J267" s="17">
        <v>43738</v>
      </c>
      <c r="K267" s="3">
        <f>J267-I267+1</f>
        <v>11</v>
      </c>
      <c r="L267" s="3">
        <f>ROUND(G267*H267*K267/365,0)</f>
        <v>3216</v>
      </c>
      <c r="M267" s="3">
        <v>35573768</v>
      </c>
    </row>
    <row r="268" spans="1:13" s="16" customFormat="1" outlineLevel="2">
      <c r="A268" s="17" t="s">
        <v>29</v>
      </c>
      <c r="B268" s="18" t="s">
        <v>227</v>
      </c>
      <c r="C268" s="19" t="s">
        <v>150</v>
      </c>
      <c r="D268" s="18" t="s">
        <v>149</v>
      </c>
      <c r="E268" s="3">
        <v>58642675</v>
      </c>
      <c r="F268" s="17">
        <v>43710</v>
      </c>
      <c r="G268" s="3">
        <v>58642675</v>
      </c>
      <c r="H268" s="2">
        <v>5.0000000000000001E-3</v>
      </c>
      <c r="I268" s="17">
        <v>43710</v>
      </c>
      <c r="J268" s="17">
        <v>43738</v>
      </c>
      <c r="K268" s="3">
        <f>J268-I268+1</f>
        <v>29</v>
      </c>
      <c r="L268" s="3">
        <f>ROUND(G268*H268*K268/365,0)</f>
        <v>23296</v>
      </c>
      <c r="M268" s="3">
        <v>58642675</v>
      </c>
    </row>
    <row r="269" spans="1:13" s="16" customFormat="1" outlineLevel="2">
      <c r="A269" s="17" t="s">
        <v>29</v>
      </c>
      <c r="B269" s="18" t="s">
        <v>226</v>
      </c>
      <c r="C269" s="19" t="s">
        <v>150</v>
      </c>
      <c r="D269" s="18" t="s">
        <v>149</v>
      </c>
      <c r="E269" s="3">
        <v>3197383</v>
      </c>
      <c r="F269" s="17">
        <v>43712</v>
      </c>
      <c r="G269" s="3">
        <v>3197383</v>
      </c>
      <c r="H269" s="2">
        <v>5.0000000000000001E-3</v>
      </c>
      <c r="I269" s="17">
        <v>43712</v>
      </c>
      <c r="J269" s="17">
        <v>43738</v>
      </c>
      <c r="K269" s="3">
        <f>J269-I269+1</f>
        <v>27</v>
      </c>
      <c r="L269" s="3">
        <f>ROUND(G269*H269*K269/365,0)</f>
        <v>1183</v>
      </c>
      <c r="M269" s="3">
        <v>3197383</v>
      </c>
    </row>
    <row r="270" spans="1:13" s="16" customFormat="1" outlineLevel="2">
      <c r="A270" s="17" t="s">
        <v>29</v>
      </c>
      <c r="B270" s="18" t="s">
        <v>223</v>
      </c>
      <c r="C270" s="19" t="s">
        <v>150</v>
      </c>
      <c r="D270" s="18" t="s">
        <v>149</v>
      </c>
      <c r="E270" s="3">
        <v>14583793</v>
      </c>
      <c r="F270" s="17">
        <v>43712</v>
      </c>
      <c r="G270" s="3">
        <v>14583793</v>
      </c>
      <c r="H270" s="2">
        <v>5.0000000000000001E-3</v>
      </c>
      <c r="I270" s="17">
        <v>43712</v>
      </c>
      <c r="J270" s="17">
        <v>43738</v>
      </c>
      <c r="K270" s="3">
        <f>J270-I270+1</f>
        <v>27</v>
      </c>
      <c r="L270" s="3">
        <f>ROUND(G270*H270*K270/365,0)</f>
        <v>5394</v>
      </c>
      <c r="M270" s="3">
        <v>14583793</v>
      </c>
    </row>
    <row r="271" spans="1:13" s="16" customFormat="1" outlineLevel="2">
      <c r="A271" s="17" t="s">
        <v>29</v>
      </c>
      <c r="B271" s="18" t="s">
        <v>241</v>
      </c>
      <c r="C271" s="19" t="s">
        <v>150</v>
      </c>
      <c r="D271" s="18" t="s">
        <v>149</v>
      </c>
      <c r="E271" s="3">
        <v>6711605</v>
      </c>
      <c r="F271" s="17">
        <v>43719</v>
      </c>
      <c r="G271" s="3">
        <v>6711605</v>
      </c>
      <c r="H271" s="2">
        <v>5.0000000000000001E-3</v>
      </c>
      <c r="I271" s="17">
        <v>43719</v>
      </c>
      <c r="J271" s="17">
        <v>43738</v>
      </c>
      <c r="K271" s="3">
        <f>J271-I271+1</f>
        <v>20</v>
      </c>
      <c r="L271" s="3">
        <f>ROUND(G271*H271*K271/365,0)</f>
        <v>1839</v>
      </c>
      <c r="M271" s="3">
        <v>6711605</v>
      </c>
    </row>
    <row r="272" spans="1:13" s="16" customFormat="1" outlineLevel="2">
      <c r="A272" s="17" t="s">
        <v>29</v>
      </c>
      <c r="B272" s="18" t="s">
        <v>240</v>
      </c>
      <c r="C272" s="19" t="s">
        <v>150</v>
      </c>
      <c r="D272" s="18" t="s">
        <v>149</v>
      </c>
      <c r="E272" s="3">
        <v>6533824</v>
      </c>
      <c r="F272" s="17">
        <v>43724</v>
      </c>
      <c r="G272" s="3">
        <v>6533824</v>
      </c>
      <c r="H272" s="2">
        <v>5.0000000000000001E-3</v>
      </c>
      <c r="I272" s="17">
        <v>43724</v>
      </c>
      <c r="J272" s="17">
        <v>43738</v>
      </c>
      <c r="K272" s="3">
        <f>J272-I272+1</f>
        <v>15</v>
      </c>
      <c r="L272" s="3">
        <f>ROUND(G272*H272*K272/365,0)</f>
        <v>1343</v>
      </c>
      <c r="M272" s="3">
        <v>6533824</v>
      </c>
    </row>
    <row r="273" spans="1:13" s="16" customFormat="1" outlineLevel="2">
      <c r="A273" s="17" t="s">
        <v>29</v>
      </c>
      <c r="B273" s="18" t="s">
        <v>48</v>
      </c>
      <c r="C273" s="19" t="s">
        <v>43</v>
      </c>
      <c r="D273" s="18" t="s">
        <v>26</v>
      </c>
      <c r="E273" s="3">
        <v>46269826</v>
      </c>
      <c r="F273" s="17">
        <v>43626</v>
      </c>
      <c r="G273" s="3">
        <v>46269826</v>
      </c>
      <c r="H273" s="2">
        <v>1.4999999999999999E-2</v>
      </c>
      <c r="I273" s="17">
        <v>43709</v>
      </c>
      <c r="J273" s="17">
        <v>43738</v>
      </c>
      <c r="K273" s="3">
        <f>J273-I273+1</f>
        <v>30</v>
      </c>
      <c r="L273" s="3">
        <f>ROUND(G273*H273*K273/365,0)</f>
        <v>57045</v>
      </c>
      <c r="M273" s="3">
        <v>46269826</v>
      </c>
    </row>
    <row r="274" spans="1:13" s="16" customFormat="1" outlineLevel="2">
      <c r="A274" s="17" t="s">
        <v>29</v>
      </c>
      <c r="B274" s="18" t="s">
        <v>239</v>
      </c>
      <c r="C274" s="19" t="s">
        <v>150</v>
      </c>
      <c r="D274" s="18" t="s">
        <v>149</v>
      </c>
      <c r="E274" s="3">
        <v>26751801</v>
      </c>
      <c r="F274" s="17">
        <v>43726</v>
      </c>
      <c r="G274" s="3">
        <v>26751801</v>
      </c>
      <c r="H274" s="2">
        <v>5.0000000000000001E-3</v>
      </c>
      <c r="I274" s="17">
        <v>43726</v>
      </c>
      <c r="J274" s="17">
        <v>43738</v>
      </c>
      <c r="K274" s="3">
        <f>J274-I274+1</f>
        <v>13</v>
      </c>
      <c r="L274" s="3">
        <f>ROUND(G274*H274*K274/365,0)</f>
        <v>4764</v>
      </c>
      <c r="M274" s="3">
        <v>26751801</v>
      </c>
    </row>
    <row r="275" spans="1:13" s="16" customFormat="1" outlineLevel="2">
      <c r="A275" s="17" t="s">
        <v>29</v>
      </c>
      <c r="B275" s="18" t="s">
        <v>238</v>
      </c>
      <c r="C275" s="19" t="s">
        <v>150</v>
      </c>
      <c r="D275" s="18" t="s">
        <v>149</v>
      </c>
      <c r="E275" s="3">
        <v>2281113</v>
      </c>
      <c r="F275" s="17">
        <v>43726</v>
      </c>
      <c r="G275" s="3">
        <v>2281113</v>
      </c>
      <c r="H275" s="2">
        <v>5.0000000000000001E-3</v>
      </c>
      <c r="I275" s="17">
        <v>43726</v>
      </c>
      <c r="J275" s="17">
        <v>43738</v>
      </c>
      <c r="K275" s="3">
        <f>J275-I275+1</f>
        <v>13</v>
      </c>
      <c r="L275" s="3">
        <f>ROUND(G275*H275*K275/365,0)</f>
        <v>406</v>
      </c>
      <c r="M275" s="3">
        <v>2281113</v>
      </c>
    </row>
    <row r="276" spans="1:13" s="16" customFormat="1" outlineLevel="2">
      <c r="A276" s="17" t="s">
        <v>29</v>
      </c>
      <c r="B276" s="18" t="s">
        <v>237</v>
      </c>
      <c r="C276" s="19" t="s">
        <v>150</v>
      </c>
      <c r="D276" s="18" t="s">
        <v>149</v>
      </c>
      <c r="E276" s="3">
        <v>154539165</v>
      </c>
      <c r="F276" s="17">
        <v>43728</v>
      </c>
      <c r="G276" s="3">
        <v>154539165</v>
      </c>
      <c r="H276" s="2">
        <v>5.0000000000000001E-3</v>
      </c>
      <c r="I276" s="17">
        <v>43728</v>
      </c>
      <c r="J276" s="17">
        <v>43738</v>
      </c>
      <c r="K276" s="3">
        <f>J276-I276+1</f>
        <v>11</v>
      </c>
      <c r="L276" s="3">
        <f>ROUND(G276*H276*K276/365,0)</f>
        <v>23287</v>
      </c>
      <c r="M276" s="3">
        <v>154539165</v>
      </c>
    </row>
    <row r="277" spans="1:13" s="16" customFormat="1" outlineLevel="2">
      <c r="A277" s="17" t="s">
        <v>29</v>
      </c>
      <c r="B277" s="18" t="s">
        <v>236</v>
      </c>
      <c r="C277" s="19" t="s">
        <v>150</v>
      </c>
      <c r="D277" s="18" t="s">
        <v>149</v>
      </c>
      <c r="E277" s="3">
        <v>3168908</v>
      </c>
      <c r="F277" s="17">
        <v>43733</v>
      </c>
      <c r="G277" s="3">
        <v>3168908</v>
      </c>
      <c r="H277" s="2">
        <v>5.0000000000000001E-3</v>
      </c>
      <c r="I277" s="17">
        <v>43733</v>
      </c>
      <c r="J277" s="17">
        <v>43738</v>
      </c>
      <c r="K277" s="3">
        <f>J277-I277+1</f>
        <v>6</v>
      </c>
      <c r="L277" s="3">
        <f>ROUND(G277*H277*K277/365,0)</f>
        <v>260</v>
      </c>
      <c r="M277" s="3">
        <v>3168908</v>
      </c>
    </row>
    <row r="278" spans="1:13" s="16" customFormat="1" outlineLevel="2">
      <c r="A278" s="17" t="s">
        <v>29</v>
      </c>
      <c r="B278" s="18" t="s">
        <v>235</v>
      </c>
      <c r="C278" s="19" t="s">
        <v>150</v>
      </c>
      <c r="D278" s="18" t="s">
        <v>149</v>
      </c>
      <c r="E278" s="3">
        <v>25477584</v>
      </c>
      <c r="F278" s="17">
        <v>43735</v>
      </c>
      <c r="G278" s="3">
        <v>25477584</v>
      </c>
      <c r="H278" s="2">
        <v>5.0000000000000001E-3</v>
      </c>
      <c r="I278" s="17">
        <v>43735</v>
      </c>
      <c r="J278" s="17">
        <v>43738</v>
      </c>
      <c r="K278" s="3">
        <f>J278-I278+1</f>
        <v>4</v>
      </c>
      <c r="L278" s="3">
        <f>ROUND(G278*H278*K278/365,0)</f>
        <v>1396</v>
      </c>
      <c r="M278" s="3">
        <v>25477584</v>
      </c>
    </row>
    <row r="279" spans="1:13" s="16" customFormat="1" outlineLevel="2">
      <c r="A279" s="17" t="s">
        <v>29</v>
      </c>
      <c r="B279" s="18" t="s">
        <v>234</v>
      </c>
      <c r="C279" s="19" t="s">
        <v>233</v>
      </c>
      <c r="D279" s="18" t="s">
        <v>232</v>
      </c>
      <c r="E279" s="3">
        <v>36297937</v>
      </c>
      <c r="F279" s="17">
        <v>43738</v>
      </c>
      <c r="G279" s="3">
        <v>36297937</v>
      </c>
      <c r="H279" s="2">
        <v>1.4999999999999999E-2</v>
      </c>
      <c r="I279" s="17">
        <v>43738</v>
      </c>
      <c r="J279" s="17">
        <v>43738</v>
      </c>
      <c r="K279" s="3">
        <f>J279-I279+1</f>
        <v>1</v>
      </c>
      <c r="L279" s="3">
        <f>ROUND(G279*H279*K279/365,0)</f>
        <v>1492</v>
      </c>
      <c r="M279" s="3">
        <v>36297937</v>
      </c>
    </row>
    <row r="280" spans="1:13" s="16" customFormat="1" outlineLevel="2">
      <c r="A280" s="17" t="s">
        <v>29</v>
      </c>
      <c r="B280" s="18" t="s">
        <v>231</v>
      </c>
      <c r="C280" s="19" t="s">
        <v>230</v>
      </c>
      <c r="D280" s="18" t="s">
        <v>229</v>
      </c>
      <c r="E280" s="3">
        <v>37150000</v>
      </c>
      <c r="F280" s="17">
        <v>43732</v>
      </c>
      <c r="G280" s="3">
        <v>37150000</v>
      </c>
      <c r="H280" s="2">
        <v>5.0000000000000001E-3</v>
      </c>
      <c r="I280" s="17">
        <v>43732</v>
      </c>
      <c r="J280" s="17">
        <v>43738</v>
      </c>
      <c r="K280" s="3">
        <f>J280-I280+1</f>
        <v>7</v>
      </c>
      <c r="L280" s="3">
        <f>ROUND(G280*H280*K280/365,0)</f>
        <v>3562</v>
      </c>
      <c r="M280" s="3">
        <v>37150000</v>
      </c>
    </row>
    <row r="281" spans="1:13" s="16" customFormat="1" outlineLevel="2">
      <c r="A281" s="17" t="s">
        <v>29</v>
      </c>
      <c r="B281" s="18" t="s">
        <v>47</v>
      </c>
      <c r="C281" s="19" t="s">
        <v>43</v>
      </c>
      <c r="D281" s="18" t="s">
        <v>26</v>
      </c>
      <c r="E281" s="3">
        <v>3863475</v>
      </c>
      <c r="F281" s="17">
        <v>43634</v>
      </c>
      <c r="G281" s="3">
        <v>3863475</v>
      </c>
      <c r="H281" s="2">
        <v>1.4999999999999999E-2</v>
      </c>
      <c r="I281" s="17">
        <v>43709</v>
      </c>
      <c r="J281" s="17">
        <v>43738</v>
      </c>
      <c r="K281" s="3">
        <f>J281-I281+1</f>
        <v>30</v>
      </c>
      <c r="L281" s="3">
        <f>ROUND(G281*H281*K281/365,0)</f>
        <v>4763</v>
      </c>
      <c r="M281" s="3">
        <v>3863475</v>
      </c>
    </row>
    <row r="282" spans="1:13" s="16" customFormat="1" outlineLevel="2">
      <c r="A282" s="17" t="s">
        <v>29</v>
      </c>
      <c r="B282" s="18" t="s">
        <v>46</v>
      </c>
      <c r="C282" s="19" t="s">
        <v>43</v>
      </c>
      <c r="D282" s="18" t="s">
        <v>26</v>
      </c>
      <c r="E282" s="3">
        <v>8620798</v>
      </c>
      <c r="F282" s="17">
        <v>43644</v>
      </c>
      <c r="G282" s="3">
        <v>8620798</v>
      </c>
      <c r="H282" s="2">
        <v>1.4999999999999999E-2</v>
      </c>
      <c r="I282" s="17">
        <v>43709</v>
      </c>
      <c r="J282" s="17">
        <v>43738</v>
      </c>
      <c r="K282" s="3">
        <f>J282-I282+1</f>
        <v>30</v>
      </c>
      <c r="L282" s="3">
        <f>ROUND(G282*H282*K282/365,0)</f>
        <v>10628</v>
      </c>
      <c r="M282" s="3">
        <v>8620798</v>
      </c>
    </row>
    <row r="283" spans="1:13" s="16" customFormat="1" outlineLevel="2">
      <c r="A283" s="17" t="s">
        <v>29</v>
      </c>
      <c r="B283" s="18" t="s">
        <v>45</v>
      </c>
      <c r="C283" s="19" t="s">
        <v>43</v>
      </c>
      <c r="D283" s="18" t="s">
        <v>26</v>
      </c>
      <c r="E283" s="3">
        <v>14180723</v>
      </c>
      <c r="F283" s="17">
        <v>43626</v>
      </c>
      <c r="G283" s="3">
        <v>14180723</v>
      </c>
      <c r="H283" s="2">
        <v>1.4999999999999999E-2</v>
      </c>
      <c r="I283" s="17">
        <v>43709</v>
      </c>
      <c r="J283" s="17">
        <v>43738</v>
      </c>
      <c r="K283" s="3">
        <f>J283-I283+1</f>
        <v>30</v>
      </c>
      <c r="L283" s="3">
        <f>ROUND(G283*H283*K283/365,0)</f>
        <v>17483</v>
      </c>
      <c r="M283" s="3">
        <v>14180723</v>
      </c>
    </row>
    <row r="284" spans="1:13" s="16" customFormat="1" outlineLevel="2">
      <c r="A284" s="17" t="s">
        <v>29</v>
      </c>
      <c r="B284" s="18" t="s">
        <v>44</v>
      </c>
      <c r="C284" s="19" t="s">
        <v>43</v>
      </c>
      <c r="D284" s="18" t="s">
        <v>26</v>
      </c>
      <c r="E284" s="3">
        <v>10848433</v>
      </c>
      <c r="F284" s="17">
        <v>43634</v>
      </c>
      <c r="G284" s="3">
        <v>10848433</v>
      </c>
      <c r="H284" s="2">
        <v>1.4999999999999999E-2</v>
      </c>
      <c r="I284" s="17">
        <v>43709</v>
      </c>
      <c r="J284" s="17">
        <v>43738</v>
      </c>
      <c r="K284" s="3">
        <f>J284-I284+1</f>
        <v>30</v>
      </c>
      <c r="L284" s="3">
        <f>ROUND(G284*H284*K284/365,0)</f>
        <v>13375</v>
      </c>
      <c r="M284" s="3">
        <v>10848433</v>
      </c>
    </row>
    <row r="285" spans="1:13" s="16" customFormat="1" outlineLevel="1">
      <c r="A285" s="28" t="s">
        <v>25</v>
      </c>
      <c r="B285" s="21"/>
      <c r="C285" s="22"/>
      <c r="D285" s="21"/>
      <c r="E285" s="23">
        <f>SUBTOTAL(9,E229:E284)</f>
        <v>4090923270</v>
      </c>
      <c r="F285" s="20"/>
      <c r="G285" s="23"/>
      <c r="H285" s="24"/>
      <c r="I285" s="20"/>
      <c r="J285" s="20"/>
      <c r="K285" s="23"/>
      <c r="L285" s="23">
        <f>SUBTOTAL(9,L229:L284)</f>
        <v>3761316</v>
      </c>
      <c r="M285" s="23">
        <f>SUBTOTAL(9,M229:M284)</f>
        <v>4090923270</v>
      </c>
    </row>
    <row r="286" spans="1:13" s="35" customFormat="1" outlineLevel="1">
      <c r="A286" s="29"/>
      <c r="B286" s="30"/>
      <c r="C286" s="31"/>
      <c r="D286" s="30"/>
      <c r="E286" s="32"/>
      <c r="F286" s="33"/>
      <c r="G286" s="32"/>
      <c r="H286" s="34"/>
      <c r="I286" s="33"/>
      <c r="J286" s="33"/>
      <c r="K286" s="32"/>
      <c r="L286" s="32"/>
      <c r="M286" s="32"/>
    </row>
    <row r="287" spans="1:13" s="16" customFormat="1">
      <c r="A287" s="20" t="s">
        <v>24</v>
      </c>
      <c r="B287" s="21"/>
      <c r="C287" s="22"/>
      <c r="D287" s="21"/>
      <c r="E287" s="23">
        <f>SUBTOTAL(9,E4:E284)</f>
        <v>18895329876</v>
      </c>
      <c r="F287" s="20"/>
      <c r="G287" s="23"/>
      <c r="H287" s="24"/>
      <c r="I287" s="20"/>
      <c r="J287" s="20"/>
      <c r="K287" s="23"/>
      <c r="L287" s="23">
        <f>SUBTOTAL(9,L4:L284)</f>
        <v>18200818</v>
      </c>
      <c r="M287" s="23">
        <f>SUBTOTAL(9,M4:M284)</f>
        <v>18883062925</v>
      </c>
    </row>
    <row r="289" spans="1:9">
      <c r="A289" s="25" t="s">
        <v>22</v>
      </c>
      <c r="B289" s="25"/>
      <c r="E289" s="26" t="s">
        <v>23</v>
      </c>
      <c r="G289" s="5"/>
      <c r="I289" s="27" t="s">
        <v>21</v>
      </c>
    </row>
  </sheetData>
  <autoFilter ref="A3:M285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orientation="landscape" r:id="rId1"/>
  <headerFooter alignWithMargins="0">
    <oddHeader>&amp;R附件2</oddHeader>
    <oddFooter>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027C-9253-483F-BC69-8586482B2501}">
  <dimension ref="A1:M419"/>
  <sheetViews>
    <sheetView zoomScaleNormal="100" workbookViewId="0">
      <selection activeCell="E13" sqref="E13"/>
    </sheetView>
  </sheetViews>
  <sheetFormatPr defaultColWidth="5.375" defaultRowHeight="13.5" outlineLevelRow="2"/>
  <cols>
    <col min="1" max="1" width="16.25" style="5" bestFit="1" customWidth="1"/>
    <col min="2" max="2" width="8.625" style="5" bestFit="1" customWidth="1"/>
    <col min="3" max="3" width="20.5" style="5" bestFit="1" customWidth="1"/>
    <col min="4" max="4" width="12.625" style="5" bestFit="1" customWidth="1"/>
    <col min="5" max="5" width="14.625" style="8" bestFit="1" customWidth="1"/>
    <col min="6" max="6" width="12.625" style="9" bestFit="1" customWidth="1"/>
    <col min="7" max="7" width="13.5" style="8" bestFit="1" customWidth="1"/>
    <col min="8" max="8" width="11" style="10" bestFit="1" customWidth="1"/>
    <col min="9" max="10" width="9.75" style="5" bestFit="1" customWidth="1"/>
    <col min="11" max="11" width="11" style="5" bestFit="1" customWidth="1"/>
    <col min="12" max="12" width="11" style="8" bestFit="1" customWidth="1"/>
    <col min="13" max="13" width="14.625" style="5" bestFit="1" customWidth="1"/>
    <col min="14" max="14" width="5.375" style="5"/>
    <col min="15" max="15" width="25.875" style="5" customWidth="1"/>
    <col min="16" max="16384" width="5.375" style="5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6" t="s">
        <v>1</v>
      </c>
      <c r="C2" s="7">
        <v>43769</v>
      </c>
      <c r="D2" s="53"/>
      <c r="L2" s="8" t="s">
        <v>2</v>
      </c>
    </row>
    <row r="3" spans="1:13" s="16" customFormat="1" ht="27.75" thickBot="1">
      <c r="A3" s="1" t="s">
        <v>3</v>
      </c>
      <c r="B3" s="11" t="s">
        <v>4</v>
      </c>
      <c r="C3" s="12" t="s">
        <v>5</v>
      </c>
      <c r="D3" s="12" t="s">
        <v>6</v>
      </c>
      <c r="E3" s="13" t="s">
        <v>7</v>
      </c>
      <c r="F3" s="12" t="s">
        <v>8</v>
      </c>
      <c r="G3" s="14" t="s">
        <v>9</v>
      </c>
      <c r="H3" s="15" t="s">
        <v>10</v>
      </c>
      <c r="I3" s="1" t="s">
        <v>11</v>
      </c>
      <c r="J3" s="1" t="s">
        <v>12</v>
      </c>
      <c r="K3" s="1" t="s">
        <v>13</v>
      </c>
      <c r="L3" s="13" t="s">
        <v>14</v>
      </c>
      <c r="M3" s="1" t="s">
        <v>359</v>
      </c>
    </row>
    <row r="4" spans="1:13" s="16" customFormat="1" outlineLevel="2">
      <c r="A4" s="17" t="s">
        <v>42</v>
      </c>
      <c r="B4" s="18" t="s">
        <v>17</v>
      </c>
      <c r="C4" s="19" t="s">
        <v>54</v>
      </c>
      <c r="D4" s="18" t="s">
        <v>34</v>
      </c>
      <c r="E4" s="3">
        <v>14900000</v>
      </c>
      <c r="F4" s="17">
        <v>43591</v>
      </c>
      <c r="G4" s="3">
        <v>14900000</v>
      </c>
      <c r="H4" s="2">
        <v>1.4999999999999999E-2</v>
      </c>
      <c r="I4" s="17">
        <v>43739</v>
      </c>
      <c r="J4" s="17">
        <v>43769</v>
      </c>
      <c r="K4" s="3">
        <f>J4-I4+1</f>
        <v>31</v>
      </c>
      <c r="L4" s="3">
        <f>ROUND(G4*H4*K4/365,0)</f>
        <v>18982</v>
      </c>
      <c r="M4" s="3">
        <v>14900000</v>
      </c>
    </row>
    <row r="5" spans="1:13" s="16" customFormat="1" outlineLevel="2">
      <c r="A5" s="17" t="s">
        <v>42</v>
      </c>
      <c r="B5" s="18" t="s">
        <v>181</v>
      </c>
      <c r="C5" s="19" t="s">
        <v>225</v>
      </c>
      <c r="D5" s="18" t="s">
        <v>224</v>
      </c>
      <c r="E5" s="3">
        <v>180000000</v>
      </c>
      <c r="F5" s="17">
        <v>43700</v>
      </c>
      <c r="G5" s="3">
        <v>180000000</v>
      </c>
      <c r="H5" s="2">
        <v>5.0000000000000001E-3</v>
      </c>
      <c r="I5" s="17">
        <v>43739</v>
      </c>
      <c r="J5" s="17">
        <v>43769</v>
      </c>
      <c r="K5" s="3">
        <f>J5-I5+1</f>
        <v>31</v>
      </c>
      <c r="L5" s="3">
        <f>ROUND(G5*H5*K5/365,0)</f>
        <v>76438</v>
      </c>
      <c r="M5" s="3">
        <v>180000000</v>
      </c>
    </row>
    <row r="6" spans="1:13" s="16" customFormat="1" outlineLevel="2">
      <c r="A6" s="17" t="s">
        <v>42</v>
      </c>
      <c r="B6" s="18" t="s">
        <v>180</v>
      </c>
      <c r="C6" s="19" t="s">
        <v>163</v>
      </c>
      <c r="D6" s="18" t="s">
        <v>162</v>
      </c>
      <c r="E6" s="3">
        <v>5500000</v>
      </c>
      <c r="F6" s="17">
        <v>43692</v>
      </c>
      <c r="G6" s="3">
        <v>5500000</v>
      </c>
      <c r="H6" s="2">
        <v>5.0000000000000001E-3</v>
      </c>
      <c r="I6" s="17">
        <v>43739</v>
      </c>
      <c r="J6" s="17">
        <v>43769</v>
      </c>
      <c r="K6" s="3">
        <f>J6-I6+1</f>
        <v>31</v>
      </c>
      <c r="L6" s="3">
        <f>ROUND(G6*H6*K6/365,0)</f>
        <v>2336</v>
      </c>
      <c r="M6" s="3">
        <v>5500000</v>
      </c>
    </row>
    <row r="7" spans="1:13" s="16" customFormat="1" outlineLevel="2">
      <c r="A7" s="17" t="s">
        <v>42</v>
      </c>
      <c r="B7" s="18" t="s">
        <v>179</v>
      </c>
      <c r="C7" s="19" t="s">
        <v>54</v>
      </c>
      <c r="D7" s="18" t="s">
        <v>34</v>
      </c>
      <c r="E7" s="3">
        <v>1924000</v>
      </c>
      <c r="F7" s="17">
        <v>43713</v>
      </c>
      <c r="G7" s="3">
        <v>1924000</v>
      </c>
      <c r="H7" s="2">
        <v>1.4999999999999999E-2</v>
      </c>
      <c r="I7" s="17">
        <v>43739</v>
      </c>
      <c r="J7" s="17">
        <v>43769</v>
      </c>
      <c r="K7" s="3">
        <f>J7-I7+1</f>
        <v>31</v>
      </c>
      <c r="L7" s="3">
        <f>ROUND(G7*H7*K7/365,0)</f>
        <v>2451</v>
      </c>
      <c r="M7" s="3">
        <v>1924000</v>
      </c>
    </row>
    <row r="8" spans="1:13" s="16" customFormat="1" outlineLevel="2">
      <c r="A8" s="17" t="s">
        <v>42</v>
      </c>
      <c r="B8" s="18" t="s">
        <v>178</v>
      </c>
      <c r="C8" s="19" t="s">
        <v>54</v>
      </c>
      <c r="D8" s="18" t="s">
        <v>34</v>
      </c>
      <c r="E8" s="3">
        <v>1955000</v>
      </c>
      <c r="F8" s="17">
        <v>43733</v>
      </c>
      <c r="G8" s="3">
        <v>1955000</v>
      </c>
      <c r="H8" s="2">
        <v>1.4999999999999999E-2</v>
      </c>
      <c r="I8" s="17">
        <v>43739</v>
      </c>
      <c r="J8" s="17">
        <v>43769</v>
      </c>
      <c r="K8" s="3">
        <f>J8-I8+1</f>
        <v>31</v>
      </c>
      <c r="L8" s="3">
        <f>ROUND(G8*H8*K8/365,0)</f>
        <v>2491</v>
      </c>
      <c r="M8" s="3">
        <v>1955000</v>
      </c>
    </row>
    <row r="9" spans="1:13" s="16" customFormat="1" outlineLevel="2">
      <c r="A9" s="17" t="s">
        <v>42</v>
      </c>
      <c r="B9" s="18" t="s">
        <v>178</v>
      </c>
      <c r="C9" s="19" t="s">
        <v>185</v>
      </c>
      <c r="D9" s="18" t="s">
        <v>184</v>
      </c>
      <c r="E9" s="3">
        <v>100000000</v>
      </c>
      <c r="F9" s="17">
        <v>43753</v>
      </c>
      <c r="G9" s="3">
        <v>100000000</v>
      </c>
      <c r="H9" s="2">
        <v>5.0000000000000001E-3</v>
      </c>
      <c r="I9" s="17">
        <v>43753</v>
      </c>
      <c r="J9" s="17">
        <v>43769</v>
      </c>
      <c r="K9" s="3">
        <f>J9-I9+1</f>
        <v>17</v>
      </c>
      <c r="L9" s="3">
        <f>ROUND(G9*H9*K9/365,0)</f>
        <v>23288</v>
      </c>
      <c r="M9" s="3">
        <v>100000000</v>
      </c>
    </row>
    <row r="10" spans="1:13" s="16" customFormat="1" outlineLevel="2">
      <c r="A10" s="17" t="s">
        <v>42</v>
      </c>
      <c r="B10" s="18" t="s">
        <v>177</v>
      </c>
      <c r="C10" s="19" t="s">
        <v>163</v>
      </c>
      <c r="D10" s="18" t="s">
        <v>162</v>
      </c>
      <c r="E10" s="3">
        <v>23700000</v>
      </c>
      <c r="F10" s="17">
        <v>43714</v>
      </c>
      <c r="G10" s="3">
        <v>23700000</v>
      </c>
      <c r="H10" s="2">
        <v>5.0000000000000001E-3</v>
      </c>
      <c r="I10" s="17">
        <v>43739</v>
      </c>
      <c r="J10" s="17">
        <v>43769</v>
      </c>
      <c r="K10" s="3">
        <f>J10-I10+1</f>
        <v>31</v>
      </c>
      <c r="L10" s="3">
        <f>ROUND(G10*H10*K10/365,0)</f>
        <v>10064</v>
      </c>
      <c r="M10" s="3">
        <v>23700000</v>
      </c>
    </row>
    <row r="11" spans="1:13" s="16" customFormat="1" outlineLevel="2">
      <c r="A11" s="17" t="s">
        <v>42</v>
      </c>
      <c r="B11" s="18" t="s">
        <v>177</v>
      </c>
      <c r="C11" s="19" t="s">
        <v>54</v>
      </c>
      <c r="D11" s="18" t="s">
        <v>34</v>
      </c>
      <c r="E11" s="3">
        <v>28738000</v>
      </c>
      <c r="F11" s="17">
        <v>43763</v>
      </c>
      <c r="G11" s="3">
        <v>28738000</v>
      </c>
      <c r="H11" s="2">
        <v>1.4999999999999999E-2</v>
      </c>
      <c r="I11" s="17">
        <v>43763</v>
      </c>
      <c r="J11" s="17">
        <v>43769</v>
      </c>
      <c r="K11" s="3">
        <f>J11-I11+1</f>
        <v>7</v>
      </c>
      <c r="L11" s="3">
        <f>ROUND(G11*H11*K11/365,0)</f>
        <v>8267</v>
      </c>
      <c r="M11" s="3">
        <v>28738000</v>
      </c>
    </row>
    <row r="12" spans="1:13" s="16" customFormat="1" outlineLevel="2">
      <c r="A12" s="17" t="s">
        <v>42</v>
      </c>
      <c r="B12" s="18" t="s">
        <v>176</v>
      </c>
      <c r="C12" s="19" t="s">
        <v>163</v>
      </c>
      <c r="D12" s="18" t="s">
        <v>162</v>
      </c>
      <c r="E12" s="3">
        <v>48000000</v>
      </c>
      <c r="F12" s="17">
        <v>43717</v>
      </c>
      <c r="G12" s="3">
        <v>48000000</v>
      </c>
      <c r="H12" s="2">
        <v>5.0000000000000001E-3</v>
      </c>
      <c r="I12" s="17">
        <v>43739</v>
      </c>
      <c r="J12" s="17">
        <v>43769</v>
      </c>
      <c r="K12" s="3">
        <f>J12-I12+1</f>
        <v>31</v>
      </c>
      <c r="L12" s="3">
        <f>ROUND(G12*H12*K12/365,0)</f>
        <v>20384</v>
      </c>
      <c r="M12" s="3">
        <v>48000000</v>
      </c>
    </row>
    <row r="13" spans="1:13" s="16" customFormat="1" outlineLevel="2">
      <c r="A13" s="17" t="s">
        <v>42</v>
      </c>
      <c r="B13" s="18" t="s">
        <v>176</v>
      </c>
      <c r="C13" s="19" t="s">
        <v>308</v>
      </c>
      <c r="D13" s="18" t="s">
        <v>307</v>
      </c>
      <c r="E13" s="3">
        <v>400000000</v>
      </c>
      <c r="F13" s="17">
        <v>43753</v>
      </c>
      <c r="G13" s="3">
        <v>400000000</v>
      </c>
      <c r="H13" s="2">
        <v>5.0000000000000001E-3</v>
      </c>
      <c r="I13" s="17">
        <v>43753</v>
      </c>
      <c r="J13" s="17">
        <v>43769</v>
      </c>
      <c r="K13" s="3">
        <f>J13-I13+1</f>
        <v>17</v>
      </c>
      <c r="L13" s="3">
        <f>ROUND(G13*H13*K13/365,0)</f>
        <v>93151</v>
      </c>
      <c r="M13" s="3">
        <v>400000000</v>
      </c>
    </row>
    <row r="14" spans="1:13" s="16" customFormat="1" outlineLevel="2">
      <c r="A14" s="17" t="s">
        <v>42</v>
      </c>
      <c r="B14" s="18" t="s">
        <v>175</v>
      </c>
      <c r="C14" s="19" t="s">
        <v>163</v>
      </c>
      <c r="D14" s="18" t="s">
        <v>162</v>
      </c>
      <c r="E14" s="3">
        <v>30000000</v>
      </c>
      <c r="F14" s="17">
        <v>43734</v>
      </c>
      <c r="G14" s="3">
        <v>30000000</v>
      </c>
      <c r="H14" s="2">
        <v>5.0000000000000001E-3</v>
      </c>
      <c r="I14" s="17">
        <v>43739</v>
      </c>
      <c r="J14" s="17">
        <v>43769</v>
      </c>
      <c r="K14" s="3">
        <f>J14-I14+1</f>
        <v>31</v>
      </c>
      <c r="L14" s="3">
        <f>ROUND(G14*H14*K14/365,0)</f>
        <v>12740</v>
      </c>
      <c r="M14" s="3">
        <v>30000000</v>
      </c>
    </row>
    <row r="15" spans="1:13" s="16" customFormat="1" outlineLevel="2">
      <c r="A15" s="17" t="s">
        <v>42</v>
      </c>
      <c r="B15" s="18" t="s">
        <v>175</v>
      </c>
      <c r="C15" s="19" t="s">
        <v>308</v>
      </c>
      <c r="D15" s="18" t="s">
        <v>307</v>
      </c>
      <c r="E15" s="3">
        <v>38300000</v>
      </c>
      <c r="F15" s="17">
        <v>43753</v>
      </c>
      <c r="G15" s="3">
        <v>38300000</v>
      </c>
      <c r="H15" s="2">
        <v>5.0000000000000001E-3</v>
      </c>
      <c r="I15" s="17">
        <v>43753</v>
      </c>
      <c r="J15" s="17">
        <v>43769</v>
      </c>
      <c r="K15" s="3">
        <f>J15-I15+1</f>
        <v>17</v>
      </c>
      <c r="L15" s="3">
        <f>ROUND(G15*H15*K15/365,0)</f>
        <v>8919</v>
      </c>
      <c r="M15" s="3">
        <v>38300000</v>
      </c>
    </row>
    <row r="16" spans="1:13" s="16" customFormat="1" outlineLevel="2">
      <c r="A16" s="17" t="s">
        <v>42</v>
      </c>
      <c r="B16" s="18" t="s">
        <v>174</v>
      </c>
      <c r="C16" s="19" t="s">
        <v>288</v>
      </c>
      <c r="D16" s="18" t="s">
        <v>287</v>
      </c>
      <c r="E16" s="3">
        <v>176000000</v>
      </c>
      <c r="F16" s="17">
        <v>43723</v>
      </c>
      <c r="G16" s="3">
        <v>176000000</v>
      </c>
      <c r="H16" s="2">
        <v>1.4999999999999999E-2</v>
      </c>
      <c r="I16" s="17">
        <v>43739</v>
      </c>
      <c r="J16" s="17">
        <v>43769</v>
      </c>
      <c r="K16" s="3">
        <f>J16-I16+1</f>
        <v>31</v>
      </c>
      <c r="L16" s="3">
        <f>ROUND(G16*H16*K16/365,0)</f>
        <v>224219</v>
      </c>
      <c r="M16" s="3">
        <v>176000000</v>
      </c>
    </row>
    <row r="17" spans="1:13" s="16" customFormat="1" outlineLevel="2">
      <c r="A17" s="17" t="s">
        <v>42</v>
      </c>
      <c r="B17" s="18" t="s">
        <v>174</v>
      </c>
      <c r="C17" s="19" t="s">
        <v>308</v>
      </c>
      <c r="D17" s="18" t="s">
        <v>307</v>
      </c>
      <c r="E17" s="3">
        <v>3700000</v>
      </c>
      <c r="F17" s="17">
        <v>43753</v>
      </c>
      <c r="G17" s="3">
        <v>3700000</v>
      </c>
      <c r="H17" s="2">
        <v>5.0000000000000001E-3</v>
      </c>
      <c r="I17" s="17">
        <v>43753</v>
      </c>
      <c r="J17" s="17">
        <v>43769</v>
      </c>
      <c r="K17" s="3">
        <f>J17-I17+1</f>
        <v>17</v>
      </c>
      <c r="L17" s="3">
        <f>ROUND(G17*H17*K17/365,0)</f>
        <v>862</v>
      </c>
      <c r="M17" s="3">
        <v>3700000</v>
      </c>
    </row>
    <row r="18" spans="1:13" s="16" customFormat="1" outlineLevel="2">
      <c r="A18" s="17" t="s">
        <v>42</v>
      </c>
      <c r="B18" s="18" t="s">
        <v>171</v>
      </c>
      <c r="C18" s="19" t="s">
        <v>358</v>
      </c>
      <c r="D18" s="18" t="s">
        <v>357</v>
      </c>
      <c r="E18" s="3">
        <v>10000000</v>
      </c>
      <c r="F18" s="17">
        <v>43753</v>
      </c>
      <c r="G18" s="3">
        <v>10000000</v>
      </c>
      <c r="H18" s="2">
        <v>5.0000000000000001E-3</v>
      </c>
      <c r="I18" s="17">
        <v>43753</v>
      </c>
      <c r="J18" s="17">
        <v>43769</v>
      </c>
      <c r="K18" s="3">
        <f>J18-I18+1</f>
        <v>17</v>
      </c>
      <c r="L18" s="3">
        <f>ROUND(G18*H18*K18/365,0)</f>
        <v>2329</v>
      </c>
      <c r="M18" s="3">
        <v>10000000</v>
      </c>
    </row>
    <row r="19" spans="1:13" s="16" customFormat="1" outlineLevel="2">
      <c r="A19" s="17" t="s">
        <v>42</v>
      </c>
      <c r="B19" s="18" t="s">
        <v>170</v>
      </c>
      <c r="C19" s="19" t="s">
        <v>310</v>
      </c>
      <c r="D19" s="18" t="s">
        <v>309</v>
      </c>
      <c r="E19" s="3">
        <v>144800000</v>
      </c>
      <c r="F19" s="17">
        <v>43753</v>
      </c>
      <c r="G19" s="3">
        <v>144800000</v>
      </c>
      <c r="H19" s="2">
        <v>5.0000000000000001E-3</v>
      </c>
      <c r="I19" s="17">
        <v>43753</v>
      </c>
      <c r="J19" s="17">
        <v>43769</v>
      </c>
      <c r="K19" s="3">
        <f>J19-I19+1</f>
        <v>17</v>
      </c>
      <c r="L19" s="3">
        <f>ROUND(G19*H19*K19/365,0)</f>
        <v>33721</v>
      </c>
      <c r="M19" s="3">
        <v>144800000</v>
      </c>
    </row>
    <row r="20" spans="1:13" s="16" customFormat="1" outlineLevel="2">
      <c r="A20" s="17" t="s">
        <v>42</v>
      </c>
      <c r="B20" s="18" t="s">
        <v>31</v>
      </c>
      <c r="C20" s="19" t="s">
        <v>54</v>
      </c>
      <c r="D20" s="18" t="s">
        <v>34</v>
      </c>
      <c r="E20" s="3">
        <v>3080000</v>
      </c>
      <c r="F20" s="17">
        <v>43612</v>
      </c>
      <c r="G20" s="3">
        <v>3080000</v>
      </c>
      <c r="H20" s="2">
        <v>1.4999999999999999E-2</v>
      </c>
      <c r="I20" s="17">
        <v>43739</v>
      </c>
      <c r="J20" s="17">
        <v>43769</v>
      </c>
      <c r="K20" s="3">
        <f>J20-I20+1</f>
        <v>31</v>
      </c>
      <c r="L20" s="3">
        <f>ROUND(G20*H20*K20/365,0)</f>
        <v>3924</v>
      </c>
      <c r="M20" s="3">
        <v>3080000</v>
      </c>
    </row>
    <row r="21" spans="1:13" s="16" customFormat="1" outlineLevel="2">
      <c r="A21" s="17" t="s">
        <v>42</v>
      </c>
      <c r="B21" s="18" t="s">
        <v>169</v>
      </c>
      <c r="C21" s="19" t="s">
        <v>310</v>
      </c>
      <c r="D21" s="18" t="s">
        <v>309</v>
      </c>
      <c r="E21" s="3">
        <v>57012868</v>
      </c>
      <c r="F21" s="17">
        <v>43753</v>
      </c>
      <c r="G21" s="3">
        <v>57012868</v>
      </c>
      <c r="H21" s="2">
        <v>5.0000000000000001E-3</v>
      </c>
      <c r="I21" s="17">
        <v>43753</v>
      </c>
      <c r="J21" s="17">
        <v>43769</v>
      </c>
      <c r="K21" s="3">
        <f>J21-I21+1</f>
        <v>17</v>
      </c>
      <c r="L21" s="3">
        <f>ROUND(G21*H21*K21/365,0)</f>
        <v>13277</v>
      </c>
      <c r="M21" s="3">
        <v>57012868</v>
      </c>
    </row>
    <row r="22" spans="1:13" s="16" customFormat="1" outlineLevel="2">
      <c r="A22" s="17" t="s">
        <v>42</v>
      </c>
      <c r="B22" s="18" t="s">
        <v>168</v>
      </c>
      <c r="C22" s="19" t="s">
        <v>356</v>
      </c>
      <c r="D22" s="18" t="s">
        <v>355</v>
      </c>
      <c r="E22" s="3">
        <v>14000000</v>
      </c>
      <c r="F22" s="17">
        <v>43739</v>
      </c>
      <c r="G22" s="3">
        <v>14000000</v>
      </c>
      <c r="H22" s="2">
        <v>5.0000000000000001E-3</v>
      </c>
      <c r="I22" s="17">
        <v>43739</v>
      </c>
      <c r="J22" s="17">
        <v>43769</v>
      </c>
      <c r="K22" s="3">
        <f>J22-I22+1</f>
        <v>31</v>
      </c>
      <c r="L22" s="3">
        <f>ROUND(G22*H22*K22/365,0)</f>
        <v>5945</v>
      </c>
      <c r="M22" s="3">
        <v>14000000</v>
      </c>
    </row>
    <row r="23" spans="1:13" s="16" customFormat="1" outlineLevel="2">
      <c r="A23" s="17" t="s">
        <v>42</v>
      </c>
      <c r="B23" s="18" t="s">
        <v>167</v>
      </c>
      <c r="C23" s="19" t="s">
        <v>356</v>
      </c>
      <c r="D23" s="18" t="s">
        <v>355</v>
      </c>
      <c r="E23" s="3">
        <v>28000000</v>
      </c>
      <c r="F23" s="17">
        <v>43766</v>
      </c>
      <c r="G23" s="3">
        <v>28000000</v>
      </c>
      <c r="H23" s="2">
        <v>5.0000000000000001E-3</v>
      </c>
      <c r="I23" s="17">
        <v>43766</v>
      </c>
      <c r="J23" s="17">
        <v>43769</v>
      </c>
      <c r="K23" s="3">
        <f>J23-I23+1</f>
        <v>4</v>
      </c>
      <c r="L23" s="3">
        <f>ROUND(G23*H23*K23/365,0)</f>
        <v>1534</v>
      </c>
      <c r="M23" s="3">
        <v>28000000</v>
      </c>
    </row>
    <row r="24" spans="1:13" s="16" customFormat="1" outlineLevel="2">
      <c r="A24" s="17" t="s">
        <v>42</v>
      </c>
      <c r="B24" s="18" t="s">
        <v>166</v>
      </c>
      <c r="C24" s="19" t="s">
        <v>163</v>
      </c>
      <c r="D24" s="18" t="s">
        <v>162</v>
      </c>
      <c r="E24" s="3">
        <v>50000000</v>
      </c>
      <c r="F24" s="17">
        <v>43747</v>
      </c>
      <c r="G24" s="3">
        <v>50000000</v>
      </c>
      <c r="H24" s="2">
        <v>5.0000000000000001E-3</v>
      </c>
      <c r="I24" s="17">
        <v>43747</v>
      </c>
      <c r="J24" s="17">
        <v>43769</v>
      </c>
      <c r="K24" s="3">
        <f>J24-I24+1</f>
        <v>23</v>
      </c>
      <c r="L24" s="3">
        <f>ROUND(G24*H24*K24/365,0)</f>
        <v>15753</v>
      </c>
      <c r="M24" s="3">
        <v>50000000</v>
      </c>
    </row>
    <row r="25" spans="1:13" s="16" customFormat="1" outlineLevel="2">
      <c r="A25" s="17" t="s">
        <v>42</v>
      </c>
      <c r="B25" s="18" t="s">
        <v>165</v>
      </c>
      <c r="C25" s="19" t="s">
        <v>163</v>
      </c>
      <c r="D25" s="18" t="s">
        <v>162</v>
      </c>
      <c r="E25" s="3">
        <v>12200000</v>
      </c>
      <c r="F25" s="17">
        <v>43756</v>
      </c>
      <c r="G25" s="3">
        <v>12200000</v>
      </c>
      <c r="H25" s="2">
        <v>5.0000000000000001E-3</v>
      </c>
      <c r="I25" s="17">
        <v>43756</v>
      </c>
      <c r="J25" s="17">
        <v>43769</v>
      </c>
      <c r="K25" s="3">
        <f>J25-I25+1</f>
        <v>14</v>
      </c>
      <c r="L25" s="3">
        <f>ROUND(G25*H25*K25/365,0)</f>
        <v>2340</v>
      </c>
      <c r="M25" s="3">
        <v>12200000</v>
      </c>
    </row>
    <row r="26" spans="1:13" s="16" customFormat="1" outlineLevel="2">
      <c r="A26" s="17" t="s">
        <v>42</v>
      </c>
      <c r="B26" s="18" t="s">
        <v>164</v>
      </c>
      <c r="C26" s="19" t="s">
        <v>183</v>
      </c>
      <c r="D26" s="18" t="s">
        <v>182</v>
      </c>
      <c r="E26" s="3">
        <v>10266476</v>
      </c>
      <c r="F26" s="17">
        <v>43754</v>
      </c>
      <c r="G26" s="3">
        <v>10266476</v>
      </c>
      <c r="H26" s="2">
        <v>5.0000000000000001E-3</v>
      </c>
      <c r="I26" s="17">
        <v>43754</v>
      </c>
      <c r="J26" s="17">
        <v>43769</v>
      </c>
      <c r="K26" s="3">
        <f>J26-I26+1</f>
        <v>16</v>
      </c>
      <c r="L26" s="3">
        <f>ROUND(G26*H26*K26/365,0)</f>
        <v>2250</v>
      </c>
      <c r="M26" s="3">
        <v>10266476</v>
      </c>
    </row>
    <row r="27" spans="1:13" s="16" customFormat="1" outlineLevel="2">
      <c r="A27" s="17" t="s">
        <v>42</v>
      </c>
      <c r="B27" s="18" t="s">
        <v>161</v>
      </c>
      <c r="C27" s="19" t="s">
        <v>183</v>
      </c>
      <c r="D27" s="18" t="s">
        <v>182</v>
      </c>
      <c r="E27" s="3">
        <v>10034223</v>
      </c>
      <c r="F27" s="17">
        <v>43760</v>
      </c>
      <c r="G27" s="3">
        <v>10034223</v>
      </c>
      <c r="H27" s="2">
        <v>5.0000000000000001E-3</v>
      </c>
      <c r="I27" s="17">
        <v>43760</v>
      </c>
      <c r="J27" s="17">
        <v>43769</v>
      </c>
      <c r="K27" s="3">
        <f>J27-I27+1</f>
        <v>10</v>
      </c>
      <c r="L27" s="3">
        <f>ROUND(G27*H27*K27/365,0)</f>
        <v>1375</v>
      </c>
      <c r="M27" s="3">
        <v>10034223</v>
      </c>
    </row>
    <row r="28" spans="1:13" s="16" customFormat="1" outlineLevel="2">
      <c r="A28" s="17" t="s">
        <v>42</v>
      </c>
      <c r="B28" s="18" t="s">
        <v>160</v>
      </c>
      <c r="C28" s="19" t="s">
        <v>183</v>
      </c>
      <c r="D28" s="18" t="s">
        <v>182</v>
      </c>
      <c r="E28" s="3">
        <v>9645735</v>
      </c>
      <c r="F28" s="17">
        <v>43762</v>
      </c>
      <c r="G28" s="3">
        <v>9645735</v>
      </c>
      <c r="H28" s="2">
        <v>5.0000000000000001E-3</v>
      </c>
      <c r="I28" s="17">
        <v>43762</v>
      </c>
      <c r="J28" s="17">
        <v>43769</v>
      </c>
      <c r="K28" s="3">
        <f>J28-I28+1</f>
        <v>8</v>
      </c>
      <c r="L28" s="3">
        <f>ROUND(G28*H28*K28/365,0)</f>
        <v>1057</v>
      </c>
      <c r="M28" s="3">
        <v>9645735</v>
      </c>
    </row>
    <row r="29" spans="1:13" s="16" customFormat="1" outlineLevel="2">
      <c r="A29" s="17" t="s">
        <v>42</v>
      </c>
      <c r="B29" s="18" t="s">
        <v>157</v>
      </c>
      <c r="C29" s="19" t="s">
        <v>183</v>
      </c>
      <c r="D29" s="18" t="s">
        <v>182</v>
      </c>
      <c r="E29" s="3">
        <v>7520000</v>
      </c>
      <c r="F29" s="17">
        <v>43741</v>
      </c>
      <c r="G29" s="3">
        <v>7520000</v>
      </c>
      <c r="H29" s="2">
        <v>5.0000000000000001E-3</v>
      </c>
      <c r="I29" s="17">
        <v>43741</v>
      </c>
      <c r="J29" s="17">
        <v>43769</v>
      </c>
      <c r="K29" s="3">
        <f>J29-I29+1</f>
        <v>29</v>
      </c>
      <c r="L29" s="3">
        <f>ROUND(G29*H29*K29/365,0)</f>
        <v>2987</v>
      </c>
      <c r="M29" s="3">
        <v>7520000</v>
      </c>
    </row>
    <row r="30" spans="1:13" s="16" customFormat="1" outlineLevel="2">
      <c r="A30" s="17" t="s">
        <v>42</v>
      </c>
      <c r="B30" s="18" t="s">
        <v>30</v>
      </c>
      <c r="C30" s="19" t="s">
        <v>54</v>
      </c>
      <c r="D30" s="18" t="s">
        <v>34</v>
      </c>
      <c r="E30" s="3">
        <v>29720000</v>
      </c>
      <c r="F30" s="17">
        <v>43621</v>
      </c>
      <c r="G30" s="3">
        <v>29720000</v>
      </c>
      <c r="H30" s="2">
        <v>1.4999999999999999E-2</v>
      </c>
      <c r="I30" s="17">
        <v>43739</v>
      </c>
      <c r="J30" s="17">
        <v>43769</v>
      </c>
      <c r="K30" s="3">
        <f>J30-I30+1</f>
        <v>31</v>
      </c>
      <c r="L30" s="3">
        <f>ROUND(G30*H30*K30/365,0)</f>
        <v>37862</v>
      </c>
      <c r="M30" s="3">
        <v>29720000</v>
      </c>
    </row>
    <row r="31" spans="1:13" s="16" customFormat="1" outlineLevel="2">
      <c r="A31" s="17" t="s">
        <v>42</v>
      </c>
      <c r="B31" s="18" t="s">
        <v>28</v>
      </c>
      <c r="C31" s="19" t="s">
        <v>54</v>
      </c>
      <c r="D31" s="18" t="s">
        <v>34</v>
      </c>
      <c r="E31" s="3">
        <v>42908000</v>
      </c>
      <c r="F31" s="17">
        <v>43633</v>
      </c>
      <c r="G31" s="3">
        <v>42908000</v>
      </c>
      <c r="H31" s="2">
        <v>1.4999999999999999E-2</v>
      </c>
      <c r="I31" s="17">
        <v>43739</v>
      </c>
      <c r="J31" s="17">
        <v>43769</v>
      </c>
      <c r="K31" s="3">
        <f>J31-I31+1</f>
        <v>31</v>
      </c>
      <c r="L31" s="3">
        <f>ROUND(G31*H31*K31/365,0)</f>
        <v>54664</v>
      </c>
      <c r="M31" s="3">
        <v>42908000</v>
      </c>
    </row>
    <row r="32" spans="1:13" s="16" customFormat="1" outlineLevel="2">
      <c r="A32" s="17" t="s">
        <v>42</v>
      </c>
      <c r="B32" s="18" t="s">
        <v>48</v>
      </c>
      <c r="C32" s="19" t="s">
        <v>69</v>
      </c>
      <c r="D32" s="18" t="s">
        <v>68</v>
      </c>
      <c r="E32" s="3">
        <v>315000</v>
      </c>
      <c r="F32" s="17">
        <v>43644</v>
      </c>
      <c r="G32" s="3">
        <v>315000</v>
      </c>
      <c r="H32" s="2">
        <v>1.4999999999999999E-2</v>
      </c>
      <c r="I32" s="17">
        <v>43739</v>
      </c>
      <c r="J32" s="17">
        <v>43769</v>
      </c>
      <c r="K32" s="3">
        <f>J32-I32+1</f>
        <v>31</v>
      </c>
      <c r="L32" s="3">
        <f>ROUND(G32*H32*K32/365,0)</f>
        <v>401</v>
      </c>
      <c r="M32" s="3">
        <v>315000</v>
      </c>
    </row>
    <row r="33" spans="1:13" s="16" customFormat="1" outlineLevel="2">
      <c r="A33" s="17" t="s">
        <v>42</v>
      </c>
      <c r="B33" s="18" t="s">
        <v>47</v>
      </c>
      <c r="C33" s="19" t="s">
        <v>54</v>
      </c>
      <c r="D33" s="18" t="s">
        <v>34</v>
      </c>
      <c r="E33" s="3">
        <v>21895000</v>
      </c>
      <c r="F33" s="17">
        <v>43661</v>
      </c>
      <c r="G33" s="3">
        <v>21895000</v>
      </c>
      <c r="H33" s="2">
        <v>1.4999999999999999E-2</v>
      </c>
      <c r="I33" s="17">
        <v>43739</v>
      </c>
      <c r="J33" s="17">
        <v>43769</v>
      </c>
      <c r="K33" s="3">
        <f>J33-I33+1</f>
        <v>31</v>
      </c>
      <c r="L33" s="3">
        <f>ROUND(G33*H33*K33/365,0)</f>
        <v>27894</v>
      </c>
      <c r="M33" s="3">
        <v>21895000</v>
      </c>
    </row>
    <row r="34" spans="1:13" s="16" customFormat="1" outlineLevel="2">
      <c r="A34" s="17" t="s">
        <v>42</v>
      </c>
      <c r="B34" s="18" t="s">
        <v>46</v>
      </c>
      <c r="C34" s="19" t="s">
        <v>221</v>
      </c>
      <c r="D34" s="18" t="s">
        <v>222</v>
      </c>
      <c r="E34" s="3">
        <v>865657</v>
      </c>
      <c r="F34" s="17">
        <v>43661</v>
      </c>
      <c r="G34" s="3">
        <v>836801</v>
      </c>
      <c r="H34" s="2">
        <v>1.4999999999999999E-2</v>
      </c>
      <c r="I34" s="17">
        <v>43739</v>
      </c>
      <c r="J34" s="17">
        <v>43752</v>
      </c>
      <c r="K34" s="3">
        <f>J34-I34+1</f>
        <v>14</v>
      </c>
      <c r="L34" s="3">
        <f>ROUND(G34*H34*K34/365,0)</f>
        <v>481</v>
      </c>
      <c r="M34" s="3">
        <v>822373</v>
      </c>
    </row>
    <row r="35" spans="1:13" s="16" customFormat="1" outlineLevel="2">
      <c r="A35" s="17" t="s">
        <v>42</v>
      </c>
      <c r="B35" s="18" t="s">
        <v>46</v>
      </c>
      <c r="C35" s="19" t="s">
        <v>221</v>
      </c>
      <c r="D35" s="18"/>
      <c r="E35" s="3"/>
      <c r="F35" s="17"/>
      <c r="G35" s="3">
        <v>822373</v>
      </c>
      <c r="H35" s="2">
        <v>1.4999999999999999E-2</v>
      </c>
      <c r="I35" s="17">
        <v>43753</v>
      </c>
      <c r="J35" s="17">
        <v>43769</v>
      </c>
      <c r="K35" s="3">
        <f>J35-I35+1</f>
        <v>17</v>
      </c>
      <c r="L35" s="3">
        <f>ROUND(G35*H35*K35/365,0)</f>
        <v>575</v>
      </c>
      <c r="M35" s="3"/>
    </row>
    <row r="36" spans="1:13" s="16" customFormat="1" outlineLevel="2">
      <c r="A36" s="17" t="s">
        <v>42</v>
      </c>
      <c r="B36" s="18" t="s">
        <v>45</v>
      </c>
      <c r="C36" s="19" t="s">
        <v>54</v>
      </c>
      <c r="D36" s="18" t="s">
        <v>34</v>
      </c>
      <c r="E36" s="3">
        <v>4116000</v>
      </c>
      <c r="F36" s="17">
        <v>43692</v>
      </c>
      <c r="G36" s="3">
        <v>4116000</v>
      </c>
      <c r="H36" s="2">
        <v>1.4999999999999999E-2</v>
      </c>
      <c r="I36" s="17">
        <v>43739</v>
      </c>
      <c r="J36" s="17">
        <v>43769</v>
      </c>
      <c r="K36" s="3">
        <f>J36-I36+1</f>
        <v>31</v>
      </c>
      <c r="L36" s="3">
        <f>ROUND(G36*H36*K36/365,0)</f>
        <v>5244</v>
      </c>
      <c r="M36" s="3">
        <v>4116000</v>
      </c>
    </row>
    <row r="37" spans="1:13" s="16" customFormat="1" outlineLevel="2">
      <c r="A37" s="17" t="s">
        <v>42</v>
      </c>
      <c r="B37" s="18" t="s">
        <v>44</v>
      </c>
      <c r="C37" s="19" t="s">
        <v>225</v>
      </c>
      <c r="D37" s="18" t="s">
        <v>224</v>
      </c>
      <c r="E37" s="3">
        <v>20000000</v>
      </c>
      <c r="F37" s="17">
        <v>43692</v>
      </c>
      <c r="G37" s="3">
        <v>20000000</v>
      </c>
      <c r="H37" s="2">
        <v>5.0000000000000001E-3</v>
      </c>
      <c r="I37" s="17">
        <v>43739</v>
      </c>
      <c r="J37" s="17">
        <v>43769</v>
      </c>
      <c r="K37" s="3">
        <f>J37-I37+1</f>
        <v>31</v>
      </c>
      <c r="L37" s="3">
        <f>ROUND(G37*H37*K37/365,0)</f>
        <v>8493</v>
      </c>
      <c r="M37" s="3">
        <v>20000000</v>
      </c>
    </row>
    <row r="38" spans="1:13" s="16" customFormat="1" outlineLevel="1">
      <c r="A38" s="28" t="s">
        <v>41</v>
      </c>
      <c r="B38" s="43"/>
      <c r="C38" s="44"/>
      <c r="D38" s="43"/>
      <c r="E38" s="45">
        <f>SUBTOTAL(9,E4:E37)</f>
        <v>1529095959</v>
      </c>
      <c r="F38" s="46"/>
      <c r="G38" s="45"/>
      <c r="H38" s="47"/>
      <c r="I38" s="46"/>
      <c r="J38" s="46"/>
      <c r="K38" s="45"/>
      <c r="L38" s="45">
        <f>SUBTOTAL(9,L4:L37)</f>
        <v>726698</v>
      </c>
      <c r="M38" s="45">
        <f>SUBTOTAL(9,M4:M37)</f>
        <v>1529052675</v>
      </c>
    </row>
    <row r="39" spans="1:13" s="16" customFormat="1" outlineLevel="2">
      <c r="A39" s="17" t="s">
        <v>354</v>
      </c>
      <c r="B39" s="18" t="s">
        <v>17</v>
      </c>
      <c r="C39" s="19" t="s">
        <v>218</v>
      </c>
      <c r="D39" s="18" t="s">
        <v>219</v>
      </c>
      <c r="E39" s="3">
        <v>87650000</v>
      </c>
      <c r="F39" s="17">
        <v>43489</v>
      </c>
      <c r="G39" s="3">
        <v>87650000</v>
      </c>
      <c r="H39" s="2">
        <v>1.4999999999999999E-2</v>
      </c>
      <c r="I39" s="17">
        <v>43739</v>
      </c>
      <c r="J39" s="17">
        <v>43769</v>
      </c>
      <c r="K39" s="3">
        <f>J39-I39+1</f>
        <v>31</v>
      </c>
      <c r="L39" s="3">
        <f>ROUND(G39*H39*K39/365,0)</f>
        <v>111664</v>
      </c>
      <c r="M39" s="3">
        <v>87650000</v>
      </c>
    </row>
    <row r="40" spans="1:13" s="16" customFormat="1" outlineLevel="2">
      <c r="A40" s="17" t="s">
        <v>354</v>
      </c>
      <c r="B40" s="18" t="s">
        <v>181</v>
      </c>
      <c r="C40" s="19" t="s">
        <v>218</v>
      </c>
      <c r="D40" s="18" t="s">
        <v>219</v>
      </c>
      <c r="E40" s="3">
        <v>25000000</v>
      </c>
      <c r="F40" s="17">
        <v>43712</v>
      </c>
      <c r="G40" s="3">
        <v>25000000</v>
      </c>
      <c r="H40" s="2">
        <v>1.4999999999999999E-2</v>
      </c>
      <c r="I40" s="17">
        <v>43739</v>
      </c>
      <c r="J40" s="17">
        <v>43769</v>
      </c>
      <c r="K40" s="3">
        <f>J40-I40+1</f>
        <v>31</v>
      </c>
      <c r="L40" s="3">
        <f>ROUND(G40*H40*K40/365,0)</f>
        <v>31849</v>
      </c>
      <c r="M40" s="3">
        <v>25000000</v>
      </c>
    </row>
    <row r="41" spans="1:13" s="16" customFormat="1" outlineLevel="2">
      <c r="A41" s="17" t="s">
        <v>354</v>
      </c>
      <c r="B41" s="18" t="s">
        <v>180</v>
      </c>
      <c r="C41" s="19" t="s">
        <v>218</v>
      </c>
      <c r="D41" s="18" t="s">
        <v>219</v>
      </c>
      <c r="E41" s="3">
        <v>21000000</v>
      </c>
      <c r="F41" s="17">
        <v>43731</v>
      </c>
      <c r="G41" s="3">
        <v>21000000</v>
      </c>
      <c r="H41" s="2">
        <v>1.4999999999999999E-2</v>
      </c>
      <c r="I41" s="17">
        <v>43739</v>
      </c>
      <c r="J41" s="17">
        <v>43769</v>
      </c>
      <c r="K41" s="3">
        <f>J41-I41+1</f>
        <v>31</v>
      </c>
      <c r="L41" s="3">
        <f>ROUND(G41*H41*K41/365,0)</f>
        <v>26753</v>
      </c>
      <c r="M41" s="3">
        <v>21000000</v>
      </c>
    </row>
    <row r="42" spans="1:13" s="16" customFormat="1" outlineLevel="2">
      <c r="A42" s="17" t="s">
        <v>354</v>
      </c>
      <c r="B42" s="18" t="s">
        <v>179</v>
      </c>
      <c r="C42" s="19" t="s">
        <v>218</v>
      </c>
      <c r="D42" s="18" t="s">
        <v>219</v>
      </c>
      <c r="E42" s="3">
        <v>36000000</v>
      </c>
      <c r="F42" s="17">
        <v>43735</v>
      </c>
      <c r="G42" s="3">
        <v>36000000</v>
      </c>
      <c r="H42" s="2">
        <v>1.4999999999999999E-2</v>
      </c>
      <c r="I42" s="17">
        <v>43739</v>
      </c>
      <c r="J42" s="17">
        <v>43769</v>
      </c>
      <c r="K42" s="3">
        <f>J42-I42+1</f>
        <v>31</v>
      </c>
      <c r="L42" s="3">
        <f>ROUND(G42*H42*K42/365,0)</f>
        <v>45863</v>
      </c>
      <c r="M42" s="3">
        <v>36000000</v>
      </c>
    </row>
    <row r="43" spans="1:13" s="16" customFormat="1" outlineLevel="2">
      <c r="A43" s="17" t="s">
        <v>354</v>
      </c>
      <c r="B43" s="18" t="s">
        <v>178</v>
      </c>
      <c r="C43" s="19" t="s">
        <v>218</v>
      </c>
      <c r="D43" s="18" t="s">
        <v>219</v>
      </c>
      <c r="E43" s="3">
        <v>20000000</v>
      </c>
      <c r="F43" s="17">
        <v>43761</v>
      </c>
      <c r="G43" s="3">
        <v>20000000</v>
      </c>
      <c r="H43" s="2">
        <v>1.4999999999999999E-2</v>
      </c>
      <c r="I43" s="17">
        <v>43761</v>
      </c>
      <c r="J43" s="17">
        <v>43769</v>
      </c>
      <c r="K43" s="3">
        <f>J43-I43+1</f>
        <v>9</v>
      </c>
      <c r="L43" s="3">
        <f>ROUND(G43*H43*K43/365,0)</f>
        <v>7397</v>
      </c>
      <c r="M43" s="3">
        <v>20000000</v>
      </c>
    </row>
    <row r="44" spans="1:13" s="16" customFormat="1" outlineLevel="2">
      <c r="A44" s="17" t="s">
        <v>354</v>
      </c>
      <c r="B44" s="18" t="s">
        <v>31</v>
      </c>
      <c r="C44" s="19" t="s">
        <v>218</v>
      </c>
      <c r="D44" s="18" t="s">
        <v>219</v>
      </c>
      <c r="E44" s="3">
        <v>39730000</v>
      </c>
      <c r="F44" s="17">
        <v>43543</v>
      </c>
      <c r="G44" s="3">
        <v>39730000</v>
      </c>
      <c r="H44" s="2">
        <v>1.4999999999999999E-2</v>
      </c>
      <c r="I44" s="17">
        <v>43739</v>
      </c>
      <c r="J44" s="17">
        <v>43769</v>
      </c>
      <c r="K44" s="3">
        <f>J44-I44+1</f>
        <v>31</v>
      </c>
      <c r="L44" s="3">
        <f>ROUND(G44*H44*K44/365,0)</f>
        <v>50615</v>
      </c>
      <c r="M44" s="3">
        <v>39730000</v>
      </c>
    </row>
    <row r="45" spans="1:13" s="16" customFormat="1" outlineLevel="2">
      <c r="A45" s="17" t="s">
        <v>354</v>
      </c>
      <c r="B45" s="18" t="s">
        <v>30</v>
      </c>
      <c r="C45" s="19" t="s">
        <v>218</v>
      </c>
      <c r="D45" s="18" t="s">
        <v>219</v>
      </c>
      <c r="E45" s="3">
        <v>54420000</v>
      </c>
      <c r="F45" s="17">
        <v>43553</v>
      </c>
      <c r="G45" s="3">
        <v>54420000</v>
      </c>
      <c r="H45" s="2">
        <v>1.4999999999999999E-2</v>
      </c>
      <c r="I45" s="17">
        <v>43739</v>
      </c>
      <c r="J45" s="17">
        <v>43769</v>
      </c>
      <c r="K45" s="3">
        <f>J45-I45+1</f>
        <v>31</v>
      </c>
      <c r="L45" s="3">
        <f>ROUND(G45*H45*K45/365,0)</f>
        <v>69330</v>
      </c>
      <c r="M45" s="3">
        <v>54420000</v>
      </c>
    </row>
    <row r="46" spans="1:13" s="16" customFormat="1" outlineLevel="2">
      <c r="A46" s="17" t="s">
        <v>354</v>
      </c>
      <c r="B46" s="18" t="s">
        <v>28</v>
      </c>
      <c r="C46" s="19" t="s">
        <v>218</v>
      </c>
      <c r="D46" s="18" t="s">
        <v>219</v>
      </c>
      <c r="E46" s="3">
        <v>29000000</v>
      </c>
      <c r="F46" s="17">
        <v>43602</v>
      </c>
      <c r="G46" s="3">
        <v>29000000</v>
      </c>
      <c r="H46" s="2">
        <v>1.4999999999999999E-2</v>
      </c>
      <c r="I46" s="17">
        <v>43739</v>
      </c>
      <c r="J46" s="17">
        <v>43769</v>
      </c>
      <c r="K46" s="3">
        <f>J46-I46+1</f>
        <v>31</v>
      </c>
      <c r="L46" s="3">
        <f>ROUND(G46*H46*K46/365,0)</f>
        <v>36945</v>
      </c>
      <c r="M46" s="3">
        <v>29000000</v>
      </c>
    </row>
    <row r="47" spans="1:13" s="16" customFormat="1" outlineLevel="2">
      <c r="A47" s="17" t="s">
        <v>354</v>
      </c>
      <c r="B47" s="18" t="s">
        <v>48</v>
      </c>
      <c r="C47" s="19" t="s">
        <v>218</v>
      </c>
      <c r="D47" s="18" t="s">
        <v>219</v>
      </c>
      <c r="E47" s="3">
        <v>22340000</v>
      </c>
      <c r="F47" s="17">
        <v>43612</v>
      </c>
      <c r="G47" s="3">
        <v>22340000</v>
      </c>
      <c r="H47" s="2">
        <v>1.4999999999999999E-2</v>
      </c>
      <c r="I47" s="17">
        <v>43739</v>
      </c>
      <c r="J47" s="17">
        <v>43769</v>
      </c>
      <c r="K47" s="3">
        <f>J47-I47+1</f>
        <v>31</v>
      </c>
      <c r="L47" s="3">
        <f>ROUND(G47*H47*K47/365,0)</f>
        <v>28461</v>
      </c>
      <c r="M47" s="3">
        <v>22340000</v>
      </c>
    </row>
    <row r="48" spans="1:13" s="16" customFormat="1" outlineLevel="2">
      <c r="A48" s="17" t="s">
        <v>354</v>
      </c>
      <c r="B48" s="18" t="s">
        <v>47</v>
      </c>
      <c r="C48" s="19" t="s">
        <v>218</v>
      </c>
      <c r="D48" s="18" t="s">
        <v>219</v>
      </c>
      <c r="E48" s="3">
        <v>20000000</v>
      </c>
      <c r="F48" s="17">
        <v>43627</v>
      </c>
      <c r="G48" s="3">
        <v>20000000</v>
      </c>
      <c r="H48" s="2">
        <v>1.4999999999999999E-2</v>
      </c>
      <c r="I48" s="17">
        <v>43739</v>
      </c>
      <c r="J48" s="17">
        <v>43769</v>
      </c>
      <c r="K48" s="3">
        <f>J48-I48+1</f>
        <v>31</v>
      </c>
      <c r="L48" s="3">
        <f>ROUND(G48*H48*K48/365,0)</f>
        <v>25479</v>
      </c>
      <c r="M48" s="3">
        <v>20000000</v>
      </c>
    </row>
    <row r="49" spans="1:13" s="16" customFormat="1" outlineLevel="2">
      <c r="A49" s="17" t="s">
        <v>354</v>
      </c>
      <c r="B49" s="18" t="s">
        <v>46</v>
      </c>
      <c r="C49" s="19" t="s">
        <v>218</v>
      </c>
      <c r="D49" s="18" t="s">
        <v>219</v>
      </c>
      <c r="E49" s="3">
        <v>36000000</v>
      </c>
      <c r="F49" s="17">
        <v>43642</v>
      </c>
      <c r="G49" s="3">
        <v>36000000</v>
      </c>
      <c r="H49" s="2">
        <v>1.4999999999999999E-2</v>
      </c>
      <c r="I49" s="17">
        <v>43739</v>
      </c>
      <c r="J49" s="17">
        <v>43769</v>
      </c>
      <c r="K49" s="3">
        <f>J49-I49+1</f>
        <v>31</v>
      </c>
      <c r="L49" s="3">
        <f>ROUND(G49*H49*K49/365,0)</f>
        <v>45863</v>
      </c>
      <c r="M49" s="3">
        <v>36000000</v>
      </c>
    </row>
    <row r="50" spans="1:13" s="16" customFormat="1" outlineLevel="2">
      <c r="A50" s="17" t="s">
        <v>354</v>
      </c>
      <c r="B50" s="18" t="s">
        <v>45</v>
      </c>
      <c r="C50" s="19" t="s">
        <v>218</v>
      </c>
      <c r="D50" s="18" t="s">
        <v>219</v>
      </c>
      <c r="E50" s="3">
        <v>16040000</v>
      </c>
      <c r="F50" s="17">
        <v>43663</v>
      </c>
      <c r="G50" s="3">
        <v>16040000</v>
      </c>
      <c r="H50" s="2">
        <v>1.4999999999999999E-2</v>
      </c>
      <c r="I50" s="17">
        <v>43739</v>
      </c>
      <c r="J50" s="17">
        <v>43769</v>
      </c>
      <c r="K50" s="3">
        <f>J50-I50+1</f>
        <v>31</v>
      </c>
      <c r="L50" s="3">
        <f>ROUND(G50*H50*K50/365,0)</f>
        <v>20435</v>
      </c>
      <c r="M50" s="3">
        <v>16040000</v>
      </c>
    </row>
    <row r="51" spans="1:13" s="16" customFormat="1" outlineLevel="2">
      <c r="A51" s="17" t="s">
        <v>354</v>
      </c>
      <c r="B51" s="18" t="s">
        <v>44</v>
      </c>
      <c r="C51" s="19" t="s">
        <v>218</v>
      </c>
      <c r="D51" s="18" t="s">
        <v>219</v>
      </c>
      <c r="E51" s="3">
        <v>15590000</v>
      </c>
      <c r="F51" s="17">
        <v>43678</v>
      </c>
      <c r="G51" s="3">
        <v>15590000</v>
      </c>
      <c r="H51" s="2">
        <v>1.4999999999999999E-2</v>
      </c>
      <c r="I51" s="17">
        <v>43739</v>
      </c>
      <c r="J51" s="17">
        <v>43769</v>
      </c>
      <c r="K51" s="3">
        <f>J51-I51+1</f>
        <v>31</v>
      </c>
      <c r="L51" s="3">
        <f>ROUND(G51*H51*K51/365,0)</f>
        <v>19861</v>
      </c>
      <c r="M51" s="3">
        <v>15590000</v>
      </c>
    </row>
    <row r="52" spans="1:13" s="16" customFormat="1" outlineLevel="1">
      <c r="A52" s="28" t="s">
        <v>353</v>
      </c>
      <c r="B52" s="43"/>
      <c r="C52" s="44"/>
      <c r="D52" s="43"/>
      <c r="E52" s="45">
        <f>SUBTOTAL(9,E39:E51)</f>
        <v>422770000</v>
      </c>
      <c r="F52" s="46"/>
      <c r="G52" s="45"/>
      <c r="H52" s="47"/>
      <c r="I52" s="46"/>
      <c r="J52" s="46"/>
      <c r="K52" s="45"/>
      <c r="L52" s="45">
        <f>SUBTOTAL(9,L39:L51)</f>
        <v>520515</v>
      </c>
      <c r="M52" s="45">
        <f>SUBTOTAL(9,M39:M51)</f>
        <v>422770000</v>
      </c>
    </row>
    <row r="53" spans="1:13" s="16" customFormat="1" outlineLevel="2">
      <c r="A53" s="17" t="s">
        <v>217</v>
      </c>
      <c r="B53" s="18" t="s">
        <v>17</v>
      </c>
      <c r="C53" s="19" t="s">
        <v>218</v>
      </c>
      <c r="D53" s="18" t="s">
        <v>219</v>
      </c>
      <c r="E53" s="3">
        <v>144000000</v>
      </c>
      <c r="F53" s="17">
        <v>43675</v>
      </c>
      <c r="G53" s="3">
        <v>140571428</v>
      </c>
      <c r="H53" s="2">
        <v>5.0000000000000001E-3</v>
      </c>
      <c r="I53" s="17">
        <v>43739</v>
      </c>
      <c r="J53" s="17">
        <v>43752</v>
      </c>
      <c r="K53" s="3">
        <f>J53-I53+1</f>
        <v>14</v>
      </c>
      <c r="L53" s="3">
        <f>ROUND(G53*H53*K53/365,0)</f>
        <v>26959</v>
      </c>
      <c r="M53" s="3">
        <v>138857142</v>
      </c>
    </row>
    <row r="54" spans="1:13" s="16" customFormat="1" outlineLevel="2">
      <c r="A54" s="17" t="s">
        <v>217</v>
      </c>
      <c r="B54" s="18" t="s">
        <v>17</v>
      </c>
      <c r="C54" s="19" t="s">
        <v>218</v>
      </c>
      <c r="D54" s="18"/>
      <c r="E54" s="3"/>
      <c r="F54" s="17"/>
      <c r="G54" s="3">
        <v>138857142</v>
      </c>
      <c r="H54" s="2">
        <v>5.0000000000000001E-3</v>
      </c>
      <c r="I54" s="17">
        <v>43753</v>
      </c>
      <c r="J54" s="17">
        <v>43769</v>
      </c>
      <c r="K54" s="3">
        <f>J54-I54+1</f>
        <v>17</v>
      </c>
      <c r="L54" s="3">
        <f>ROUND(G54*H54*K54/365,0)</f>
        <v>32337</v>
      </c>
      <c r="M54" s="3"/>
    </row>
    <row r="55" spans="1:13" s="16" customFormat="1" outlineLevel="2">
      <c r="A55" s="17" t="s">
        <v>217</v>
      </c>
      <c r="B55" s="18" t="s">
        <v>31</v>
      </c>
      <c r="C55" s="19" t="s">
        <v>58</v>
      </c>
      <c r="D55" s="18" t="s">
        <v>57</v>
      </c>
      <c r="E55" s="3">
        <v>140000000</v>
      </c>
      <c r="F55" s="17">
        <v>43692</v>
      </c>
      <c r="G55" s="3">
        <v>138333333</v>
      </c>
      <c r="H55" s="2">
        <v>5.0000000000000001E-3</v>
      </c>
      <c r="I55" s="17">
        <v>43739</v>
      </c>
      <c r="J55" s="17">
        <v>43752</v>
      </c>
      <c r="K55" s="3">
        <f>J55-I55+1</f>
        <v>14</v>
      </c>
      <c r="L55" s="3">
        <f>ROUND(G55*H55*K55/365,0)</f>
        <v>26530</v>
      </c>
      <c r="M55" s="3">
        <v>136666666</v>
      </c>
    </row>
    <row r="56" spans="1:13" s="16" customFormat="1" outlineLevel="2">
      <c r="A56" s="17" t="s">
        <v>217</v>
      </c>
      <c r="B56" s="18" t="s">
        <v>31</v>
      </c>
      <c r="C56" s="19" t="s">
        <v>58</v>
      </c>
      <c r="D56" s="18"/>
      <c r="E56" s="3"/>
      <c r="F56" s="17"/>
      <c r="G56" s="3">
        <v>136666666</v>
      </c>
      <c r="H56" s="2">
        <v>5.0000000000000001E-3</v>
      </c>
      <c r="I56" s="17">
        <v>43753</v>
      </c>
      <c r="J56" s="17">
        <v>43769</v>
      </c>
      <c r="K56" s="3">
        <f>J56-I56+1</f>
        <v>17</v>
      </c>
      <c r="L56" s="3">
        <f>ROUND(G56*H56*K56/365,0)</f>
        <v>31826</v>
      </c>
      <c r="M56" s="3"/>
    </row>
    <row r="57" spans="1:13" s="16" customFormat="1" outlineLevel="2">
      <c r="A57" s="17" t="s">
        <v>217</v>
      </c>
      <c r="B57" s="18" t="s">
        <v>30</v>
      </c>
      <c r="C57" s="19" t="s">
        <v>58</v>
      </c>
      <c r="D57" s="18" t="s">
        <v>57</v>
      </c>
      <c r="E57" s="3">
        <v>148848000</v>
      </c>
      <c r="F57" s="17">
        <v>43710</v>
      </c>
      <c r="G57" s="3">
        <v>148848000</v>
      </c>
      <c r="H57" s="2">
        <v>5.0000000000000001E-3</v>
      </c>
      <c r="I57" s="17">
        <v>43739</v>
      </c>
      <c r="J57" s="17">
        <v>43769</v>
      </c>
      <c r="K57" s="3">
        <f>J57-I57+1</f>
        <v>31</v>
      </c>
      <c r="L57" s="3">
        <f>ROUND(G57*H57*K57/365,0)</f>
        <v>63209</v>
      </c>
      <c r="M57" s="3">
        <v>148848000</v>
      </c>
    </row>
    <row r="58" spans="1:13" s="16" customFormat="1" outlineLevel="2">
      <c r="A58" s="17" t="s">
        <v>217</v>
      </c>
      <c r="B58" s="18" t="s">
        <v>28</v>
      </c>
      <c r="C58" s="19" t="s">
        <v>58</v>
      </c>
      <c r="D58" s="18" t="s">
        <v>57</v>
      </c>
      <c r="E58" s="3">
        <v>74400000</v>
      </c>
      <c r="F58" s="17">
        <v>43753</v>
      </c>
      <c r="G58" s="3">
        <v>74400000</v>
      </c>
      <c r="H58" s="2">
        <v>5.0000000000000001E-3</v>
      </c>
      <c r="I58" s="17">
        <v>43753</v>
      </c>
      <c r="J58" s="17">
        <v>43769</v>
      </c>
      <c r="K58" s="3">
        <f>J58-I58+1</f>
        <v>17</v>
      </c>
      <c r="L58" s="3">
        <f>ROUND(G58*H58*K58/365,0)</f>
        <v>17326</v>
      </c>
      <c r="M58" s="3">
        <v>74400000</v>
      </c>
    </row>
    <row r="59" spans="1:13" s="16" customFormat="1" outlineLevel="2">
      <c r="A59" s="17" t="s">
        <v>217</v>
      </c>
      <c r="B59" s="18" t="s">
        <v>48</v>
      </c>
      <c r="C59" s="19" t="s">
        <v>210</v>
      </c>
      <c r="D59" s="18" t="s">
        <v>209</v>
      </c>
      <c r="E59" s="3">
        <v>20000000</v>
      </c>
      <c r="F59" s="17">
        <v>43739</v>
      </c>
      <c r="G59" s="3">
        <v>20000000</v>
      </c>
      <c r="H59" s="2">
        <v>5.0000000000000001E-3</v>
      </c>
      <c r="I59" s="17">
        <v>43739</v>
      </c>
      <c r="J59" s="17">
        <v>43752</v>
      </c>
      <c r="K59" s="3">
        <f>J59-I59+1</f>
        <v>14</v>
      </c>
      <c r="L59" s="3">
        <f>ROUND(G59*H59*K59/365,0)</f>
        <v>3836</v>
      </c>
      <c r="M59" s="3">
        <v>19761904</v>
      </c>
    </row>
    <row r="60" spans="1:13" s="16" customFormat="1" outlineLevel="2">
      <c r="A60" s="17" t="s">
        <v>217</v>
      </c>
      <c r="B60" s="18" t="s">
        <v>48</v>
      </c>
      <c r="C60" s="19" t="s">
        <v>210</v>
      </c>
      <c r="D60" s="18"/>
      <c r="E60" s="3"/>
      <c r="F60" s="17"/>
      <c r="G60" s="3">
        <v>19761904</v>
      </c>
      <c r="H60" s="2">
        <v>5.0000000000000001E-3</v>
      </c>
      <c r="I60" s="17">
        <v>43753</v>
      </c>
      <c r="J60" s="17">
        <v>43769</v>
      </c>
      <c r="K60" s="3">
        <f>J60-I60+1</f>
        <v>17</v>
      </c>
      <c r="L60" s="3">
        <f>ROUND(G60*H60*K60/365,0)</f>
        <v>4602</v>
      </c>
      <c r="M60" s="3"/>
    </row>
    <row r="61" spans="1:13" s="16" customFormat="1" outlineLevel="2">
      <c r="A61" s="17" t="s">
        <v>217</v>
      </c>
      <c r="B61" s="18" t="s">
        <v>47</v>
      </c>
      <c r="C61" s="19" t="s">
        <v>210</v>
      </c>
      <c r="D61" s="18" t="s">
        <v>209</v>
      </c>
      <c r="E61" s="3">
        <v>10400000</v>
      </c>
      <c r="F61" s="17">
        <v>43762</v>
      </c>
      <c r="G61" s="3">
        <v>10400000</v>
      </c>
      <c r="H61" s="2">
        <v>5.0000000000000001E-3</v>
      </c>
      <c r="I61" s="17">
        <v>43762</v>
      </c>
      <c r="J61" s="17">
        <v>43769</v>
      </c>
      <c r="K61" s="3">
        <f>J61-I61+1</f>
        <v>8</v>
      </c>
      <c r="L61" s="3">
        <f>ROUND(G61*H61*K61/365,0)</f>
        <v>1140</v>
      </c>
      <c r="M61" s="3">
        <v>10400000</v>
      </c>
    </row>
    <row r="62" spans="1:13" s="16" customFormat="1" outlineLevel="1">
      <c r="A62" s="28" t="s">
        <v>137</v>
      </c>
      <c r="B62" s="43"/>
      <c r="C62" s="44"/>
      <c r="D62" s="43"/>
      <c r="E62" s="45">
        <f>SUBTOTAL(9,E53:E61)</f>
        <v>537648000</v>
      </c>
      <c r="F62" s="46"/>
      <c r="G62" s="45"/>
      <c r="H62" s="47"/>
      <c r="I62" s="46"/>
      <c r="J62" s="46"/>
      <c r="K62" s="45"/>
      <c r="L62" s="45">
        <f>SUBTOTAL(9,L53:L61)</f>
        <v>207765</v>
      </c>
      <c r="M62" s="45">
        <f>SUBTOTAL(9,M53:M61)</f>
        <v>528933712</v>
      </c>
    </row>
    <row r="63" spans="1:13" s="16" customFormat="1" outlineLevel="2">
      <c r="A63" s="17" t="s">
        <v>213</v>
      </c>
      <c r="B63" s="18" t="s">
        <v>17</v>
      </c>
      <c r="C63" s="19" t="s">
        <v>58</v>
      </c>
      <c r="D63" s="18" t="s">
        <v>57</v>
      </c>
      <c r="E63" s="3">
        <v>200000000</v>
      </c>
      <c r="F63" s="17">
        <v>43664</v>
      </c>
      <c r="G63" s="3">
        <v>195238096</v>
      </c>
      <c r="H63" s="2">
        <v>1.4999999999999999E-2</v>
      </c>
      <c r="I63" s="17">
        <v>43739</v>
      </c>
      <c r="J63" s="17">
        <v>43752</v>
      </c>
      <c r="K63" s="3">
        <f>J63-I63+1</f>
        <v>14</v>
      </c>
      <c r="L63" s="3">
        <f>ROUND(G63*H63*K63/365,0)</f>
        <v>112329</v>
      </c>
      <c r="M63" s="3">
        <v>192857144</v>
      </c>
    </row>
    <row r="64" spans="1:13" s="16" customFormat="1" outlineLevel="2">
      <c r="A64" s="17" t="s">
        <v>213</v>
      </c>
      <c r="B64" s="18" t="s">
        <v>17</v>
      </c>
      <c r="C64" s="19" t="s">
        <v>58</v>
      </c>
      <c r="D64" s="18"/>
      <c r="E64" s="3"/>
      <c r="F64" s="17"/>
      <c r="G64" s="3">
        <v>192857144</v>
      </c>
      <c r="H64" s="2">
        <v>1.4999999999999999E-2</v>
      </c>
      <c r="I64" s="17">
        <v>43753</v>
      </c>
      <c r="J64" s="17">
        <v>43769</v>
      </c>
      <c r="K64" s="3">
        <f>J64-I64+1</f>
        <v>17</v>
      </c>
      <c r="L64" s="3">
        <f>ROUND(G64*H64*K64/365,0)</f>
        <v>134736</v>
      </c>
      <c r="M64" s="3"/>
    </row>
    <row r="65" spans="1:13" s="16" customFormat="1" outlineLevel="2">
      <c r="A65" s="17" t="s">
        <v>213</v>
      </c>
      <c r="B65" s="18" t="s">
        <v>181</v>
      </c>
      <c r="C65" s="19" t="s">
        <v>284</v>
      </c>
      <c r="D65" s="18" t="s">
        <v>283</v>
      </c>
      <c r="E65" s="3">
        <v>267200</v>
      </c>
      <c r="F65" s="17">
        <v>43714</v>
      </c>
      <c r="G65" s="3">
        <v>267200</v>
      </c>
      <c r="H65" s="2">
        <v>5.0000000000000001E-3</v>
      </c>
      <c r="I65" s="17">
        <v>43739</v>
      </c>
      <c r="J65" s="17">
        <v>43769</v>
      </c>
      <c r="K65" s="3">
        <f>J65-I65+1</f>
        <v>31</v>
      </c>
      <c r="L65" s="3">
        <f>ROUND(G65*H65*K65/365,0)</f>
        <v>113</v>
      </c>
      <c r="M65" s="3">
        <v>267200</v>
      </c>
    </row>
    <row r="66" spans="1:13" s="16" customFormat="1" outlineLevel="2">
      <c r="A66" s="17" t="s">
        <v>213</v>
      </c>
      <c r="B66" s="18" t="s">
        <v>180</v>
      </c>
      <c r="C66" s="19" t="s">
        <v>280</v>
      </c>
      <c r="D66" s="18" t="s">
        <v>279</v>
      </c>
      <c r="E66" s="3">
        <v>40000000</v>
      </c>
      <c r="F66" s="17">
        <v>43734</v>
      </c>
      <c r="G66" s="3">
        <v>40000000</v>
      </c>
      <c r="H66" s="2">
        <v>5.0000000000000001E-3</v>
      </c>
      <c r="I66" s="17">
        <v>43739</v>
      </c>
      <c r="J66" s="17">
        <v>43769</v>
      </c>
      <c r="K66" s="3">
        <f>J66-I66+1</f>
        <v>31</v>
      </c>
      <c r="L66" s="3">
        <f>ROUND(G66*H66*K66/365,0)</f>
        <v>16986</v>
      </c>
      <c r="M66" s="3">
        <v>40000000</v>
      </c>
    </row>
    <row r="67" spans="1:13" s="16" customFormat="1" outlineLevel="2">
      <c r="A67" s="17" t="s">
        <v>213</v>
      </c>
      <c r="B67" s="18" t="s">
        <v>179</v>
      </c>
      <c r="C67" s="19" t="s">
        <v>253</v>
      </c>
      <c r="D67" s="18" t="s">
        <v>252</v>
      </c>
      <c r="E67" s="3">
        <v>90000000</v>
      </c>
      <c r="F67" s="17">
        <v>43735</v>
      </c>
      <c r="G67" s="3">
        <v>90000000</v>
      </c>
      <c r="H67" s="2">
        <v>5.0000000000000001E-3</v>
      </c>
      <c r="I67" s="17">
        <v>43739</v>
      </c>
      <c r="J67" s="17">
        <v>43769</v>
      </c>
      <c r="K67" s="3">
        <f>J67-I67+1</f>
        <v>31</v>
      </c>
      <c r="L67" s="3">
        <f>ROUND(G67*H67*K67/365,0)</f>
        <v>38219</v>
      </c>
      <c r="M67" s="3">
        <v>90000000</v>
      </c>
    </row>
    <row r="68" spans="1:13" s="16" customFormat="1" outlineLevel="2">
      <c r="A68" s="17" t="s">
        <v>213</v>
      </c>
      <c r="B68" s="18" t="s">
        <v>178</v>
      </c>
      <c r="C68" s="19" t="s">
        <v>253</v>
      </c>
      <c r="D68" s="18" t="s">
        <v>252</v>
      </c>
      <c r="E68" s="3">
        <v>30000000</v>
      </c>
      <c r="F68" s="17">
        <v>43735</v>
      </c>
      <c r="G68" s="3">
        <v>30000000</v>
      </c>
      <c r="H68" s="2">
        <v>5.0000000000000001E-3</v>
      </c>
      <c r="I68" s="17">
        <v>43739</v>
      </c>
      <c r="J68" s="17">
        <v>43769</v>
      </c>
      <c r="K68" s="3">
        <f>J68-I68+1</f>
        <v>31</v>
      </c>
      <c r="L68" s="3">
        <f>ROUND(G68*H68*K68/365,0)</f>
        <v>12740</v>
      </c>
      <c r="M68" s="3">
        <v>30000000</v>
      </c>
    </row>
    <row r="69" spans="1:13" s="16" customFormat="1" outlineLevel="2">
      <c r="A69" s="17" t="s">
        <v>213</v>
      </c>
      <c r="B69" s="18" t="s">
        <v>177</v>
      </c>
      <c r="C69" s="19" t="s">
        <v>280</v>
      </c>
      <c r="D69" s="18" t="s">
        <v>279</v>
      </c>
      <c r="E69" s="3">
        <v>300000000</v>
      </c>
      <c r="F69" s="17">
        <v>43742</v>
      </c>
      <c r="G69" s="3">
        <v>300000000</v>
      </c>
      <c r="H69" s="2">
        <v>5.0000000000000001E-3</v>
      </c>
      <c r="I69" s="17">
        <v>43742</v>
      </c>
      <c r="J69" s="17">
        <v>43769</v>
      </c>
      <c r="K69" s="3">
        <f>J69-I69+1</f>
        <v>28</v>
      </c>
      <c r="L69" s="3">
        <f>ROUND(G69*H69*K69/365,0)</f>
        <v>115068</v>
      </c>
      <c r="M69" s="3">
        <v>300000000</v>
      </c>
    </row>
    <row r="70" spans="1:13" s="16" customFormat="1" outlineLevel="2">
      <c r="A70" s="17" t="s">
        <v>213</v>
      </c>
      <c r="B70" s="18" t="s">
        <v>176</v>
      </c>
      <c r="C70" s="19" t="s">
        <v>280</v>
      </c>
      <c r="D70" s="18" t="s">
        <v>279</v>
      </c>
      <c r="E70" s="3">
        <v>36000000</v>
      </c>
      <c r="F70" s="17">
        <v>43763</v>
      </c>
      <c r="G70" s="3">
        <v>36000000</v>
      </c>
      <c r="H70" s="2">
        <v>5.0000000000000001E-3</v>
      </c>
      <c r="I70" s="17">
        <v>43763</v>
      </c>
      <c r="J70" s="17">
        <v>43769</v>
      </c>
      <c r="K70" s="3">
        <f>J70-I70+1</f>
        <v>7</v>
      </c>
      <c r="L70" s="3">
        <f>ROUND(G70*H70*K70/365,0)</f>
        <v>3452</v>
      </c>
      <c r="M70" s="3">
        <v>36000000</v>
      </c>
    </row>
    <row r="71" spans="1:13" s="16" customFormat="1" outlineLevel="2">
      <c r="A71" s="17" t="s">
        <v>213</v>
      </c>
      <c r="B71" s="18" t="s">
        <v>175</v>
      </c>
      <c r="C71" s="19" t="s">
        <v>286</v>
      </c>
      <c r="D71" s="18" t="s">
        <v>285</v>
      </c>
      <c r="E71" s="3">
        <v>50000000</v>
      </c>
      <c r="F71" s="17">
        <v>43742</v>
      </c>
      <c r="G71" s="3">
        <v>50000000</v>
      </c>
      <c r="H71" s="2">
        <v>5.0000000000000001E-3</v>
      </c>
      <c r="I71" s="17">
        <v>43742</v>
      </c>
      <c r="J71" s="17">
        <v>43769</v>
      </c>
      <c r="K71" s="3">
        <f>J71-I71+1</f>
        <v>28</v>
      </c>
      <c r="L71" s="3">
        <f>ROUND(G71*H71*K71/365,0)</f>
        <v>19178</v>
      </c>
      <c r="M71" s="3">
        <v>50000000</v>
      </c>
    </row>
    <row r="72" spans="1:13" s="16" customFormat="1" outlineLevel="2">
      <c r="A72" s="17" t="s">
        <v>213</v>
      </c>
      <c r="B72" s="18" t="s">
        <v>174</v>
      </c>
      <c r="C72" s="19" t="s">
        <v>352</v>
      </c>
      <c r="D72" s="18" t="s">
        <v>351</v>
      </c>
      <c r="E72" s="3">
        <v>21800000</v>
      </c>
      <c r="F72" s="17">
        <v>43742</v>
      </c>
      <c r="G72" s="3">
        <v>21800000</v>
      </c>
      <c r="H72" s="2">
        <v>1.4999999999999999E-2</v>
      </c>
      <c r="I72" s="17">
        <v>43742</v>
      </c>
      <c r="J72" s="17">
        <v>43769</v>
      </c>
      <c r="K72" s="3">
        <f>J72-I72+1</f>
        <v>28</v>
      </c>
      <c r="L72" s="3">
        <f>ROUND(G72*H72*K72/365,0)</f>
        <v>25085</v>
      </c>
      <c r="M72" s="3">
        <v>21800000</v>
      </c>
    </row>
    <row r="73" spans="1:13" s="16" customFormat="1" outlineLevel="2">
      <c r="A73" s="17" t="s">
        <v>213</v>
      </c>
      <c r="B73" s="18" t="s">
        <v>171</v>
      </c>
      <c r="C73" s="19" t="s">
        <v>352</v>
      </c>
      <c r="D73" s="18" t="s">
        <v>351</v>
      </c>
      <c r="E73" s="3">
        <v>5500000</v>
      </c>
      <c r="F73" s="17">
        <v>43742</v>
      </c>
      <c r="G73" s="3">
        <v>5500000</v>
      </c>
      <c r="H73" s="2">
        <v>1.4999999999999999E-2</v>
      </c>
      <c r="I73" s="17">
        <v>43742</v>
      </c>
      <c r="J73" s="17">
        <v>43769</v>
      </c>
      <c r="K73" s="3">
        <f>J73-I73+1</f>
        <v>28</v>
      </c>
      <c r="L73" s="3">
        <f>ROUND(G73*H73*K73/365,0)</f>
        <v>6329</v>
      </c>
      <c r="M73" s="3">
        <v>5500000</v>
      </c>
    </row>
    <row r="74" spans="1:13" s="16" customFormat="1" outlineLevel="2">
      <c r="A74" s="17" t="s">
        <v>213</v>
      </c>
      <c r="B74" s="18" t="s">
        <v>170</v>
      </c>
      <c r="C74" s="19" t="s">
        <v>344</v>
      </c>
      <c r="D74" s="18" t="s">
        <v>343</v>
      </c>
      <c r="E74" s="3">
        <v>42000000</v>
      </c>
      <c r="F74" s="17">
        <v>43767</v>
      </c>
      <c r="G74" s="3">
        <v>42000000</v>
      </c>
      <c r="H74" s="2">
        <v>5.0000000000000001E-3</v>
      </c>
      <c r="I74" s="17">
        <v>43767</v>
      </c>
      <c r="J74" s="17">
        <v>43769</v>
      </c>
      <c r="K74" s="3">
        <f>J74-I74+1</f>
        <v>3</v>
      </c>
      <c r="L74" s="3">
        <f>ROUND(G74*H74*K74/365,0)</f>
        <v>1726</v>
      </c>
      <c r="M74" s="3">
        <v>42000000</v>
      </c>
    </row>
    <row r="75" spans="1:13" s="16" customFormat="1" outlineLevel="2">
      <c r="A75" s="17" t="s">
        <v>213</v>
      </c>
      <c r="B75" s="18" t="s">
        <v>31</v>
      </c>
      <c r="C75" s="19" t="s">
        <v>58</v>
      </c>
      <c r="D75" s="18" t="s">
        <v>57</v>
      </c>
      <c r="E75" s="3">
        <v>100000000</v>
      </c>
      <c r="F75" s="17">
        <v>43683</v>
      </c>
      <c r="G75" s="3">
        <v>97619048</v>
      </c>
      <c r="H75" s="2">
        <v>1.4999999999999999E-2</v>
      </c>
      <c r="I75" s="17">
        <v>43739</v>
      </c>
      <c r="J75" s="17">
        <v>43752</v>
      </c>
      <c r="K75" s="3">
        <f>J75-I75+1</f>
        <v>14</v>
      </c>
      <c r="L75" s="3">
        <f>ROUND(G75*H75*K75/365,0)</f>
        <v>56164</v>
      </c>
      <c r="M75" s="3">
        <v>96428572</v>
      </c>
    </row>
    <row r="76" spans="1:13" s="16" customFormat="1" outlineLevel="2">
      <c r="A76" s="17" t="s">
        <v>213</v>
      </c>
      <c r="B76" s="18" t="s">
        <v>31</v>
      </c>
      <c r="C76" s="19" t="s">
        <v>58</v>
      </c>
      <c r="D76" s="18"/>
      <c r="E76" s="3"/>
      <c r="F76" s="17"/>
      <c r="G76" s="3">
        <v>96428572</v>
      </c>
      <c r="H76" s="2">
        <v>1.4999999999999999E-2</v>
      </c>
      <c r="I76" s="17">
        <v>43753</v>
      </c>
      <c r="J76" s="17">
        <v>43769</v>
      </c>
      <c r="K76" s="3">
        <f>J76-I76+1</f>
        <v>17</v>
      </c>
      <c r="L76" s="3">
        <f>ROUND(G76*H76*K76/365,0)</f>
        <v>67368</v>
      </c>
      <c r="M76" s="3"/>
    </row>
    <row r="77" spans="1:13" s="16" customFormat="1" outlineLevel="2">
      <c r="A77" s="17" t="s">
        <v>213</v>
      </c>
      <c r="B77" s="18" t="s">
        <v>169</v>
      </c>
      <c r="C77" s="19" t="s">
        <v>284</v>
      </c>
      <c r="D77" s="18" t="s">
        <v>283</v>
      </c>
      <c r="E77" s="3">
        <v>39400000</v>
      </c>
      <c r="F77" s="17">
        <v>43739</v>
      </c>
      <c r="G77" s="3">
        <v>39400000</v>
      </c>
      <c r="H77" s="2">
        <v>5.0000000000000001E-3</v>
      </c>
      <c r="I77" s="17">
        <v>43739</v>
      </c>
      <c r="J77" s="17">
        <v>43769</v>
      </c>
      <c r="K77" s="3">
        <f>J77-I77+1</f>
        <v>31</v>
      </c>
      <c r="L77" s="3">
        <f>ROUND(G77*H77*K77/365,0)</f>
        <v>16732</v>
      </c>
      <c r="M77" s="3">
        <v>39400000</v>
      </c>
    </row>
    <row r="78" spans="1:13" s="16" customFormat="1" outlineLevel="2">
      <c r="A78" s="17" t="s">
        <v>213</v>
      </c>
      <c r="B78" s="18" t="s">
        <v>168</v>
      </c>
      <c r="C78" s="19" t="s">
        <v>284</v>
      </c>
      <c r="D78" s="18" t="s">
        <v>283</v>
      </c>
      <c r="E78" s="3">
        <v>4902778</v>
      </c>
      <c r="F78" s="17">
        <v>43739</v>
      </c>
      <c r="G78" s="3">
        <v>4902778</v>
      </c>
      <c r="H78" s="2">
        <v>5.0000000000000001E-3</v>
      </c>
      <c r="I78" s="17">
        <v>43739</v>
      </c>
      <c r="J78" s="17">
        <v>43769</v>
      </c>
      <c r="K78" s="3">
        <f>J78-I78+1</f>
        <v>31</v>
      </c>
      <c r="L78" s="3">
        <f>ROUND(G78*H78*K78/365,0)</f>
        <v>2082</v>
      </c>
      <c r="M78" s="3">
        <v>4902778</v>
      </c>
    </row>
    <row r="79" spans="1:13" s="16" customFormat="1" outlineLevel="2">
      <c r="A79" s="17" t="s">
        <v>213</v>
      </c>
      <c r="B79" s="18" t="s">
        <v>30</v>
      </c>
      <c r="C79" s="19" t="s">
        <v>214</v>
      </c>
      <c r="D79" s="18" t="s">
        <v>215</v>
      </c>
      <c r="E79" s="3">
        <v>16000000</v>
      </c>
      <c r="F79" s="17">
        <v>43671</v>
      </c>
      <c r="G79" s="3">
        <v>16000000</v>
      </c>
      <c r="H79" s="2">
        <v>1.4999999999999999E-2</v>
      </c>
      <c r="I79" s="17">
        <v>43739</v>
      </c>
      <c r="J79" s="17">
        <v>43769</v>
      </c>
      <c r="K79" s="3">
        <f>J79-I79+1</f>
        <v>31</v>
      </c>
      <c r="L79" s="3">
        <f>ROUND(G79*H79*K79/365,0)</f>
        <v>20384</v>
      </c>
      <c r="M79" s="3">
        <v>16000000</v>
      </c>
    </row>
    <row r="80" spans="1:13" s="16" customFormat="1" outlineLevel="2">
      <c r="A80" s="17" t="s">
        <v>213</v>
      </c>
      <c r="B80" s="18" t="s">
        <v>28</v>
      </c>
      <c r="C80" s="19" t="s">
        <v>163</v>
      </c>
      <c r="D80" s="18" t="s">
        <v>162</v>
      </c>
      <c r="E80" s="3">
        <v>36447000</v>
      </c>
      <c r="F80" s="17">
        <v>43704</v>
      </c>
      <c r="G80" s="3">
        <v>36447000</v>
      </c>
      <c r="H80" s="2">
        <v>5.0000000000000001E-3</v>
      </c>
      <c r="I80" s="17">
        <v>43739</v>
      </c>
      <c r="J80" s="17">
        <v>43769</v>
      </c>
      <c r="K80" s="3">
        <f>J80-I80+1</f>
        <v>31</v>
      </c>
      <c r="L80" s="3">
        <f>ROUND(G80*H80*K80/365,0)</f>
        <v>15477</v>
      </c>
      <c r="M80" s="3">
        <v>36447000</v>
      </c>
    </row>
    <row r="81" spans="1:13" s="16" customFormat="1" outlineLevel="2">
      <c r="A81" s="17" t="s">
        <v>213</v>
      </c>
      <c r="B81" s="18" t="s">
        <v>48</v>
      </c>
      <c r="C81" s="19" t="s">
        <v>163</v>
      </c>
      <c r="D81" s="18" t="s">
        <v>162</v>
      </c>
      <c r="E81" s="3">
        <v>45553000</v>
      </c>
      <c r="F81" s="17">
        <v>43704</v>
      </c>
      <c r="G81" s="3">
        <v>45553000</v>
      </c>
      <c r="H81" s="2">
        <v>5.0000000000000001E-3</v>
      </c>
      <c r="I81" s="17">
        <v>43739</v>
      </c>
      <c r="J81" s="17">
        <v>43769</v>
      </c>
      <c r="K81" s="3">
        <f>J81-I81+1</f>
        <v>31</v>
      </c>
      <c r="L81" s="3">
        <f>ROUND(G81*H81*K81/365,0)</f>
        <v>19344</v>
      </c>
      <c r="M81" s="3">
        <v>45553000</v>
      </c>
    </row>
    <row r="82" spans="1:13" s="16" customFormat="1" outlineLevel="2">
      <c r="A82" s="17" t="s">
        <v>213</v>
      </c>
      <c r="B82" s="18" t="s">
        <v>47</v>
      </c>
      <c r="C82" s="19" t="s">
        <v>286</v>
      </c>
      <c r="D82" s="18" t="s">
        <v>285</v>
      </c>
      <c r="E82" s="3">
        <v>50000000</v>
      </c>
      <c r="F82" s="17">
        <v>43710</v>
      </c>
      <c r="G82" s="3">
        <v>50000000</v>
      </c>
      <c r="H82" s="2">
        <v>5.0000000000000001E-3</v>
      </c>
      <c r="I82" s="17">
        <v>43739</v>
      </c>
      <c r="J82" s="17">
        <v>43769</v>
      </c>
      <c r="K82" s="3">
        <f>J82-I82+1</f>
        <v>31</v>
      </c>
      <c r="L82" s="3">
        <f>ROUND(G82*H82*K82/365,0)</f>
        <v>21233</v>
      </c>
      <c r="M82" s="3">
        <v>50000000</v>
      </c>
    </row>
    <row r="83" spans="1:13" s="16" customFormat="1" outlineLevel="2">
      <c r="A83" s="17" t="s">
        <v>213</v>
      </c>
      <c r="B83" s="18" t="s">
        <v>46</v>
      </c>
      <c r="C83" s="19" t="s">
        <v>245</v>
      </c>
      <c r="D83" s="18" t="s">
        <v>244</v>
      </c>
      <c r="E83" s="3">
        <v>100000000</v>
      </c>
      <c r="F83" s="17">
        <v>43714</v>
      </c>
      <c r="G83" s="3">
        <v>100000000</v>
      </c>
      <c r="H83" s="2">
        <v>5.0000000000000001E-3</v>
      </c>
      <c r="I83" s="17">
        <v>43739</v>
      </c>
      <c r="J83" s="17">
        <v>43769</v>
      </c>
      <c r="K83" s="3">
        <f>J83-I83+1</f>
        <v>31</v>
      </c>
      <c r="L83" s="3">
        <f>ROUND(G83*H83*K83/365,0)</f>
        <v>42466</v>
      </c>
      <c r="M83" s="3">
        <v>100000000</v>
      </c>
    </row>
    <row r="84" spans="1:13" s="16" customFormat="1" outlineLevel="2">
      <c r="A84" s="17" t="s">
        <v>213</v>
      </c>
      <c r="B84" s="18" t="s">
        <v>45</v>
      </c>
      <c r="C84" s="19" t="s">
        <v>245</v>
      </c>
      <c r="D84" s="18" t="s">
        <v>244</v>
      </c>
      <c r="E84" s="3">
        <v>200000000</v>
      </c>
      <c r="F84" s="17">
        <v>43735</v>
      </c>
      <c r="G84" s="3">
        <v>200000000</v>
      </c>
      <c r="H84" s="2">
        <v>5.0000000000000001E-3</v>
      </c>
      <c r="I84" s="17">
        <v>43739</v>
      </c>
      <c r="J84" s="17">
        <v>43769</v>
      </c>
      <c r="K84" s="3">
        <f>J84-I84+1</f>
        <v>31</v>
      </c>
      <c r="L84" s="3">
        <f>ROUND(G84*H84*K84/365,0)</f>
        <v>84932</v>
      </c>
      <c r="M84" s="3">
        <v>200000000</v>
      </c>
    </row>
    <row r="85" spans="1:13" s="16" customFormat="1" outlineLevel="2">
      <c r="A85" s="17" t="s">
        <v>213</v>
      </c>
      <c r="B85" s="18" t="s">
        <v>44</v>
      </c>
      <c r="C85" s="19" t="s">
        <v>284</v>
      </c>
      <c r="D85" s="18" t="s">
        <v>283</v>
      </c>
      <c r="E85" s="3">
        <v>79000000</v>
      </c>
      <c r="F85" s="17">
        <v>43714</v>
      </c>
      <c r="G85" s="3">
        <v>79000000</v>
      </c>
      <c r="H85" s="2">
        <v>5.0000000000000001E-3</v>
      </c>
      <c r="I85" s="17">
        <v>43739</v>
      </c>
      <c r="J85" s="17">
        <v>43769</v>
      </c>
      <c r="K85" s="3">
        <f>J85-I85+1</f>
        <v>31</v>
      </c>
      <c r="L85" s="3">
        <f>ROUND(G85*H85*K85/365,0)</f>
        <v>33548</v>
      </c>
      <c r="M85" s="3">
        <v>79000000</v>
      </c>
    </row>
    <row r="86" spans="1:13" s="16" customFormat="1" outlineLevel="1">
      <c r="A86" s="28" t="s">
        <v>135</v>
      </c>
      <c r="B86" s="43"/>
      <c r="C86" s="44"/>
      <c r="D86" s="43"/>
      <c r="E86" s="45">
        <f>SUBTOTAL(9,E63:E85)</f>
        <v>1486869978</v>
      </c>
      <c r="F86" s="46"/>
      <c r="G86" s="45"/>
      <c r="H86" s="47"/>
      <c r="I86" s="46"/>
      <c r="J86" s="46"/>
      <c r="K86" s="45"/>
      <c r="L86" s="45">
        <f>SUBTOTAL(9,L63:L85)</f>
        <v>865691</v>
      </c>
      <c r="M86" s="45">
        <f>SUBTOTAL(9,M63:M85)</f>
        <v>1476155694</v>
      </c>
    </row>
    <row r="87" spans="1:13" s="16" customFormat="1" outlineLevel="2">
      <c r="A87" s="17" t="s">
        <v>350</v>
      </c>
      <c r="B87" s="18" t="s">
        <v>17</v>
      </c>
      <c r="C87" s="19" t="s">
        <v>63</v>
      </c>
      <c r="D87" s="18" t="s">
        <v>62</v>
      </c>
      <c r="E87" s="3">
        <v>25000000</v>
      </c>
      <c r="F87" s="17">
        <v>43697</v>
      </c>
      <c r="G87" s="3">
        <v>25000000</v>
      </c>
      <c r="H87" s="2">
        <v>5.0000000000000001E-3</v>
      </c>
      <c r="I87" s="17">
        <v>43739</v>
      </c>
      <c r="J87" s="17">
        <v>43769</v>
      </c>
      <c r="K87" s="3">
        <f>J87-I87+1</f>
        <v>31</v>
      </c>
      <c r="L87" s="3">
        <f>ROUND(G87*H87*K87/365,0)</f>
        <v>10616</v>
      </c>
      <c r="M87" s="3">
        <v>25000000</v>
      </c>
    </row>
    <row r="88" spans="1:13" s="16" customFormat="1" outlineLevel="2">
      <c r="A88" s="17" t="s">
        <v>350</v>
      </c>
      <c r="B88" s="18" t="s">
        <v>31</v>
      </c>
      <c r="C88" s="19" t="s">
        <v>63</v>
      </c>
      <c r="D88" s="18" t="s">
        <v>62</v>
      </c>
      <c r="E88" s="3">
        <v>48000000</v>
      </c>
      <c r="F88" s="17">
        <v>43707</v>
      </c>
      <c r="G88" s="3">
        <v>48000000</v>
      </c>
      <c r="H88" s="2">
        <v>5.0000000000000001E-3</v>
      </c>
      <c r="I88" s="17">
        <v>43739</v>
      </c>
      <c r="J88" s="17">
        <v>43769</v>
      </c>
      <c r="K88" s="3">
        <f>J88-I88+1</f>
        <v>31</v>
      </c>
      <c r="L88" s="3">
        <f>ROUND(G88*H88*K88/365,0)</f>
        <v>20384</v>
      </c>
      <c r="M88" s="3">
        <v>48000000</v>
      </c>
    </row>
    <row r="89" spans="1:13" s="16" customFormat="1" outlineLevel="2">
      <c r="A89" s="17" t="s">
        <v>350</v>
      </c>
      <c r="B89" s="18" t="s">
        <v>30</v>
      </c>
      <c r="C89" s="19" t="s">
        <v>282</v>
      </c>
      <c r="D89" s="18" t="s">
        <v>281</v>
      </c>
      <c r="E89" s="3">
        <v>22000000</v>
      </c>
      <c r="F89" s="17">
        <v>43728</v>
      </c>
      <c r="G89" s="3">
        <v>22000000</v>
      </c>
      <c r="H89" s="2">
        <v>5.0000000000000001E-3</v>
      </c>
      <c r="I89" s="17">
        <v>43739</v>
      </c>
      <c r="J89" s="17">
        <v>43769</v>
      </c>
      <c r="K89" s="3">
        <f>J89-I89+1</f>
        <v>31</v>
      </c>
      <c r="L89" s="3">
        <f>ROUND(G89*H89*K89/365,0)</f>
        <v>9342</v>
      </c>
      <c r="M89" s="3">
        <v>22000000</v>
      </c>
    </row>
    <row r="90" spans="1:13" s="16" customFormat="1" outlineLevel="2">
      <c r="A90" s="17" t="s">
        <v>350</v>
      </c>
      <c r="B90" s="18" t="s">
        <v>28</v>
      </c>
      <c r="C90" s="19" t="s">
        <v>282</v>
      </c>
      <c r="D90" s="18" t="s">
        <v>281</v>
      </c>
      <c r="E90" s="3">
        <v>26000000</v>
      </c>
      <c r="F90" s="17">
        <v>43728</v>
      </c>
      <c r="G90" s="3">
        <v>26000000</v>
      </c>
      <c r="H90" s="2">
        <v>5.0000000000000001E-3</v>
      </c>
      <c r="I90" s="17">
        <v>43739</v>
      </c>
      <c r="J90" s="17">
        <v>43769</v>
      </c>
      <c r="K90" s="3">
        <f>J90-I90+1</f>
        <v>31</v>
      </c>
      <c r="L90" s="3">
        <f>ROUND(G90*H90*K90/365,0)</f>
        <v>11041</v>
      </c>
      <c r="M90" s="3">
        <v>26000000</v>
      </c>
    </row>
    <row r="91" spans="1:13" s="16" customFormat="1" outlineLevel="2">
      <c r="A91" s="17" t="s">
        <v>350</v>
      </c>
      <c r="B91" s="18" t="s">
        <v>48</v>
      </c>
      <c r="C91" s="19" t="s">
        <v>282</v>
      </c>
      <c r="D91" s="18" t="s">
        <v>281</v>
      </c>
      <c r="E91" s="3">
        <v>72000000</v>
      </c>
      <c r="F91" s="17">
        <v>43728</v>
      </c>
      <c r="G91" s="3">
        <v>72000000</v>
      </c>
      <c r="H91" s="2">
        <v>5.0000000000000001E-3</v>
      </c>
      <c r="I91" s="17">
        <v>43739</v>
      </c>
      <c r="J91" s="17">
        <v>43769</v>
      </c>
      <c r="K91" s="3">
        <f>J91-I91+1</f>
        <v>31</v>
      </c>
      <c r="L91" s="3">
        <f>ROUND(G91*H91*K91/365,0)</f>
        <v>30575</v>
      </c>
      <c r="M91" s="3">
        <v>72000000</v>
      </c>
    </row>
    <row r="92" spans="1:13" s="16" customFormat="1" outlineLevel="2">
      <c r="A92" s="17" t="s">
        <v>350</v>
      </c>
      <c r="B92" s="18" t="s">
        <v>47</v>
      </c>
      <c r="C92" s="19" t="s">
        <v>159</v>
      </c>
      <c r="D92" s="18" t="s">
        <v>158</v>
      </c>
      <c r="E92" s="3">
        <v>10000000</v>
      </c>
      <c r="F92" s="17">
        <v>43725</v>
      </c>
      <c r="G92" s="3">
        <v>10000000</v>
      </c>
      <c r="H92" s="2">
        <v>3.0000000000000001E-3</v>
      </c>
      <c r="I92" s="17">
        <v>43739</v>
      </c>
      <c r="J92" s="17">
        <v>43769</v>
      </c>
      <c r="K92" s="3">
        <f>J92-I92+1</f>
        <v>31</v>
      </c>
      <c r="L92" s="3">
        <f>ROUND(G92*H92*K92/365,0)</f>
        <v>2548</v>
      </c>
      <c r="M92" s="3">
        <v>10000000</v>
      </c>
    </row>
    <row r="93" spans="1:13" s="16" customFormat="1" outlineLevel="2">
      <c r="A93" s="17" t="s">
        <v>350</v>
      </c>
      <c r="B93" s="18" t="s">
        <v>46</v>
      </c>
      <c r="C93" s="19" t="s">
        <v>276</v>
      </c>
      <c r="D93" s="18" t="s">
        <v>275</v>
      </c>
      <c r="E93" s="3">
        <v>100000000</v>
      </c>
      <c r="F93" s="17">
        <v>43728</v>
      </c>
      <c r="G93" s="3">
        <v>100000000</v>
      </c>
      <c r="H93" s="2">
        <v>5.0000000000000001E-3</v>
      </c>
      <c r="I93" s="17">
        <v>43739</v>
      </c>
      <c r="J93" s="17">
        <v>43769</v>
      </c>
      <c r="K93" s="3">
        <f>J93-I93+1</f>
        <v>31</v>
      </c>
      <c r="L93" s="3">
        <f>ROUND(G93*H93*K93/365,0)</f>
        <v>42466</v>
      </c>
      <c r="M93" s="3">
        <v>100000000</v>
      </c>
    </row>
    <row r="94" spans="1:13" s="16" customFormat="1" outlineLevel="2">
      <c r="A94" s="17" t="s">
        <v>350</v>
      </c>
      <c r="B94" s="18" t="s">
        <v>45</v>
      </c>
      <c r="C94" s="19" t="s">
        <v>188</v>
      </c>
      <c r="D94" s="18" t="s">
        <v>187</v>
      </c>
      <c r="E94" s="3">
        <v>585000</v>
      </c>
      <c r="F94" s="17">
        <v>43769</v>
      </c>
      <c r="G94" s="3">
        <v>585000</v>
      </c>
      <c r="H94" s="2">
        <v>5.0000000000000001E-3</v>
      </c>
      <c r="I94" s="17">
        <v>43769</v>
      </c>
      <c r="J94" s="17">
        <v>43769</v>
      </c>
      <c r="K94" s="3">
        <f>J94-I94+1</f>
        <v>1</v>
      </c>
      <c r="L94" s="3">
        <f>ROUND(G94*H94*K94/365,0)</f>
        <v>8</v>
      </c>
      <c r="M94" s="3">
        <v>585000</v>
      </c>
    </row>
    <row r="95" spans="1:13" s="16" customFormat="1" outlineLevel="2">
      <c r="A95" s="17" t="s">
        <v>350</v>
      </c>
      <c r="B95" s="18" t="s">
        <v>44</v>
      </c>
      <c r="C95" s="19" t="s">
        <v>349</v>
      </c>
      <c r="D95" s="18" t="s">
        <v>348</v>
      </c>
      <c r="E95" s="3">
        <v>13330000</v>
      </c>
      <c r="F95" s="17">
        <v>43762</v>
      </c>
      <c r="G95" s="3">
        <v>13330000</v>
      </c>
      <c r="H95" s="2">
        <v>5.0000000000000001E-3</v>
      </c>
      <c r="I95" s="17">
        <v>43762</v>
      </c>
      <c r="J95" s="17">
        <v>43769</v>
      </c>
      <c r="K95" s="3">
        <f>J95-I95+1</f>
        <v>8</v>
      </c>
      <c r="L95" s="3">
        <f>ROUND(G95*H95*K95/365,0)</f>
        <v>1461</v>
      </c>
      <c r="M95" s="3">
        <v>13330000</v>
      </c>
    </row>
    <row r="96" spans="1:13" s="16" customFormat="1" outlineLevel="1">
      <c r="A96" s="28" t="s">
        <v>347</v>
      </c>
      <c r="B96" s="43"/>
      <c r="C96" s="44"/>
      <c r="D96" s="43"/>
      <c r="E96" s="45">
        <f>SUBTOTAL(9,E87:E95)</f>
        <v>316915000</v>
      </c>
      <c r="F96" s="46"/>
      <c r="G96" s="45"/>
      <c r="H96" s="47"/>
      <c r="I96" s="46"/>
      <c r="J96" s="46"/>
      <c r="K96" s="45"/>
      <c r="L96" s="45">
        <f>SUBTOTAL(9,L87:L95)</f>
        <v>128441</v>
      </c>
      <c r="M96" s="45">
        <f>SUBTOTAL(9,M87:M95)</f>
        <v>316915000</v>
      </c>
    </row>
    <row r="97" spans="1:13" s="16" customFormat="1" outlineLevel="2">
      <c r="A97" s="17" t="s">
        <v>342</v>
      </c>
      <c r="B97" s="18" t="s">
        <v>17</v>
      </c>
      <c r="C97" s="19" t="s">
        <v>206</v>
      </c>
      <c r="D97" s="18" t="s">
        <v>38</v>
      </c>
      <c r="E97" s="3">
        <v>100000000</v>
      </c>
      <c r="F97" s="17">
        <v>43594</v>
      </c>
      <c r="G97" s="3">
        <v>100000000</v>
      </c>
      <c r="H97" s="2">
        <v>1.4999999999999999E-2</v>
      </c>
      <c r="I97" s="17">
        <v>43739</v>
      </c>
      <c r="J97" s="17">
        <v>43769</v>
      </c>
      <c r="K97" s="3">
        <f>J97-I97+1</f>
        <v>31</v>
      </c>
      <c r="L97" s="3">
        <f>ROUND(G97*H97*K97/365,0)</f>
        <v>127397</v>
      </c>
      <c r="M97" s="3">
        <v>100000000</v>
      </c>
    </row>
    <row r="98" spans="1:13" s="16" customFormat="1" outlineLevel="2">
      <c r="A98" s="17" t="s">
        <v>342</v>
      </c>
      <c r="B98" s="18" t="s">
        <v>181</v>
      </c>
      <c r="C98" s="19" t="s">
        <v>159</v>
      </c>
      <c r="D98" s="18" t="s">
        <v>158</v>
      </c>
      <c r="E98" s="3">
        <v>18915000</v>
      </c>
      <c r="F98" s="17">
        <v>43725</v>
      </c>
      <c r="G98" s="3">
        <v>18915000</v>
      </c>
      <c r="H98" s="2">
        <v>1.4999999999999999E-2</v>
      </c>
      <c r="I98" s="17">
        <v>43739</v>
      </c>
      <c r="J98" s="17">
        <v>43769</v>
      </c>
      <c r="K98" s="3">
        <f>J98-I98+1</f>
        <v>31</v>
      </c>
      <c r="L98" s="3">
        <f>ROUND(G98*H98*K98/365,0)</f>
        <v>24097</v>
      </c>
      <c r="M98" s="3">
        <v>18915000</v>
      </c>
    </row>
    <row r="99" spans="1:13" s="16" customFormat="1" outlineLevel="2">
      <c r="A99" s="17" t="s">
        <v>342</v>
      </c>
      <c r="B99" s="18" t="s">
        <v>180</v>
      </c>
      <c r="C99" s="19" t="s">
        <v>280</v>
      </c>
      <c r="D99" s="18" t="s">
        <v>279</v>
      </c>
      <c r="E99" s="3">
        <v>100000000</v>
      </c>
      <c r="F99" s="17">
        <v>43734</v>
      </c>
      <c r="G99" s="3">
        <v>100000000</v>
      </c>
      <c r="H99" s="2">
        <v>5.0000000000000001E-3</v>
      </c>
      <c r="I99" s="17">
        <v>43739</v>
      </c>
      <c r="J99" s="17">
        <v>43769</v>
      </c>
      <c r="K99" s="3">
        <f>J99-I99+1</f>
        <v>31</v>
      </c>
      <c r="L99" s="3">
        <f>ROUND(G99*H99*K99/365,0)</f>
        <v>42466</v>
      </c>
      <c r="M99" s="3">
        <v>100000000</v>
      </c>
    </row>
    <row r="100" spans="1:13" s="16" customFormat="1" outlineLevel="2">
      <c r="A100" s="17" t="s">
        <v>342</v>
      </c>
      <c r="B100" s="18" t="s">
        <v>179</v>
      </c>
      <c r="C100" s="19" t="s">
        <v>150</v>
      </c>
      <c r="D100" s="18" t="s">
        <v>149</v>
      </c>
      <c r="E100" s="3">
        <v>2815050</v>
      </c>
      <c r="F100" s="17">
        <v>43728</v>
      </c>
      <c r="G100" s="3">
        <v>2815050</v>
      </c>
      <c r="H100" s="2">
        <v>3.0000000000000001E-3</v>
      </c>
      <c r="I100" s="17">
        <v>43739</v>
      </c>
      <c r="J100" s="17">
        <v>43769</v>
      </c>
      <c r="K100" s="3">
        <f>J100-I100+1</f>
        <v>31</v>
      </c>
      <c r="L100" s="3">
        <f>ROUND(G100*H100*K100/365,0)</f>
        <v>717</v>
      </c>
      <c r="M100" s="3">
        <v>2815050</v>
      </c>
    </row>
    <row r="101" spans="1:13" s="16" customFormat="1" outlineLevel="2">
      <c r="A101" s="17" t="s">
        <v>342</v>
      </c>
      <c r="B101" s="18" t="s">
        <v>178</v>
      </c>
      <c r="C101" s="19" t="s">
        <v>280</v>
      </c>
      <c r="D101" s="18" t="s">
        <v>279</v>
      </c>
      <c r="E101" s="3">
        <v>200000000</v>
      </c>
      <c r="F101" s="17">
        <v>43742</v>
      </c>
      <c r="G101" s="3">
        <v>200000000</v>
      </c>
      <c r="H101" s="2">
        <v>5.0000000000000001E-3</v>
      </c>
      <c r="I101" s="17">
        <v>43742</v>
      </c>
      <c r="J101" s="17">
        <v>43769</v>
      </c>
      <c r="K101" s="3">
        <f>J101-I101+1</f>
        <v>28</v>
      </c>
      <c r="L101" s="3">
        <f>ROUND(G101*H101*K101/365,0)</f>
        <v>76712</v>
      </c>
      <c r="M101" s="3">
        <v>200000000</v>
      </c>
    </row>
    <row r="102" spans="1:13" s="16" customFormat="1" outlineLevel="2">
      <c r="A102" s="17" t="s">
        <v>342</v>
      </c>
      <c r="B102" s="18" t="s">
        <v>177</v>
      </c>
      <c r="C102" s="19" t="s">
        <v>272</v>
      </c>
      <c r="D102" s="18" t="s">
        <v>271</v>
      </c>
      <c r="E102" s="3">
        <v>17000000</v>
      </c>
      <c r="F102" s="17">
        <v>43746</v>
      </c>
      <c r="G102" s="3">
        <v>17000000</v>
      </c>
      <c r="H102" s="2">
        <v>5.0000000000000001E-3</v>
      </c>
      <c r="I102" s="17">
        <v>43746</v>
      </c>
      <c r="J102" s="17">
        <v>43769</v>
      </c>
      <c r="K102" s="3">
        <f>J102-I102+1</f>
        <v>24</v>
      </c>
      <c r="L102" s="3">
        <f>ROUND(G102*H102*K102/365,0)</f>
        <v>5589</v>
      </c>
      <c r="M102" s="3">
        <v>17000000</v>
      </c>
    </row>
    <row r="103" spans="1:13" s="16" customFormat="1" outlineLevel="2">
      <c r="A103" s="17" t="s">
        <v>342</v>
      </c>
      <c r="B103" s="18" t="s">
        <v>176</v>
      </c>
      <c r="C103" s="19" t="s">
        <v>344</v>
      </c>
      <c r="D103" s="18" t="s">
        <v>343</v>
      </c>
      <c r="E103" s="3">
        <v>53000000</v>
      </c>
      <c r="F103" s="17">
        <v>43746</v>
      </c>
      <c r="G103" s="3">
        <v>53000000</v>
      </c>
      <c r="H103" s="2">
        <v>5.0000000000000001E-3</v>
      </c>
      <c r="I103" s="17">
        <v>43746</v>
      </c>
      <c r="J103" s="17">
        <v>43769</v>
      </c>
      <c r="K103" s="3">
        <f>J103-I103+1</f>
        <v>24</v>
      </c>
      <c r="L103" s="3">
        <f>ROUND(G103*H103*K103/365,0)</f>
        <v>17425</v>
      </c>
      <c r="M103" s="3">
        <v>53000000</v>
      </c>
    </row>
    <row r="104" spans="1:13" s="16" customFormat="1" outlineLevel="2">
      <c r="A104" s="17" t="s">
        <v>342</v>
      </c>
      <c r="B104" s="18" t="s">
        <v>175</v>
      </c>
      <c r="C104" s="19" t="s">
        <v>183</v>
      </c>
      <c r="D104" s="18" t="s">
        <v>182</v>
      </c>
      <c r="E104" s="3">
        <v>9999658</v>
      </c>
      <c r="F104" s="17">
        <v>43747</v>
      </c>
      <c r="G104" s="3">
        <v>9999658</v>
      </c>
      <c r="H104" s="2">
        <v>5.0000000000000001E-3</v>
      </c>
      <c r="I104" s="17">
        <v>43747</v>
      </c>
      <c r="J104" s="17">
        <v>43769</v>
      </c>
      <c r="K104" s="3">
        <f>J104-I104+1</f>
        <v>23</v>
      </c>
      <c r="L104" s="3">
        <f>ROUND(G104*H104*K104/365,0)</f>
        <v>3151</v>
      </c>
      <c r="M104" s="3">
        <v>9999658</v>
      </c>
    </row>
    <row r="105" spans="1:13" s="16" customFormat="1" outlineLevel="2">
      <c r="A105" s="17" t="s">
        <v>342</v>
      </c>
      <c r="B105" s="18" t="s">
        <v>174</v>
      </c>
      <c r="C105" s="19" t="s">
        <v>346</v>
      </c>
      <c r="D105" s="18" t="s">
        <v>345</v>
      </c>
      <c r="E105" s="3">
        <v>86000000</v>
      </c>
      <c r="F105" s="17">
        <v>43753</v>
      </c>
      <c r="G105" s="3">
        <v>86000000</v>
      </c>
      <c r="H105" s="2">
        <v>5.0000000000000001E-3</v>
      </c>
      <c r="I105" s="17">
        <v>43753</v>
      </c>
      <c r="J105" s="17">
        <v>43769</v>
      </c>
      <c r="K105" s="3">
        <f>J105-I105+1</f>
        <v>17</v>
      </c>
      <c r="L105" s="3">
        <f>ROUND(G105*H105*K105/365,0)</f>
        <v>20027</v>
      </c>
      <c r="M105" s="3">
        <v>86000000</v>
      </c>
    </row>
    <row r="106" spans="1:13" s="16" customFormat="1" outlineLevel="2">
      <c r="A106" s="17" t="s">
        <v>342</v>
      </c>
      <c r="B106" s="18" t="s">
        <v>171</v>
      </c>
      <c r="C106" s="19" t="s">
        <v>210</v>
      </c>
      <c r="D106" s="18" t="s">
        <v>209</v>
      </c>
      <c r="E106" s="3">
        <v>1500000</v>
      </c>
      <c r="F106" s="17">
        <v>43753</v>
      </c>
      <c r="G106" s="3">
        <v>1500000</v>
      </c>
      <c r="H106" s="2">
        <v>5.0000000000000001E-3</v>
      </c>
      <c r="I106" s="17">
        <v>43753</v>
      </c>
      <c r="J106" s="17">
        <v>43769</v>
      </c>
      <c r="K106" s="3">
        <f>J106-I106+1</f>
        <v>17</v>
      </c>
      <c r="L106" s="3">
        <f>ROUND(G106*H106*K106/365,0)</f>
        <v>349</v>
      </c>
      <c r="M106" s="3">
        <v>1500000</v>
      </c>
    </row>
    <row r="107" spans="1:13" s="16" customFormat="1" outlineLevel="2">
      <c r="A107" s="17" t="s">
        <v>342</v>
      </c>
      <c r="B107" s="18" t="s">
        <v>170</v>
      </c>
      <c r="C107" s="19" t="s">
        <v>159</v>
      </c>
      <c r="D107" s="18" t="s">
        <v>158</v>
      </c>
      <c r="E107" s="3">
        <v>5864000</v>
      </c>
      <c r="F107" s="17">
        <v>43755</v>
      </c>
      <c r="G107" s="3">
        <v>5864000</v>
      </c>
      <c r="H107" s="2">
        <v>1.4999999999999999E-2</v>
      </c>
      <c r="I107" s="17">
        <v>43755</v>
      </c>
      <c r="J107" s="17">
        <v>43769</v>
      </c>
      <c r="K107" s="3">
        <f>J107-I107+1</f>
        <v>15</v>
      </c>
      <c r="L107" s="3">
        <f>ROUND(G107*H107*K107/365,0)</f>
        <v>3615</v>
      </c>
      <c r="M107" s="3">
        <v>5864000</v>
      </c>
    </row>
    <row r="108" spans="1:13" s="16" customFormat="1" outlineLevel="2">
      <c r="A108" s="17" t="s">
        <v>342</v>
      </c>
      <c r="B108" s="18" t="s">
        <v>31</v>
      </c>
      <c r="C108" s="19" t="s">
        <v>159</v>
      </c>
      <c r="D108" s="18" t="s">
        <v>158</v>
      </c>
      <c r="E108" s="3">
        <v>38097000</v>
      </c>
      <c r="F108" s="17">
        <v>43663</v>
      </c>
      <c r="G108" s="3">
        <v>38097000</v>
      </c>
      <c r="H108" s="2">
        <v>1.4999999999999999E-2</v>
      </c>
      <c r="I108" s="17">
        <v>43739</v>
      </c>
      <c r="J108" s="17">
        <v>43769</v>
      </c>
      <c r="K108" s="3">
        <f>J108-I108+1</f>
        <v>31</v>
      </c>
      <c r="L108" s="3">
        <f>ROUND(G108*H108*K108/365,0)</f>
        <v>48535</v>
      </c>
      <c r="M108" s="3">
        <v>38097000</v>
      </c>
    </row>
    <row r="109" spans="1:13" s="16" customFormat="1" outlineLevel="2">
      <c r="A109" s="17" t="s">
        <v>342</v>
      </c>
      <c r="B109" s="18" t="s">
        <v>169</v>
      </c>
      <c r="C109" s="19" t="s">
        <v>159</v>
      </c>
      <c r="D109" s="18" t="s">
        <v>158</v>
      </c>
      <c r="E109" s="3">
        <v>19703000</v>
      </c>
      <c r="F109" s="17">
        <v>43755</v>
      </c>
      <c r="G109" s="3">
        <v>19703000</v>
      </c>
      <c r="H109" s="2">
        <v>1.4999999999999999E-2</v>
      </c>
      <c r="I109" s="17">
        <v>43755</v>
      </c>
      <c r="J109" s="17">
        <v>43769</v>
      </c>
      <c r="K109" s="3">
        <f>J109-I109+1</f>
        <v>15</v>
      </c>
      <c r="L109" s="3">
        <f>ROUND(G109*H109*K109/365,0)</f>
        <v>12146</v>
      </c>
      <c r="M109" s="3">
        <v>19703000</v>
      </c>
    </row>
    <row r="110" spans="1:13" s="16" customFormat="1" outlineLevel="2">
      <c r="A110" s="17" t="s">
        <v>342</v>
      </c>
      <c r="B110" s="18" t="s">
        <v>168</v>
      </c>
      <c r="C110" s="19" t="s">
        <v>344</v>
      </c>
      <c r="D110" s="18" t="s">
        <v>343</v>
      </c>
      <c r="E110" s="3">
        <v>57000000</v>
      </c>
      <c r="F110" s="17">
        <v>43761</v>
      </c>
      <c r="G110" s="3">
        <v>57000000</v>
      </c>
      <c r="H110" s="2">
        <v>5.0000000000000001E-3</v>
      </c>
      <c r="I110" s="17">
        <v>43761</v>
      </c>
      <c r="J110" s="17">
        <v>43769</v>
      </c>
      <c r="K110" s="3">
        <f>J110-I110+1</f>
        <v>9</v>
      </c>
      <c r="L110" s="3">
        <f>ROUND(G110*H110*K110/365,0)</f>
        <v>7027</v>
      </c>
      <c r="M110" s="3">
        <v>57000000</v>
      </c>
    </row>
    <row r="111" spans="1:13" s="16" customFormat="1" outlineLevel="2">
      <c r="A111" s="17" t="s">
        <v>342</v>
      </c>
      <c r="B111" s="18" t="s">
        <v>167</v>
      </c>
      <c r="C111" s="19" t="s">
        <v>272</v>
      </c>
      <c r="D111" s="18" t="s">
        <v>271</v>
      </c>
      <c r="E111" s="3">
        <v>13000000</v>
      </c>
      <c r="F111" s="17">
        <v>43763</v>
      </c>
      <c r="G111" s="3">
        <v>13000000</v>
      </c>
      <c r="H111" s="2">
        <v>5.0000000000000001E-3</v>
      </c>
      <c r="I111" s="17">
        <v>43763</v>
      </c>
      <c r="J111" s="17">
        <v>43769</v>
      </c>
      <c r="K111" s="3">
        <f>J111-I111+1</f>
        <v>7</v>
      </c>
      <c r="L111" s="3">
        <f>ROUND(G111*H111*K111/365,0)</f>
        <v>1247</v>
      </c>
      <c r="M111" s="3">
        <v>13000000</v>
      </c>
    </row>
    <row r="112" spans="1:13" s="16" customFormat="1" outlineLevel="2">
      <c r="A112" s="17" t="s">
        <v>342</v>
      </c>
      <c r="B112" s="18" t="s">
        <v>166</v>
      </c>
      <c r="C112" s="19" t="s">
        <v>280</v>
      </c>
      <c r="D112" s="18" t="s">
        <v>279</v>
      </c>
      <c r="E112" s="3">
        <v>44000000</v>
      </c>
      <c r="F112" s="17">
        <v>43763</v>
      </c>
      <c r="G112" s="3">
        <v>44000000</v>
      </c>
      <c r="H112" s="2">
        <v>5.0000000000000001E-3</v>
      </c>
      <c r="I112" s="17">
        <v>43763</v>
      </c>
      <c r="J112" s="17">
        <v>43769</v>
      </c>
      <c r="K112" s="3">
        <f>J112-I112+1</f>
        <v>7</v>
      </c>
      <c r="L112" s="3">
        <f>ROUND(G112*H112*K112/365,0)</f>
        <v>4219</v>
      </c>
      <c r="M112" s="3">
        <v>44000000</v>
      </c>
    </row>
    <row r="113" spans="1:13" s="16" customFormat="1" outlineLevel="2">
      <c r="A113" s="17" t="s">
        <v>342</v>
      </c>
      <c r="B113" s="18" t="s">
        <v>165</v>
      </c>
      <c r="C113" s="19" t="s">
        <v>183</v>
      </c>
      <c r="D113" s="18" t="s">
        <v>182</v>
      </c>
      <c r="E113" s="3">
        <v>6377049</v>
      </c>
      <c r="F113" s="17">
        <v>43768</v>
      </c>
      <c r="G113" s="3">
        <v>6377049</v>
      </c>
      <c r="H113" s="2">
        <v>5.0000000000000001E-3</v>
      </c>
      <c r="I113" s="17">
        <v>43768</v>
      </c>
      <c r="J113" s="17">
        <v>43769</v>
      </c>
      <c r="K113" s="3">
        <f>J113-I113+1</f>
        <v>2</v>
      </c>
      <c r="L113" s="3">
        <f>ROUND(G113*H113*K113/365,0)</f>
        <v>175</v>
      </c>
      <c r="M113" s="3">
        <v>6377049</v>
      </c>
    </row>
    <row r="114" spans="1:13" s="16" customFormat="1" outlineLevel="2">
      <c r="A114" s="17" t="s">
        <v>342</v>
      </c>
      <c r="B114" s="18" t="s">
        <v>30</v>
      </c>
      <c r="C114" s="19" t="s">
        <v>159</v>
      </c>
      <c r="D114" s="18" t="s">
        <v>158</v>
      </c>
      <c r="E114" s="3">
        <v>79839000</v>
      </c>
      <c r="F114" s="17">
        <v>43663</v>
      </c>
      <c r="G114" s="3">
        <v>79839000</v>
      </c>
      <c r="H114" s="2">
        <v>1.4999999999999999E-2</v>
      </c>
      <c r="I114" s="17">
        <v>43739</v>
      </c>
      <c r="J114" s="17">
        <v>43769</v>
      </c>
      <c r="K114" s="3">
        <f>J114-I114+1</f>
        <v>31</v>
      </c>
      <c r="L114" s="3">
        <f>ROUND(G114*H114*K114/365,0)</f>
        <v>101713</v>
      </c>
      <c r="M114" s="3">
        <v>79839000</v>
      </c>
    </row>
    <row r="115" spans="1:13" s="16" customFormat="1" outlineLevel="2">
      <c r="A115" s="17" t="s">
        <v>342</v>
      </c>
      <c r="B115" s="18" t="s">
        <v>28</v>
      </c>
      <c r="C115" s="19" t="s">
        <v>206</v>
      </c>
      <c r="D115" s="18" t="s">
        <v>38</v>
      </c>
      <c r="E115" s="3">
        <v>67000000</v>
      </c>
      <c r="F115" s="17">
        <v>43671</v>
      </c>
      <c r="G115" s="3">
        <v>67000000</v>
      </c>
      <c r="H115" s="2">
        <v>1.4999999999999999E-2</v>
      </c>
      <c r="I115" s="17">
        <v>43739</v>
      </c>
      <c r="J115" s="17">
        <v>43769</v>
      </c>
      <c r="K115" s="3">
        <f>J115-I115+1</f>
        <v>31</v>
      </c>
      <c r="L115" s="3">
        <f>ROUND(G115*H115*K115/365,0)</f>
        <v>85356</v>
      </c>
      <c r="M115" s="3">
        <v>67000000</v>
      </c>
    </row>
    <row r="116" spans="1:13" s="16" customFormat="1" outlineLevel="2">
      <c r="A116" s="17" t="s">
        <v>342</v>
      </c>
      <c r="B116" s="18" t="s">
        <v>48</v>
      </c>
      <c r="C116" s="19" t="s">
        <v>159</v>
      </c>
      <c r="D116" s="18" t="s">
        <v>158</v>
      </c>
      <c r="E116" s="3">
        <v>6635000</v>
      </c>
      <c r="F116" s="17">
        <v>43693</v>
      </c>
      <c r="G116" s="3">
        <v>6635000</v>
      </c>
      <c r="H116" s="2">
        <v>1.4999999999999999E-2</v>
      </c>
      <c r="I116" s="17">
        <v>43739</v>
      </c>
      <c r="J116" s="17">
        <v>43769</v>
      </c>
      <c r="K116" s="3">
        <f>J116-I116+1</f>
        <v>31</v>
      </c>
      <c r="L116" s="3">
        <f>ROUND(G116*H116*K116/365,0)</f>
        <v>8453</v>
      </c>
      <c r="M116" s="3">
        <v>6635000</v>
      </c>
    </row>
    <row r="117" spans="1:13" s="16" customFormat="1" outlineLevel="2">
      <c r="A117" s="17" t="s">
        <v>342</v>
      </c>
      <c r="B117" s="18" t="s">
        <v>47</v>
      </c>
      <c r="C117" s="19" t="s">
        <v>159</v>
      </c>
      <c r="D117" s="18" t="s">
        <v>158</v>
      </c>
      <c r="E117" s="3">
        <v>18206000</v>
      </c>
      <c r="F117" s="17">
        <v>43693</v>
      </c>
      <c r="G117" s="3">
        <v>18206000</v>
      </c>
      <c r="H117" s="2">
        <v>1.4999999999999999E-2</v>
      </c>
      <c r="I117" s="17">
        <v>43739</v>
      </c>
      <c r="J117" s="17">
        <v>43769</v>
      </c>
      <c r="K117" s="3">
        <f>J117-I117+1</f>
        <v>31</v>
      </c>
      <c r="L117" s="3">
        <f>ROUND(G117*H117*K117/365,0)</f>
        <v>23194</v>
      </c>
      <c r="M117" s="3">
        <v>18206000</v>
      </c>
    </row>
    <row r="118" spans="1:13" s="16" customFormat="1" outlineLevel="2">
      <c r="A118" s="17" t="s">
        <v>342</v>
      </c>
      <c r="B118" s="18" t="s">
        <v>46</v>
      </c>
      <c r="C118" s="19" t="s">
        <v>183</v>
      </c>
      <c r="D118" s="18" t="s">
        <v>182</v>
      </c>
      <c r="E118" s="3">
        <v>11182589</v>
      </c>
      <c r="F118" s="17">
        <v>43718</v>
      </c>
      <c r="G118" s="3">
        <v>11182589</v>
      </c>
      <c r="H118" s="2">
        <v>5.0000000000000001E-3</v>
      </c>
      <c r="I118" s="17">
        <v>43739</v>
      </c>
      <c r="J118" s="17">
        <v>43769</v>
      </c>
      <c r="K118" s="3">
        <f>J118-I118+1</f>
        <v>31</v>
      </c>
      <c r="L118" s="3">
        <f>ROUND(G118*H118*K118/365,0)</f>
        <v>4749</v>
      </c>
      <c r="M118" s="3">
        <v>11182589</v>
      </c>
    </row>
    <row r="119" spans="1:13" s="16" customFormat="1" outlineLevel="2">
      <c r="A119" s="17" t="s">
        <v>342</v>
      </c>
      <c r="B119" s="18" t="s">
        <v>45</v>
      </c>
      <c r="C119" s="19" t="s">
        <v>280</v>
      </c>
      <c r="D119" s="18" t="s">
        <v>279</v>
      </c>
      <c r="E119" s="3">
        <v>100000000</v>
      </c>
      <c r="F119" s="17">
        <v>43724</v>
      </c>
      <c r="G119" s="3">
        <v>100000000</v>
      </c>
      <c r="H119" s="2">
        <v>5.0000000000000001E-3</v>
      </c>
      <c r="I119" s="17">
        <v>43739</v>
      </c>
      <c r="J119" s="17">
        <v>43769</v>
      </c>
      <c r="K119" s="3">
        <f>J119-I119+1</f>
        <v>31</v>
      </c>
      <c r="L119" s="3">
        <f>ROUND(G119*H119*K119/365,0)</f>
        <v>42466</v>
      </c>
      <c r="M119" s="3">
        <v>100000000</v>
      </c>
    </row>
    <row r="120" spans="1:13" s="16" customFormat="1" outlineLevel="2">
      <c r="A120" s="17" t="s">
        <v>342</v>
      </c>
      <c r="B120" s="18" t="s">
        <v>44</v>
      </c>
      <c r="C120" s="19" t="s">
        <v>159</v>
      </c>
      <c r="D120" s="18" t="s">
        <v>158</v>
      </c>
      <c r="E120" s="3">
        <v>3675000</v>
      </c>
      <c r="F120" s="17">
        <v>43725</v>
      </c>
      <c r="G120" s="3">
        <v>3675000</v>
      </c>
      <c r="H120" s="2">
        <v>1.4999999999999999E-2</v>
      </c>
      <c r="I120" s="17">
        <v>43739</v>
      </c>
      <c r="J120" s="17">
        <v>43769</v>
      </c>
      <c r="K120" s="3">
        <f>J120-I120+1</f>
        <v>31</v>
      </c>
      <c r="L120" s="3">
        <f>ROUND(G120*H120*K120/365,0)</f>
        <v>4682</v>
      </c>
      <c r="M120" s="3">
        <v>3675000</v>
      </c>
    </row>
    <row r="121" spans="1:13" s="16" customFormat="1" outlineLevel="1">
      <c r="A121" s="28" t="s">
        <v>341</v>
      </c>
      <c r="B121" s="43"/>
      <c r="C121" s="44"/>
      <c r="D121" s="43"/>
      <c r="E121" s="45">
        <f>SUBTOTAL(9,E97:E120)</f>
        <v>1059808346</v>
      </c>
      <c r="F121" s="46"/>
      <c r="G121" s="45"/>
      <c r="H121" s="47"/>
      <c r="I121" s="46"/>
      <c r="J121" s="46"/>
      <c r="K121" s="45"/>
      <c r="L121" s="45">
        <f>SUBTOTAL(9,L97:L120)</f>
        <v>665507</v>
      </c>
      <c r="M121" s="45">
        <f>SUBTOTAL(9,M97:M120)</f>
        <v>1059808346</v>
      </c>
    </row>
    <row r="122" spans="1:13" s="16" customFormat="1" outlineLevel="2">
      <c r="A122" s="17" t="s">
        <v>338</v>
      </c>
      <c r="B122" s="18" t="s">
        <v>17</v>
      </c>
      <c r="C122" s="19" t="s">
        <v>54</v>
      </c>
      <c r="D122" s="18" t="s">
        <v>34</v>
      </c>
      <c r="E122" s="3">
        <v>21800000</v>
      </c>
      <c r="F122" s="17">
        <v>43591</v>
      </c>
      <c r="G122" s="3">
        <v>21800000</v>
      </c>
      <c r="H122" s="2">
        <v>1.4999999999999999E-2</v>
      </c>
      <c r="I122" s="17">
        <v>43739</v>
      </c>
      <c r="J122" s="17">
        <v>43769</v>
      </c>
      <c r="K122" s="3">
        <f>J122-I122+1</f>
        <v>31</v>
      </c>
      <c r="L122" s="3">
        <f>ROUND(G122*H122*K122/365,0)</f>
        <v>27773</v>
      </c>
      <c r="M122" s="3">
        <v>21800000</v>
      </c>
    </row>
    <row r="123" spans="1:13" s="16" customFormat="1" outlineLevel="2">
      <c r="A123" s="17" t="s">
        <v>338</v>
      </c>
      <c r="B123" s="18" t="s">
        <v>181</v>
      </c>
      <c r="C123" s="19" t="s">
        <v>54</v>
      </c>
      <c r="D123" s="18" t="s">
        <v>34</v>
      </c>
      <c r="E123" s="3">
        <v>662000</v>
      </c>
      <c r="F123" s="17">
        <v>43733</v>
      </c>
      <c r="G123" s="3">
        <v>662000</v>
      </c>
      <c r="H123" s="2">
        <v>1.4999999999999999E-2</v>
      </c>
      <c r="I123" s="17">
        <v>43739</v>
      </c>
      <c r="J123" s="17">
        <v>43769</v>
      </c>
      <c r="K123" s="3">
        <f>J123-I123+1</f>
        <v>31</v>
      </c>
      <c r="L123" s="3">
        <f>ROUND(G123*H123*K123/365,0)</f>
        <v>843</v>
      </c>
      <c r="M123" s="3">
        <v>662000</v>
      </c>
    </row>
    <row r="124" spans="1:13" s="16" customFormat="1" outlineLevel="2">
      <c r="A124" s="17" t="s">
        <v>338</v>
      </c>
      <c r="B124" s="18" t="s">
        <v>180</v>
      </c>
      <c r="C124" s="19" t="s">
        <v>54</v>
      </c>
      <c r="D124" s="18" t="s">
        <v>34</v>
      </c>
      <c r="E124" s="3">
        <v>7250000</v>
      </c>
      <c r="F124" s="17">
        <v>43745</v>
      </c>
      <c r="G124" s="3">
        <v>7250000</v>
      </c>
      <c r="H124" s="2">
        <v>1.4999999999999999E-2</v>
      </c>
      <c r="I124" s="17">
        <v>43745</v>
      </c>
      <c r="J124" s="17">
        <v>43769</v>
      </c>
      <c r="K124" s="3">
        <f>J124-I124+1</f>
        <v>25</v>
      </c>
      <c r="L124" s="3">
        <f>ROUND(G124*H124*K124/365,0)</f>
        <v>7449</v>
      </c>
      <c r="M124" s="3">
        <v>7250000</v>
      </c>
    </row>
    <row r="125" spans="1:13" s="16" customFormat="1" outlineLevel="2">
      <c r="A125" s="17" t="s">
        <v>338</v>
      </c>
      <c r="B125" s="18" t="s">
        <v>179</v>
      </c>
      <c r="C125" s="19" t="s">
        <v>54</v>
      </c>
      <c r="D125" s="18" t="s">
        <v>34</v>
      </c>
      <c r="E125" s="3">
        <v>1095000</v>
      </c>
      <c r="F125" s="17">
        <v>43753</v>
      </c>
      <c r="G125" s="3">
        <v>1095000</v>
      </c>
      <c r="H125" s="2">
        <v>1.4999999999999999E-2</v>
      </c>
      <c r="I125" s="17">
        <v>43753</v>
      </c>
      <c r="J125" s="17">
        <v>43769</v>
      </c>
      <c r="K125" s="3">
        <f>J125-I125+1</f>
        <v>17</v>
      </c>
      <c r="L125" s="3">
        <f>ROUND(G125*H125*K125/365,0)</f>
        <v>765</v>
      </c>
      <c r="M125" s="3">
        <v>1095000</v>
      </c>
    </row>
    <row r="126" spans="1:13" s="16" customFormat="1" outlineLevel="2">
      <c r="A126" s="17" t="s">
        <v>338</v>
      </c>
      <c r="B126" s="18" t="s">
        <v>178</v>
      </c>
      <c r="C126" s="19" t="s">
        <v>54</v>
      </c>
      <c r="D126" s="18" t="s">
        <v>34</v>
      </c>
      <c r="E126" s="3">
        <v>10906000</v>
      </c>
      <c r="F126" s="17">
        <v>43763</v>
      </c>
      <c r="G126" s="3">
        <v>10906000</v>
      </c>
      <c r="H126" s="2">
        <v>1.4999999999999999E-2</v>
      </c>
      <c r="I126" s="17">
        <v>43763</v>
      </c>
      <c r="J126" s="17">
        <v>43769</v>
      </c>
      <c r="K126" s="3">
        <f>J126-I126+1</f>
        <v>7</v>
      </c>
      <c r="L126" s="3">
        <f>ROUND(G126*H126*K126/365,0)</f>
        <v>3137</v>
      </c>
      <c r="M126" s="3">
        <v>10906000</v>
      </c>
    </row>
    <row r="127" spans="1:13" s="16" customFormat="1" outlineLevel="2">
      <c r="A127" s="17" t="s">
        <v>338</v>
      </c>
      <c r="B127" s="18" t="s">
        <v>177</v>
      </c>
      <c r="C127" s="19" t="s">
        <v>340</v>
      </c>
      <c r="D127" s="18" t="s">
        <v>339</v>
      </c>
      <c r="E127" s="3">
        <v>50000000</v>
      </c>
      <c r="F127" s="17">
        <v>43753</v>
      </c>
      <c r="G127" s="3">
        <v>50000000</v>
      </c>
      <c r="H127" s="2">
        <v>1.4999999999999999E-2</v>
      </c>
      <c r="I127" s="17">
        <v>43753</v>
      </c>
      <c r="J127" s="17">
        <v>43769</v>
      </c>
      <c r="K127" s="3">
        <f>J127-I127+1</f>
        <v>17</v>
      </c>
      <c r="L127" s="3">
        <f>ROUND(G127*H127*K127/365,0)</f>
        <v>34932</v>
      </c>
      <c r="M127" s="3">
        <v>50000000</v>
      </c>
    </row>
    <row r="128" spans="1:13" s="16" customFormat="1" outlineLevel="2">
      <c r="A128" s="17" t="s">
        <v>338</v>
      </c>
      <c r="B128" s="18" t="s">
        <v>31</v>
      </c>
      <c r="C128" s="19" t="s">
        <v>54</v>
      </c>
      <c r="D128" s="18" t="s">
        <v>34</v>
      </c>
      <c r="E128" s="3">
        <v>32936000</v>
      </c>
      <c r="F128" s="17">
        <v>43621</v>
      </c>
      <c r="G128" s="3">
        <v>32936000</v>
      </c>
      <c r="H128" s="2">
        <v>1.4999999999999999E-2</v>
      </c>
      <c r="I128" s="17">
        <v>43739</v>
      </c>
      <c r="J128" s="17">
        <v>43769</v>
      </c>
      <c r="K128" s="3">
        <f>J128-I128+1</f>
        <v>31</v>
      </c>
      <c r="L128" s="3">
        <f>ROUND(G128*H128*K128/365,0)</f>
        <v>41960</v>
      </c>
      <c r="M128" s="3">
        <v>32936000</v>
      </c>
    </row>
    <row r="129" spans="1:13" s="16" customFormat="1" outlineLevel="2">
      <c r="A129" s="17" t="s">
        <v>338</v>
      </c>
      <c r="B129" s="18" t="s">
        <v>30</v>
      </c>
      <c r="C129" s="19" t="s">
        <v>54</v>
      </c>
      <c r="D129" s="18" t="s">
        <v>34</v>
      </c>
      <c r="E129" s="3">
        <v>1621000</v>
      </c>
      <c r="F129" s="17">
        <v>43641</v>
      </c>
      <c r="G129" s="3">
        <v>1621000</v>
      </c>
      <c r="H129" s="2">
        <v>1.4999999999999999E-2</v>
      </c>
      <c r="I129" s="17">
        <v>43739</v>
      </c>
      <c r="J129" s="17">
        <v>43769</v>
      </c>
      <c r="K129" s="3">
        <f>J129-I129+1</f>
        <v>31</v>
      </c>
      <c r="L129" s="3">
        <f>ROUND(G129*H129*K129/365,0)</f>
        <v>2065</v>
      </c>
      <c r="M129" s="3">
        <v>1621000</v>
      </c>
    </row>
    <row r="130" spans="1:13" s="16" customFormat="1" outlineLevel="2">
      <c r="A130" s="17" t="s">
        <v>338</v>
      </c>
      <c r="B130" s="18" t="s">
        <v>28</v>
      </c>
      <c r="C130" s="19" t="s">
        <v>54</v>
      </c>
      <c r="D130" s="18" t="s">
        <v>34</v>
      </c>
      <c r="E130" s="3">
        <v>8005000</v>
      </c>
      <c r="F130" s="17">
        <v>43651</v>
      </c>
      <c r="G130" s="3">
        <v>8005000</v>
      </c>
      <c r="H130" s="2">
        <v>1.4999999999999999E-2</v>
      </c>
      <c r="I130" s="17">
        <v>43739</v>
      </c>
      <c r="J130" s="17">
        <v>43769</v>
      </c>
      <c r="K130" s="3">
        <f>J130-I130+1</f>
        <v>31</v>
      </c>
      <c r="L130" s="3">
        <f>ROUND(G130*H130*K130/365,0)</f>
        <v>10198</v>
      </c>
      <c r="M130" s="3">
        <v>8005000</v>
      </c>
    </row>
    <row r="131" spans="1:13" s="16" customFormat="1" outlineLevel="2">
      <c r="A131" s="17" t="s">
        <v>338</v>
      </c>
      <c r="B131" s="18" t="s">
        <v>48</v>
      </c>
      <c r="C131" s="19" t="s">
        <v>54</v>
      </c>
      <c r="D131" s="18" t="s">
        <v>34</v>
      </c>
      <c r="E131" s="3">
        <v>90124000</v>
      </c>
      <c r="F131" s="17">
        <v>43661</v>
      </c>
      <c r="G131" s="3">
        <v>90124000</v>
      </c>
      <c r="H131" s="2">
        <v>1.4999999999999999E-2</v>
      </c>
      <c r="I131" s="17">
        <v>43739</v>
      </c>
      <c r="J131" s="17">
        <v>43769</v>
      </c>
      <c r="K131" s="3">
        <f>J131-I131+1</f>
        <v>31</v>
      </c>
      <c r="L131" s="3">
        <f>ROUND(G131*H131*K131/365,0)</f>
        <v>114816</v>
      </c>
      <c r="M131" s="3">
        <v>90124000</v>
      </c>
    </row>
    <row r="132" spans="1:13" s="16" customFormat="1" outlineLevel="2">
      <c r="A132" s="17" t="s">
        <v>338</v>
      </c>
      <c r="B132" s="18" t="s">
        <v>47</v>
      </c>
      <c r="C132" s="19" t="s">
        <v>54</v>
      </c>
      <c r="D132" s="18" t="s">
        <v>34</v>
      </c>
      <c r="E132" s="3">
        <v>4113000</v>
      </c>
      <c r="F132" s="17">
        <v>43682</v>
      </c>
      <c r="G132" s="3">
        <v>4113000</v>
      </c>
      <c r="H132" s="2">
        <v>1.4999999999999999E-2</v>
      </c>
      <c r="I132" s="17">
        <v>43739</v>
      </c>
      <c r="J132" s="17">
        <v>43769</v>
      </c>
      <c r="K132" s="3">
        <f>J132-I132+1</f>
        <v>31</v>
      </c>
      <c r="L132" s="3">
        <f>ROUND(G132*H132*K132/365,0)</f>
        <v>5240</v>
      </c>
      <c r="M132" s="3">
        <v>4113000</v>
      </c>
    </row>
    <row r="133" spans="1:13" s="16" customFormat="1" outlineLevel="2">
      <c r="A133" s="17" t="s">
        <v>338</v>
      </c>
      <c r="B133" s="18" t="s">
        <v>46</v>
      </c>
      <c r="C133" s="19" t="s">
        <v>54</v>
      </c>
      <c r="D133" s="18" t="s">
        <v>34</v>
      </c>
      <c r="E133" s="3">
        <v>166000</v>
      </c>
      <c r="F133" s="17">
        <v>43692</v>
      </c>
      <c r="G133" s="3">
        <v>166000</v>
      </c>
      <c r="H133" s="2">
        <v>1.4999999999999999E-2</v>
      </c>
      <c r="I133" s="17">
        <v>43739</v>
      </c>
      <c r="J133" s="17">
        <v>43769</v>
      </c>
      <c r="K133" s="3">
        <f>J133-I133+1</f>
        <v>31</v>
      </c>
      <c r="L133" s="3">
        <f>ROUND(G133*H133*K133/365,0)</f>
        <v>211</v>
      </c>
      <c r="M133" s="3">
        <v>166000</v>
      </c>
    </row>
    <row r="134" spans="1:13" s="16" customFormat="1" outlineLevel="2">
      <c r="A134" s="17" t="s">
        <v>338</v>
      </c>
      <c r="B134" s="18" t="s">
        <v>45</v>
      </c>
      <c r="C134" s="19" t="s">
        <v>54</v>
      </c>
      <c r="D134" s="18" t="s">
        <v>34</v>
      </c>
      <c r="E134" s="3">
        <v>1538000</v>
      </c>
      <c r="F134" s="17">
        <v>43703</v>
      </c>
      <c r="G134" s="3">
        <v>1538000</v>
      </c>
      <c r="H134" s="2">
        <v>1.4999999999999999E-2</v>
      </c>
      <c r="I134" s="17">
        <v>43739</v>
      </c>
      <c r="J134" s="17">
        <v>43769</v>
      </c>
      <c r="K134" s="3">
        <f>J134-I134+1</f>
        <v>31</v>
      </c>
      <c r="L134" s="3">
        <f>ROUND(G134*H134*K134/365,0)</f>
        <v>1959</v>
      </c>
      <c r="M134" s="3">
        <v>1538000</v>
      </c>
    </row>
    <row r="135" spans="1:13" s="16" customFormat="1" outlineLevel="2">
      <c r="A135" s="17" t="s">
        <v>338</v>
      </c>
      <c r="B135" s="18" t="s">
        <v>44</v>
      </c>
      <c r="C135" s="19" t="s">
        <v>54</v>
      </c>
      <c r="D135" s="18" t="s">
        <v>34</v>
      </c>
      <c r="E135" s="3">
        <v>13954000</v>
      </c>
      <c r="F135" s="17">
        <v>43713</v>
      </c>
      <c r="G135" s="3">
        <v>13954000</v>
      </c>
      <c r="H135" s="2">
        <v>1.4999999999999999E-2</v>
      </c>
      <c r="I135" s="17">
        <v>43739</v>
      </c>
      <c r="J135" s="17">
        <v>43769</v>
      </c>
      <c r="K135" s="3">
        <f>J135-I135+1</f>
        <v>31</v>
      </c>
      <c r="L135" s="3">
        <f>ROUND(G135*H135*K135/365,0)</f>
        <v>17777</v>
      </c>
      <c r="M135" s="3">
        <v>13954000</v>
      </c>
    </row>
    <row r="136" spans="1:13" s="16" customFormat="1" outlineLevel="1">
      <c r="A136" s="28" t="s">
        <v>337</v>
      </c>
      <c r="B136" s="43"/>
      <c r="C136" s="44"/>
      <c r="D136" s="43"/>
      <c r="E136" s="45">
        <f>SUBTOTAL(9,E122:E135)</f>
        <v>244170000</v>
      </c>
      <c r="F136" s="46"/>
      <c r="G136" s="45"/>
      <c r="H136" s="47"/>
      <c r="I136" s="46"/>
      <c r="J136" s="46"/>
      <c r="K136" s="45"/>
      <c r="L136" s="45">
        <f>SUBTOTAL(9,L122:L135)</f>
        <v>269125</v>
      </c>
      <c r="M136" s="45">
        <f>SUBTOTAL(9,M122:M135)</f>
        <v>244170000</v>
      </c>
    </row>
    <row r="137" spans="1:13" s="16" customFormat="1" outlineLevel="2">
      <c r="A137" s="17" t="s">
        <v>336</v>
      </c>
      <c r="B137" s="18" t="s">
        <v>17</v>
      </c>
      <c r="C137" s="19" t="s">
        <v>51</v>
      </c>
      <c r="D137" s="18" t="s">
        <v>50</v>
      </c>
      <c r="E137" s="3">
        <v>200000000</v>
      </c>
      <c r="F137" s="17">
        <v>43620</v>
      </c>
      <c r="G137" s="3">
        <v>200000000</v>
      </c>
      <c r="H137" s="2">
        <v>1.4999999999999999E-2</v>
      </c>
      <c r="I137" s="17">
        <v>43739</v>
      </c>
      <c r="J137" s="17">
        <v>43769</v>
      </c>
      <c r="K137" s="3">
        <f>J137-I137+1</f>
        <v>31</v>
      </c>
      <c r="L137" s="3">
        <f>ROUND(G137*H137*K137/365,0)</f>
        <v>254795</v>
      </c>
      <c r="M137" s="3">
        <v>200000000</v>
      </c>
    </row>
    <row r="138" spans="1:13" s="16" customFormat="1" outlineLevel="2">
      <c r="A138" s="17" t="s">
        <v>336</v>
      </c>
      <c r="B138" s="18" t="s">
        <v>181</v>
      </c>
      <c r="C138" s="19" t="s">
        <v>311</v>
      </c>
      <c r="D138" s="18" t="s">
        <v>200</v>
      </c>
      <c r="E138" s="3">
        <v>108216030</v>
      </c>
      <c r="F138" s="17">
        <v>43754</v>
      </c>
      <c r="G138" s="3">
        <v>108216030</v>
      </c>
      <c r="H138" s="2">
        <v>5.0000000000000001E-3</v>
      </c>
      <c r="I138" s="17">
        <v>43754</v>
      </c>
      <c r="J138" s="17">
        <v>43769</v>
      </c>
      <c r="K138" s="3">
        <f>J138-I138+1</f>
        <v>16</v>
      </c>
      <c r="L138" s="3">
        <f>ROUND(G138*H138*K138/365,0)</f>
        <v>23719</v>
      </c>
      <c r="M138" s="3">
        <v>108216030</v>
      </c>
    </row>
    <row r="139" spans="1:13" s="16" customFormat="1" outlineLevel="2">
      <c r="A139" s="17" t="s">
        <v>336</v>
      </c>
      <c r="B139" s="18" t="s">
        <v>180</v>
      </c>
      <c r="C139" s="19" t="s">
        <v>311</v>
      </c>
      <c r="D139" s="18" t="s">
        <v>200</v>
      </c>
      <c r="E139" s="3">
        <v>35200000</v>
      </c>
      <c r="F139" s="17">
        <v>43756</v>
      </c>
      <c r="G139" s="3">
        <v>35200000</v>
      </c>
      <c r="H139" s="2">
        <v>5.0000000000000001E-3</v>
      </c>
      <c r="I139" s="17">
        <v>43756</v>
      </c>
      <c r="J139" s="17">
        <v>43769</v>
      </c>
      <c r="K139" s="3">
        <f>J139-I139+1</f>
        <v>14</v>
      </c>
      <c r="L139" s="3">
        <f>ROUND(G139*H139*K139/365,0)</f>
        <v>6751</v>
      </c>
      <c r="M139" s="3">
        <v>35200000</v>
      </c>
    </row>
    <row r="140" spans="1:13" s="16" customFormat="1" outlineLevel="2">
      <c r="A140" s="17" t="s">
        <v>336</v>
      </c>
      <c r="B140" s="18" t="s">
        <v>179</v>
      </c>
      <c r="C140" s="19" t="s">
        <v>278</v>
      </c>
      <c r="D140" s="18" t="s">
        <v>277</v>
      </c>
      <c r="E140" s="3">
        <v>30000000</v>
      </c>
      <c r="F140" s="17">
        <v>43767</v>
      </c>
      <c r="G140" s="3">
        <v>30000000</v>
      </c>
      <c r="H140" s="2">
        <v>5.0000000000000001E-3</v>
      </c>
      <c r="I140" s="17">
        <v>43767</v>
      </c>
      <c r="J140" s="17">
        <v>43769</v>
      </c>
      <c r="K140" s="3">
        <f>J140-I140+1</f>
        <v>3</v>
      </c>
      <c r="L140" s="3">
        <f>ROUND(G140*H140*K140/365,0)</f>
        <v>1233</v>
      </c>
      <c r="M140" s="3">
        <v>30000000</v>
      </c>
    </row>
    <row r="141" spans="1:13" s="16" customFormat="1" outlineLevel="2">
      <c r="A141" s="17" t="s">
        <v>336</v>
      </c>
      <c r="B141" s="18" t="s">
        <v>31</v>
      </c>
      <c r="C141" s="19" t="s">
        <v>51</v>
      </c>
      <c r="D141" s="18" t="s">
        <v>50</v>
      </c>
      <c r="E141" s="3">
        <v>170000000</v>
      </c>
      <c r="F141" s="17">
        <v>43643</v>
      </c>
      <c r="G141" s="3">
        <v>170000000</v>
      </c>
      <c r="H141" s="2">
        <v>1.4999999999999999E-2</v>
      </c>
      <c r="I141" s="17">
        <v>43739</v>
      </c>
      <c r="J141" s="17">
        <v>43769</v>
      </c>
      <c r="K141" s="3">
        <f>J141-I141+1</f>
        <v>31</v>
      </c>
      <c r="L141" s="3">
        <f>ROUND(G141*H141*K141/365,0)</f>
        <v>216575</v>
      </c>
      <c r="M141" s="3">
        <v>170000000</v>
      </c>
    </row>
    <row r="142" spans="1:13" s="16" customFormat="1" outlineLevel="2">
      <c r="A142" s="17" t="s">
        <v>336</v>
      </c>
      <c r="B142" s="18" t="s">
        <v>30</v>
      </c>
      <c r="C142" s="19" t="s">
        <v>51</v>
      </c>
      <c r="D142" s="18" t="s">
        <v>50</v>
      </c>
      <c r="E142" s="3">
        <v>670000000</v>
      </c>
      <c r="F142" s="17">
        <v>43670</v>
      </c>
      <c r="G142" s="3">
        <v>670000000</v>
      </c>
      <c r="H142" s="2">
        <v>1.4999999999999999E-2</v>
      </c>
      <c r="I142" s="17">
        <v>43739</v>
      </c>
      <c r="J142" s="17">
        <v>43769</v>
      </c>
      <c r="K142" s="3">
        <f>J142-I142+1</f>
        <v>31</v>
      </c>
      <c r="L142" s="3">
        <f>ROUND(G142*H142*K142/365,0)</f>
        <v>853562</v>
      </c>
      <c r="M142" s="3">
        <v>670000000</v>
      </c>
    </row>
    <row r="143" spans="1:13" s="16" customFormat="1" outlineLevel="2">
      <c r="A143" s="17" t="s">
        <v>336</v>
      </c>
      <c r="B143" s="18" t="s">
        <v>28</v>
      </c>
      <c r="C143" s="19" t="s">
        <v>51</v>
      </c>
      <c r="D143" s="18" t="s">
        <v>50</v>
      </c>
      <c r="E143" s="3">
        <v>330000000</v>
      </c>
      <c r="F143" s="17">
        <v>43677</v>
      </c>
      <c r="G143" s="3">
        <v>330000000</v>
      </c>
      <c r="H143" s="2">
        <v>1.4999999999999999E-2</v>
      </c>
      <c r="I143" s="17">
        <v>43739</v>
      </c>
      <c r="J143" s="17">
        <v>43769</v>
      </c>
      <c r="K143" s="3">
        <f>J143-I143+1</f>
        <v>31</v>
      </c>
      <c r="L143" s="3">
        <f>ROUND(G143*H143*K143/365,0)</f>
        <v>420411</v>
      </c>
      <c r="M143" s="3">
        <v>330000000</v>
      </c>
    </row>
    <row r="144" spans="1:13" s="16" customFormat="1" outlineLevel="2">
      <c r="A144" s="17" t="s">
        <v>336</v>
      </c>
      <c r="B144" s="18" t="s">
        <v>48</v>
      </c>
      <c r="C144" s="19" t="s">
        <v>150</v>
      </c>
      <c r="D144" s="18" t="s">
        <v>149</v>
      </c>
      <c r="E144" s="3">
        <v>1323000</v>
      </c>
      <c r="F144" s="17">
        <v>43728</v>
      </c>
      <c r="G144" s="3">
        <v>1323000</v>
      </c>
      <c r="H144" s="2">
        <v>3.0000000000000001E-3</v>
      </c>
      <c r="I144" s="17">
        <v>43739</v>
      </c>
      <c r="J144" s="17">
        <v>43769</v>
      </c>
      <c r="K144" s="3">
        <f>J144-I144+1</f>
        <v>31</v>
      </c>
      <c r="L144" s="3">
        <f>ROUND(G144*H144*K144/365,0)</f>
        <v>337</v>
      </c>
      <c r="M144" s="3">
        <v>1323000</v>
      </c>
    </row>
    <row r="145" spans="1:13" s="16" customFormat="1" outlineLevel="2">
      <c r="A145" s="17" t="s">
        <v>336</v>
      </c>
      <c r="B145" s="18" t="s">
        <v>47</v>
      </c>
      <c r="C145" s="19" t="s">
        <v>278</v>
      </c>
      <c r="D145" s="18" t="s">
        <v>277</v>
      </c>
      <c r="E145" s="3">
        <v>122100000</v>
      </c>
      <c r="F145" s="17">
        <v>43734</v>
      </c>
      <c r="G145" s="3">
        <v>122100000</v>
      </c>
      <c r="H145" s="2">
        <v>5.0000000000000001E-3</v>
      </c>
      <c r="I145" s="17">
        <v>43739</v>
      </c>
      <c r="J145" s="17">
        <v>43769</v>
      </c>
      <c r="K145" s="3">
        <f>J145-I145+1</f>
        <v>31</v>
      </c>
      <c r="L145" s="3">
        <f>ROUND(G145*H145*K145/365,0)</f>
        <v>51851</v>
      </c>
      <c r="M145" s="3">
        <v>122100000</v>
      </c>
    </row>
    <row r="146" spans="1:13" s="16" customFormat="1" outlineLevel="2">
      <c r="A146" s="17" t="s">
        <v>336</v>
      </c>
      <c r="B146" s="18" t="s">
        <v>46</v>
      </c>
      <c r="C146" s="19" t="s">
        <v>276</v>
      </c>
      <c r="D146" s="18" t="s">
        <v>275</v>
      </c>
      <c r="E146" s="3">
        <v>282000000</v>
      </c>
      <c r="F146" s="17">
        <v>43728</v>
      </c>
      <c r="G146" s="3">
        <v>282000000</v>
      </c>
      <c r="H146" s="2">
        <v>5.0000000000000001E-3</v>
      </c>
      <c r="I146" s="17">
        <v>43739</v>
      </c>
      <c r="J146" s="17">
        <v>43769</v>
      </c>
      <c r="K146" s="3">
        <f>J146-I146+1</f>
        <v>31</v>
      </c>
      <c r="L146" s="3">
        <f>ROUND(G146*H146*K146/365,0)</f>
        <v>119753</v>
      </c>
      <c r="M146" s="3">
        <v>282000000</v>
      </c>
    </row>
    <row r="147" spans="1:13" s="16" customFormat="1" outlineLevel="2">
      <c r="A147" s="17" t="s">
        <v>336</v>
      </c>
      <c r="B147" s="18" t="s">
        <v>45</v>
      </c>
      <c r="C147" s="19" t="s">
        <v>188</v>
      </c>
      <c r="D147" s="18" t="s">
        <v>187</v>
      </c>
      <c r="E147" s="3">
        <v>237000</v>
      </c>
      <c r="F147" s="17">
        <v>43769</v>
      </c>
      <c r="G147" s="3">
        <v>237000</v>
      </c>
      <c r="H147" s="2">
        <v>3.0000000000000001E-3</v>
      </c>
      <c r="I147" s="17">
        <v>43769</v>
      </c>
      <c r="J147" s="17">
        <v>43769</v>
      </c>
      <c r="K147" s="3">
        <f>J147-I147+1</f>
        <v>1</v>
      </c>
      <c r="L147" s="3">
        <f>ROUND(G147*H147*K147/365,0)</f>
        <v>2</v>
      </c>
      <c r="M147" s="3">
        <v>237000</v>
      </c>
    </row>
    <row r="148" spans="1:13" s="16" customFormat="1" outlineLevel="2">
      <c r="A148" s="17" t="s">
        <v>336</v>
      </c>
      <c r="B148" s="18" t="s">
        <v>44</v>
      </c>
      <c r="C148" s="19" t="s">
        <v>310</v>
      </c>
      <c r="D148" s="18" t="s">
        <v>309</v>
      </c>
      <c r="E148" s="3">
        <v>500000000</v>
      </c>
      <c r="F148" s="17">
        <v>43753</v>
      </c>
      <c r="G148" s="3">
        <v>500000000</v>
      </c>
      <c r="H148" s="2">
        <v>5.0000000000000001E-3</v>
      </c>
      <c r="I148" s="17">
        <v>43753</v>
      </c>
      <c r="J148" s="17">
        <v>43769</v>
      </c>
      <c r="K148" s="3">
        <f>J148-I148+1</f>
        <v>17</v>
      </c>
      <c r="L148" s="3">
        <f>ROUND(G148*H148*K148/365,0)</f>
        <v>116438</v>
      </c>
      <c r="M148" s="3">
        <v>500000000</v>
      </c>
    </row>
    <row r="149" spans="1:13" s="16" customFormat="1" outlineLevel="1">
      <c r="A149" s="28" t="s">
        <v>335</v>
      </c>
      <c r="B149" s="43"/>
      <c r="C149" s="44"/>
      <c r="D149" s="43"/>
      <c r="E149" s="45">
        <f>SUBTOTAL(9,E137:E148)</f>
        <v>2449076030</v>
      </c>
      <c r="F149" s="46"/>
      <c r="G149" s="45"/>
      <c r="H149" s="47"/>
      <c r="I149" s="46"/>
      <c r="J149" s="46"/>
      <c r="K149" s="45"/>
      <c r="L149" s="45">
        <f>SUBTOTAL(9,L137:L148)</f>
        <v>2065427</v>
      </c>
      <c r="M149" s="45">
        <f>SUBTOTAL(9,M137:M148)</f>
        <v>2449076030</v>
      </c>
    </row>
    <row r="150" spans="1:13" s="16" customFormat="1" outlineLevel="2">
      <c r="A150" s="17" t="s">
        <v>334</v>
      </c>
      <c r="B150" s="18" t="s">
        <v>17</v>
      </c>
      <c r="C150" s="19" t="s">
        <v>230</v>
      </c>
      <c r="D150" s="18" t="s">
        <v>229</v>
      </c>
      <c r="E150" s="3">
        <v>63000000</v>
      </c>
      <c r="F150" s="17">
        <v>43732</v>
      </c>
      <c r="G150" s="3">
        <v>63000000</v>
      </c>
      <c r="H150" s="2">
        <v>5.0000000000000001E-3</v>
      </c>
      <c r="I150" s="17">
        <v>43739</v>
      </c>
      <c r="J150" s="17">
        <v>43769</v>
      </c>
      <c r="K150" s="3">
        <f>J150-I150+1</f>
        <v>31</v>
      </c>
      <c r="L150" s="3">
        <f>ROUND(G150*H150*K150/365,0)</f>
        <v>26753</v>
      </c>
      <c r="M150" s="3">
        <v>63000000</v>
      </c>
    </row>
    <row r="151" spans="1:13" s="16" customFormat="1" outlineLevel="1">
      <c r="A151" s="28" t="s">
        <v>333</v>
      </c>
      <c r="B151" s="43"/>
      <c r="C151" s="44"/>
      <c r="D151" s="43"/>
      <c r="E151" s="45">
        <f>SUBTOTAL(9,E150:E150)</f>
        <v>63000000</v>
      </c>
      <c r="F151" s="46"/>
      <c r="G151" s="45"/>
      <c r="H151" s="47"/>
      <c r="I151" s="46"/>
      <c r="J151" s="46"/>
      <c r="K151" s="45"/>
      <c r="L151" s="45">
        <f>SUBTOTAL(9,L150:L150)</f>
        <v>26753</v>
      </c>
      <c r="M151" s="45">
        <f>SUBTOTAL(9,M150:M150)</f>
        <v>63000000</v>
      </c>
    </row>
    <row r="152" spans="1:13" s="16" customFormat="1" outlineLevel="2">
      <c r="A152" s="17" t="s">
        <v>65</v>
      </c>
      <c r="B152" s="18" t="s">
        <v>17</v>
      </c>
      <c r="C152" s="19" t="s">
        <v>51</v>
      </c>
      <c r="D152" s="18" t="s">
        <v>50</v>
      </c>
      <c r="E152" s="3">
        <v>500000000</v>
      </c>
      <c r="F152" s="17">
        <v>43635</v>
      </c>
      <c r="G152" s="3">
        <v>500000000</v>
      </c>
      <c r="H152" s="2">
        <v>1.4999999999999999E-2</v>
      </c>
      <c r="I152" s="17">
        <v>43739</v>
      </c>
      <c r="J152" s="17">
        <v>43769</v>
      </c>
      <c r="K152" s="3">
        <f>J152-I152+1</f>
        <v>31</v>
      </c>
      <c r="L152" s="3">
        <f>ROUND(G152*H152*K152/365,0)</f>
        <v>636986</v>
      </c>
      <c r="M152" s="3">
        <v>500000000</v>
      </c>
    </row>
    <row r="153" spans="1:13" s="16" customFormat="1" outlineLevel="2">
      <c r="A153" s="17" t="s">
        <v>65</v>
      </c>
      <c r="B153" s="18" t="s">
        <v>181</v>
      </c>
      <c r="C153" s="19" t="s">
        <v>206</v>
      </c>
      <c r="D153" s="18" t="s">
        <v>38</v>
      </c>
      <c r="E153" s="3">
        <v>200000000</v>
      </c>
      <c r="F153" s="17">
        <v>43706</v>
      </c>
      <c r="G153" s="3">
        <v>200000000</v>
      </c>
      <c r="H153" s="2">
        <v>1.4999999999999999E-2</v>
      </c>
      <c r="I153" s="17">
        <v>43739</v>
      </c>
      <c r="J153" s="17">
        <v>43769</v>
      </c>
      <c r="K153" s="3">
        <f>J153-I153+1</f>
        <v>31</v>
      </c>
      <c r="L153" s="3">
        <f>ROUND(G153*H153*K153/365,0)</f>
        <v>254795</v>
      </c>
      <c r="M153" s="3">
        <v>200000000</v>
      </c>
    </row>
    <row r="154" spans="1:13" s="16" customFormat="1" outlineLevel="2">
      <c r="A154" s="17" t="s">
        <v>65</v>
      </c>
      <c r="B154" s="18" t="s">
        <v>180</v>
      </c>
      <c r="C154" s="19" t="s">
        <v>210</v>
      </c>
      <c r="D154" s="18" t="s">
        <v>209</v>
      </c>
      <c r="E154" s="3">
        <v>3000000</v>
      </c>
      <c r="F154" s="17">
        <v>43682</v>
      </c>
      <c r="G154" s="3">
        <v>3000000</v>
      </c>
      <c r="H154" s="2">
        <v>5.0000000000000001E-3</v>
      </c>
      <c r="I154" s="17">
        <v>43739</v>
      </c>
      <c r="J154" s="17">
        <v>43769</v>
      </c>
      <c r="K154" s="3">
        <f>J154-I154+1</f>
        <v>31</v>
      </c>
      <c r="L154" s="3">
        <f>ROUND(G154*H154*K154/365,0)</f>
        <v>1274</v>
      </c>
      <c r="M154" s="3">
        <v>3000000</v>
      </c>
    </row>
    <row r="155" spans="1:13" s="16" customFormat="1" outlineLevel="2">
      <c r="A155" s="17" t="s">
        <v>65</v>
      </c>
      <c r="B155" s="18" t="s">
        <v>179</v>
      </c>
      <c r="C155" s="19" t="s">
        <v>210</v>
      </c>
      <c r="D155" s="18" t="s">
        <v>209</v>
      </c>
      <c r="E155" s="3">
        <v>23000000</v>
      </c>
      <c r="F155" s="17">
        <v>43706</v>
      </c>
      <c r="G155" s="3">
        <v>23000000</v>
      </c>
      <c r="H155" s="2">
        <v>5.0000000000000001E-3</v>
      </c>
      <c r="I155" s="17">
        <v>43739</v>
      </c>
      <c r="J155" s="17">
        <v>43769</v>
      </c>
      <c r="K155" s="3">
        <f>J155-I155+1</f>
        <v>31</v>
      </c>
      <c r="L155" s="3">
        <f>ROUND(G155*H155*K155/365,0)</f>
        <v>9767</v>
      </c>
      <c r="M155" s="3">
        <v>23000000</v>
      </c>
    </row>
    <row r="156" spans="1:13" s="16" customFormat="1" outlineLevel="2">
      <c r="A156" s="17" t="s">
        <v>65</v>
      </c>
      <c r="B156" s="18" t="s">
        <v>178</v>
      </c>
      <c r="C156" s="19" t="s">
        <v>150</v>
      </c>
      <c r="D156" s="18" t="s">
        <v>149</v>
      </c>
      <c r="E156" s="3">
        <v>6128640</v>
      </c>
      <c r="F156" s="17">
        <v>43728</v>
      </c>
      <c r="G156" s="3">
        <v>6128640</v>
      </c>
      <c r="H156" s="2">
        <v>3.0000000000000001E-3</v>
      </c>
      <c r="I156" s="17">
        <v>43739</v>
      </c>
      <c r="J156" s="17">
        <v>43769</v>
      </c>
      <c r="K156" s="3">
        <f>J156-I156+1</f>
        <v>31</v>
      </c>
      <c r="L156" s="3">
        <f>ROUND(G156*H156*K156/365,0)</f>
        <v>1562</v>
      </c>
      <c r="M156" s="3">
        <v>6128640</v>
      </c>
    </row>
    <row r="157" spans="1:13" s="16" customFormat="1" outlineLevel="2">
      <c r="A157" s="17" t="s">
        <v>65</v>
      </c>
      <c r="B157" s="18" t="s">
        <v>177</v>
      </c>
      <c r="C157" s="19" t="s">
        <v>206</v>
      </c>
      <c r="D157" s="18" t="s">
        <v>38</v>
      </c>
      <c r="E157" s="3">
        <v>120000000</v>
      </c>
      <c r="F157" s="17">
        <v>43752</v>
      </c>
      <c r="G157" s="3">
        <v>120000000</v>
      </c>
      <c r="H157" s="2">
        <v>1.4999999999999999E-2</v>
      </c>
      <c r="I157" s="17">
        <v>43752</v>
      </c>
      <c r="J157" s="17">
        <v>43769</v>
      </c>
      <c r="K157" s="3">
        <f>J157-I157+1</f>
        <v>18</v>
      </c>
      <c r="L157" s="3">
        <f>ROUND(G157*H157*K157/365,0)</f>
        <v>88767</v>
      </c>
      <c r="M157" s="3">
        <v>120000000</v>
      </c>
    </row>
    <row r="158" spans="1:13" s="16" customFormat="1" outlineLevel="2">
      <c r="A158" s="17" t="s">
        <v>65</v>
      </c>
      <c r="B158" s="18" t="s">
        <v>176</v>
      </c>
      <c r="C158" s="19" t="s">
        <v>206</v>
      </c>
      <c r="D158" s="18" t="s">
        <v>38</v>
      </c>
      <c r="E158" s="3">
        <v>100000000</v>
      </c>
      <c r="F158" s="17">
        <v>43762</v>
      </c>
      <c r="G158" s="3">
        <v>100000000</v>
      </c>
      <c r="H158" s="2">
        <v>1.4999999999999999E-2</v>
      </c>
      <c r="I158" s="17">
        <v>43762</v>
      </c>
      <c r="J158" s="17">
        <v>43769</v>
      </c>
      <c r="K158" s="3">
        <f>J158-I158+1</f>
        <v>8</v>
      </c>
      <c r="L158" s="3">
        <f>ROUND(G158*H158*K158/365,0)</f>
        <v>32877</v>
      </c>
      <c r="M158" s="3">
        <v>100000000</v>
      </c>
    </row>
    <row r="159" spans="1:13" s="16" customFormat="1" outlineLevel="2">
      <c r="A159" s="17" t="s">
        <v>65</v>
      </c>
      <c r="B159" s="18" t="s">
        <v>175</v>
      </c>
      <c r="C159" s="19" t="s">
        <v>173</v>
      </c>
      <c r="D159" s="18" t="s">
        <v>172</v>
      </c>
      <c r="E159" s="3">
        <v>1200000000</v>
      </c>
      <c r="F159" s="17">
        <v>43763</v>
      </c>
      <c r="G159" s="3">
        <v>1200000000</v>
      </c>
      <c r="H159" s="2">
        <v>1.4999999999999999E-2</v>
      </c>
      <c r="I159" s="17">
        <v>43763</v>
      </c>
      <c r="J159" s="17">
        <v>43769</v>
      </c>
      <c r="K159" s="3">
        <f>J159-I159+1</f>
        <v>7</v>
      </c>
      <c r="L159" s="3">
        <f>ROUND(G159*H159*K159/365,0)</f>
        <v>345205</v>
      </c>
      <c r="M159" s="3">
        <v>1200000000</v>
      </c>
    </row>
    <row r="160" spans="1:13" s="16" customFormat="1" outlineLevel="2">
      <c r="A160" s="17" t="s">
        <v>65</v>
      </c>
      <c r="B160" s="18" t="s">
        <v>174</v>
      </c>
      <c r="C160" s="19" t="s">
        <v>225</v>
      </c>
      <c r="D160" s="18" t="s">
        <v>224</v>
      </c>
      <c r="E160" s="3">
        <v>50000000</v>
      </c>
      <c r="F160" s="17">
        <v>43752</v>
      </c>
      <c r="G160" s="3">
        <v>50000000</v>
      </c>
      <c r="H160" s="2">
        <v>5.0000000000000001E-3</v>
      </c>
      <c r="I160" s="17">
        <v>43752</v>
      </c>
      <c r="J160" s="17">
        <v>43769</v>
      </c>
      <c r="K160" s="3">
        <f>J160-I160+1</f>
        <v>18</v>
      </c>
      <c r="L160" s="3">
        <f>ROUND(G160*H160*K160/365,0)</f>
        <v>12329</v>
      </c>
      <c r="M160" s="3">
        <v>50000000</v>
      </c>
    </row>
    <row r="161" spans="1:13" s="16" customFormat="1" outlineLevel="2">
      <c r="A161" s="17" t="s">
        <v>65</v>
      </c>
      <c r="B161" s="18" t="s">
        <v>171</v>
      </c>
      <c r="C161" s="19" t="s">
        <v>332</v>
      </c>
      <c r="D161" s="18" t="s">
        <v>331</v>
      </c>
      <c r="E161" s="3">
        <v>44000000</v>
      </c>
      <c r="F161" s="17">
        <v>43747</v>
      </c>
      <c r="G161" s="3">
        <v>44000000</v>
      </c>
      <c r="H161" s="2">
        <v>1.4999999999999999E-2</v>
      </c>
      <c r="I161" s="17">
        <v>43747</v>
      </c>
      <c r="J161" s="17">
        <v>43769</v>
      </c>
      <c r="K161" s="3">
        <f>J161-I161+1</f>
        <v>23</v>
      </c>
      <c r="L161" s="3">
        <f>ROUND(G161*H161*K161/365,0)</f>
        <v>41589</v>
      </c>
      <c r="M161" s="3">
        <v>44000000</v>
      </c>
    </row>
    <row r="162" spans="1:13" s="16" customFormat="1" outlineLevel="2">
      <c r="A162" s="17" t="s">
        <v>65</v>
      </c>
      <c r="B162" s="18" t="s">
        <v>170</v>
      </c>
      <c r="C162" s="19" t="s">
        <v>320</v>
      </c>
      <c r="D162" s="18" t="s">
        <v>319</v>
      </c>
      <c r="E162" s="3">
        <v>14000000</v>
      </c>
      <c r="F162" s="17">
        <v>43769</v>
      </c>
      <c r="G162" s="3">
        <v>14000000</v>
      </c>
      <c r="H162" s="2">
        <v>1.4999999999999999E-2</v>
      </c>
      <c r="I162" s="17">
        <v>43769</v>
      </c>
      <c r="J162" s="17">
        <v>43769</v>
      </c>
      <c r="K162" s="3">
        <f>J162-I162+1</f>
        <v>1</v>
      </c>
      <c r="L162" s="3">
        <f>ROUND(G162*H162*K162/365,0)</f>
        <v>575</v>
      </c>
      <c r="M162" s="3">
        <v>14000000</v>
      </c>
    </row>
    <row r="163" spans="1:13" s="16" customFormat="1" outlineLevel="2">
      <c r="A163" s="17" t="s">
        <v>65</v>
      </c>
      <c r="B163" s="18" t="s">
        <v>31</v>
      </c>
      <c r="C163" s="19" t="s">
        <v>51</v>
      </c>
      <c r="D163" s="18" t="s">
        <v>50</v>
      </c>
      <c r="E163" s="3">
        <v>200000000</v>
      </c>
      <c r="F163" s="17">
        <v>43644</v>
      </c>
      <c r="G163" s="3">
        <v>200000000</v>
      </c>
      <c r="H163" s="2">
        <v>1.4999999999999999E-2</v>
      </c>
      <c r="I163" s="17">
        <v>43739</v>
      </c>
      <c r="J163" s="17">
        <v>43769</v>
      </c>
      <c r="K163" s="3">
        <f>J163-I163+1</f>
        <v>31</v>
      </c>
      <c r="L163" s="3">
        <f>ROUND(G163*H163*K163/365,0)</f>
        <v>254795</v>
      </c>
      <c r="M163" s="3">
        <v>200000000</v>
      </c>
    </row>
    <row r="164" spans="1:13" s="16" customFormat="1" outlineLevel="2">
      <c r="A164" s="17" t="s">
        <v>65</v>
      </c>
      <c r="B164" s="18" t="s">
        <v>30</v>
      </c>
      <c r="C164" s="19" t="s">
        <v>61</v>
      </c>
      <c r="D164" s="18" t="s">
        <v>60</v>
      </c>
      <c r="E164" s="3">
        <v>150000000</v>
      </c>
      <c r="F164" s="17">
        <v>43635</v>
      </c>
      <c r="G164" s="3">
        <v>150000000</v>
      </c>
      <c r="H164" s="2">
        <v>1.4999999999999999E-2</v>
      </c>
      <c r="I164" s="17">
        <v>43739</v>
      </c>
      <c r="J164" s="17">
        <v>43769</v>
      </c>
      <c r="K164" s="3">
        <f>J164-I164+1</f>
        <v>31</v>
      </c>
      <c r="L164" s="3">
        <f>ROUND(G164*H164*K164/365,0)</f>
        <v>191096</v>
      </c>
      <c r="M164" s="3">
        <v>150000000</v>
      </c>
    </row>
    <row r="165" spans="1:13" s="16" customFormat="1" outlineLevel="2">
      <c r="A165" s="17" t="s">
        <v>65</v>
      </c>
      <c r="B165" s="18" t="s">
        <v>28</v>
      </c>
      <c r="C165" s="19" t="s">
        <v>51</v>
      </c>
      <c r="D165" s="18" t="s">
        <v>50</v>
      </c>
      <c r="E165" s="3">
        <v>400000000</v>
      </c>
      <c r="F165" s="17">
        <v>43663</v>
      </c>
      <c r="G165" s="3">
        <v>400000000</v>
      </c>
      <c r="H165" s="2">
        <v>1.4999999999999999E-2</v>
      </c>
      <c r="I165" s="17">
        <v>43739</v>
      </c>
      <c r="J165" s="17">
        <v>43769</v>
      </c>
      <c r="K165" s="3">
        <f>J165-I165+1</f>
        <v>31</v>
      </c>
      <c r="L165" s="3">
        <f>ROUND(G165*H165*K165/365,0)</f>
        <v>509589</v>
      </c>
      <c r="M165" s="3">
        <v>400000000</v>
      </c>
    </row>
    <row r="166" spans="1:13" s="16" customFormat="1" outlineLevel="2">
      <c r="A166" s="17" t="s">
        <v>65</v>
      </c>
      <c r="B166" s="18" t="s">
        <v>48</v>
      </c>
      <c r="C166" s="19" t="s">
        <v>173</v>
      </c>
      <c r="D166" s="18" t="s">
        <v>172</v>
      </c>
      <c r="E166" s="3">
        <v>1000000000</v>
      </c>
      <c r="F166" s="17">
        <v>43672</v>
      </c>
      <c r="G166" s="3">
        <v>1000000000</v>
      </c>
      <c r="H166" s="2">
        <v>1.4999999999999999E-2</v>
      </c>
      <c r="I166" s="17">
        <v>43739</v>
      </c>
      <c r="J166" s="17">
        <v>43769</v>
      </c>
      <c r="K166" s="3">
        <f>J166-I166+1</f>
        <v>31</v>
      </c>
      <c r="L166" s="3">
        <f>ROUND(G166*H166*K166/365,0)</f>
        <v>1273973</v>
      </c>
      <c r="M166" s="3">
        <v>1000000000</v>
      </c>
    </row>
    <row r="167" spans="1:13" s="16" customFormat="1" outlineLevel="2">
      <c r="A167" s="17" t="s">
        <v>65</v>
      </c>
      <c r="B167" s="18" t="s">
        <v>47</v>
      </c>
      <c r="C167" s="19" t="s">
        <v>208</v>
      </c>
      <c r="D167" s="18" t="s">
        <v>207</v>
      </c>
      <c r="E167" s="3">
        <v>29300670</v>
      </c>
      <c r="F167" s="17">
        <v>43658</v>
      </c>
      <c r="G167" s="3">
        <v>29300670</v>
      </c>
      <c r="H167" s="2">
        <v>1.4999999999999999E-2</v>
      </c>
      <c r="I167" s="17">
        <v>43739</v>
      </c>
      <c r="J167" s="17">
        <v>43769</v>
      </c>
      <c r="K167" s="3">
        <f>J167-I167+1</f>
        <v>31</v>
      </c>
      <c r="L167" s="3">
        <f>ROUND(G167*H167*K167/365,0)</f>
        <v>37328</v>
      </c>
      <c r="M167" s="3">
        <v>29300670</v>
      </c>
    </row>
    <row r="168" spans="1:13" s="16" customFormat="1" outlineLevel="2">
      <c r="A168" s="17" t="s">
        <v>65</v>
      </c>
      <c r="B168" s="18" t="s">
        <v>46</v>
      </c>
      <c r="C168" s="19" t="s">
        <v>61</v>
      </c>
      <c r="D168" s="18" t="s">
        <v>60</v>
      </c>
      <c r="E168" s="3">
        <v>100000000</v>
      </c>
      <c r="F168" s="17">
        <v>43649</v>
      </c>
      <c r="G168" s="3">
        <v>100000000</v>
      </c>
      <c r="H168" s="2">
        <v>1.4999999999999999E-2</v>
      </c>
      <c r="I168" s="17">
        <v>43739</v>
      </c>
      <c r="J168" s="17">
        <v>43769</v>
      </c>
      <c r="K168" s="3">
        <f>J168-I168+1</f>
        <v>31</v>
      </c>
      <c r="L168" s="3">
        <f>ROUND(G168*H168*K168/365,0)</f>
        <v>127397</v>
      </c>
      <c r="M168" s="3">
        <v>100000000</v>
      </c>
    </row>
    <row r="169" spans="1:13" s="16" customFormat="1" outlineLevel="2">
      <c r="A169" s="17" t="s">
        <v>65</v>
      </c>
      <c r="B169" s="18" t="s">
        <v>45</v>
      </c>
      <c r="C169" s="19" t="s">
        <v>206</v>
      </c>
      <c r="D169" s="18" t="s">
        <v>38</v>
      </c>
      <c r="E169" s="3">
        <v>70000000</v>
      </c>
      <c r="F169" s="17">
        <v>43656</v>
      </c>
      <c r="G169" s="3">
        <v>70000000</v>
      </c>
      <c r="H169" s="2">
        <v>1.4999999999999999E-2</v>
      </c>
      <c r="I169" s="17">
        <v>43739</v>
      </c>
      <c r="J169" s="17">
        <v>43769</v>
      </c>
      <c r="K169" s="3">
        <f>J169-I169+1</f>
        <v>31</v>
      </c>
      <c r="L169" s="3">
        <f>ROUND(G169*H169*K169/365,0)</f>
        <v>89178</v>
      </c>
      <c r="M169" s="3">
        <v>70000000</v>
      </c>
    </row>
    <row r="170" spans="1:13" s="16" customFormat="1" outlineLevel="2">
      <c r="A170" s="17" t="s">
        <v>65</v>
      </c>
      <c r="B170" s="18" t="s">
        <v>44</v>
      </c>
      <c r="C170" s="19" t="s">
        <v>206</v>
      </c>
      <c r="D170" s="18" t="s">
        <v>38</v>
      </c>
      <c r="E170" s="3">
        <v>116000000</v>
      </c>
      <c r="F170" s="17">
        <v>43676</v>
      </c>
      <c r="G170" s="3">
        <v>116000000</v>
      </c>
      <c r="H170" s="2">
        <v>1.4999999999999999E-2</v>
      </c>
      <c r="I170" s="17">
        <v>43739</v>
      </c>
      <c r="J170" s="17">
        <v>43769</v>
      </c>
      <c r="K170" s="3">
        <f>J170-I170+1</f>
        <v>31</v>
      </c>
      <c r="L170" s="3">
        <f>ROUND(G170*H170*K170/365,0)</f>
        <v>147781</v>
      </c>
      <c r="M170" s="3">
        <v>116000000</v>
      </c>
    </row>
    <row r="171" spans="1:13" s="16" customFormat="1" outlineLevel="1">
      <c r="A171" s="28" t="s">
        <v>64</v>
      </c>
      <c r="B171" s="43"/>
      <c r="C171" s="44"/>
      <c r="D171" s="43"/>
      <c r="E171" s="45">
        <f>SUBTOTAL(9,E152:E170)</f>
        <v>4325429310</v>
      </c>
      <c r="F171" s="46"/>
      <c r="G171" s="45"/>
      <c r="H171" s="47"/>
      <c r="I171" s="46"/>
      <c r="J171" s="46"/>
      <c r="K171" s="45"/>
      <c r="L171" s="45">
        <f>SUBTOTAL(9,L152:L170)</f>
        <v>4056863</v>
      </c>
      <c r="M171" s="45">
        <f>SUBTOTAL(9,M152:M170)</f>
        <v>4325429310</v>
      </c>
    </row>
    <row r="172" spans="1:13" s="16" customFormat="1" outlineLevel="2">
      <c r="A172" s="17" t="s">
        <v>16</v>
      </c>
      <c r="B172" s="18" t="s">
        <v>17</v>
      </c>
      <c r="C172" s="19" t="s">
        <v>205</v>
      </c>
      <c r="D172" s="18" t="s">
        <v>19</v>
      </c>
      <c r="E172" s="3">
        <v>200000000</v>
      </c>
      <c r="F172" s="17">
        <v>43556</v>
      </c>
      <c r="G172" s="3">
        <v>200000000</v>
      </c>
      <c r="H172" s="2">
        <v>1.4999999999999999E-2</v>
      </c>
      <c r="I172" s="17">
        <v>43739</v>
      </c>
      <c r="J172" s="17">
        <v>43769</v>
      </c>
      <c r="K172" s="3">
        <f>J172-I172+1</f>
        <v>31</v>
      </c>
      <c r="L172" s="3">
        <f>ROUND(G172*H172*K172/365,0)</f>
        <v>254795</v>
      </c>
      <c r="M172" s="3">
        <v>200000000</v>
      </c>
    </row>
    <row r="173" spans="1:13" s="16" customFormat="1" outlineLevel="2">
      <c r="A173" s="17" t="s">
        <v>16</v>
      </c>
      <c r="B173" s="18" t="s">
        <v>181</v>
      </c>
      <c r="C173" s="19" t="s">
        <v>159</v>
      </c>
      <c r="D173" s="18" t="s">
        <v>158</v>
      </c>
      <c r="E173" s="3">
        <v>66532000</v>
      </c>
      <c r="F173" s="17">
        <v>43663</v>
      </c>
      <c r="G173" s="3">
        <v>66532000</v>
      </c>
      <c r="H173" s="2">
        <v>1.4999999999999999E-2</v>
      </c>
      <c r="I173" s="17">
        <v>43739</v>
      </c>
      <c r="J173" s="17">
        <v>43769</v>
      </c>
      <c r="K173" s="3">
        <f>J173-I173+1</f>
        <v>31</v>
      </c>
      <c r="L173" s="3">
        <f>ROUND(G173*H173*K173/365,0)</f>
        <v>84760</v>
      </c>
      <c r="M173" s="3">
        <v>66532000</v>
      </c>
    </row>
    <row r="174" spans="1:13" s="16" customFormat="1" outlineLevel="2">
      <c r="A174" s="17" t="s">
        <v>16</v>
      </c>
      <c r="B174" s="18" t="s">
        <v>180</v>
      </c>
      <c r="C174" s="19" t="s">
        <v>159</v>
      </c>
      <c r="D174" s="18" t="s">
        <v>158</v>
      </c>
      <c r="E174" s="3">
        <v>5530000</v>
      </c>
      <c r="F174" s="17">
        <v>43693</v>
      </c>
      <c r="G174" s="3">
        <v>5530000</v>
      </c>
      <c r="H174" s="2">
        <v>1.4999999999999999E-2</v>
      </c>
      <c r="I174" s="17">
        <v>43739</v>
      </c>
      <c r="J174" s="17">
        <v>43769</v>
      </c>
      <c r="K174" s="3">
        <f>J174-I174+1</f>
        <v>31</v>
      </c>
      <c r="L174" s="3">
        <f>ROUND(G174*H174*K174/365,0)</f>
        <v>7045</v>
      </c>
      <c r="M174" s="3">
        <v>5530000</v>
      </c>
    </row>
    <row r="175" spans="1:13" s="16" customFormat="1" outlineLevel="2">
      <c r="A175" s="17" t="s">
        <v>16</v>
      </c>
      <c r="B175" s="18" t="s">
        <v>179</v>
      </c>
      <c r="C175" s="19" t="s">
        <v>159</v>
      </c>
      <c r="D175" s="18" t="s">
        <v>158</v>
      </c>
      <c r="E175" s="3">
        <v>15172000</v>
      </c>
      <c r="F175" s="17">
        <v>43693</v>
      </c>
      <c r="G175" s="3">
        <v>15172000</v>
      </c>
      <c r="H175" s="2">
        <v>1.4999999999999999E-2</v>
      </c>
      <c r="I175" s="17">
        <v>43739</v>
      </c>
      <c r="J175" s="17">
        <v>43769</v>
      </c>
      <c r="K175" s="3">
        <f>J175-I175+1</f>
        <v>31</v>
      </c>
      <c r="L175" s="3">
        <f>ROUND(G175*H175*K175/365,0)</f>
        <v>19329</v>
      </c>
      <c r="M175" s="3">
        <v>15172000</v>
      </c>
    </row>
    <row r="176" spans="1:13" s="16" customFormat="1" outlineLevel="2">
      <c r="A176" s="17" t="s">
        <v>16</v>
      </c>
      <c r="B176" s="18" t="s">
        <v>178</v>
      </c>
      <c r="C176" s="19" t="s">
        <v>159</v>
      </c>
      <c r="D176" s="18" t="s">
        <v>158</v>
      </c>
      <c r="E176" s="3">
        <v>3062000</v>
      </c>
      <c r="F176" s="17">
        <v>43725</v>
      </c>
      <c r="G176" s="3">
        <v>3062000</v>
      </c>
      <c r="H176" s="2">
        <v>1.4999999999999999E-2</v>
      </c>
      <c r="I176" s="17">
        <v>43739</v>
      </c>
      <c r="J176" s="17">
        <v>43769</v>
      </c>
      <c r="K176" s="3">
        <f>J176-I176+1</f>
        <v>31</v>
      </c>
      <c r="L176" s="3">
        <f>ROUND(G176*H176*K176/365,0)</f>
        <v>3901</v>
      </c>
      <c r="M176" s="3">
        <v>3062000</v>
      </c>
    </row>
    <row r="177" spans="1:13" s="16" customFormat="1" outlineLevel="2">
      <c r="A177" s="17" t="s">
        <v>16</v>
      </c>
      <c r="B177" s="18" t="s">
        <v>177</v>
      </c>
      <c r="C177" s="19" t="s">
        <v>159</v>
      </c>
      <c r="D177" s="18" t="s">
        <v>158</v>
      </c>
      <c r="E177" s="3">
        <v>15763000</v>
      </c>
      <c r="F177" s="17">
        <v>43725</v>
      </c>
      <c r="G177" s="3">
        <v>15763000</v>
      </c>
      <c r="H177" s="2">
        <v>1.4999999999999999E-2</v>
      </c>
      <c r="I177" s="17">
        <v>43739</v>
      </c>
      <c r="J177" s="17">
        <v>43769</v>
      </c>
      <c r="K177" s="3">
        <f>J177-I177+1</f>
        <v>31</v>
      </c>
      <c r="L177" s="3">
        <f>ROUND(G177*H177*K177/365,0)</f>
        <v>20082</v>
      </c>
      <c r="M177" s="3">
        <v>15763000</v>
      </c>
    </row>
    <row r="178" spans="1:13" s="16" customFormat="1" outlineLevel="2">
      <c r="A178" s="17" t="s">
        <v>16</v>
      </c>
      <c r="B178" s="18" t="s">
        <v>176</v>
      </c>
      <c r="C178" s="19" t="s">
        <v>159</v>
      </c>
      <c r="D178" s="18" t="s">
        <v>158</v>
      </c>
      <c r="E178" s="3">
        <v>4888000</v>
      </c>
      <c r="F178" s="17">
        <v>43755</v>
      </c>
      <c r="G178" s="3">
        <v>4888000</v>
      </c>
      <c r="H178" s="2">
        <v>1.4999999999999999E-2</v>
      </c>
      <c r="I178" s="17">
        <v>43755</v>
      </c>
      <c r="J178" s="17">
        <v>43769</v>
      </c>
      <c r="K178" s="3">
        <f>J178-I178+1</f>
        <v>15</v>
      </c>
      <c r="L178" s="3">
        <f>ROUND(G178*H178*K178/365,0)</f>
        <v>3013</v>
      </c>
      <c r="M178" s="3">
        <v>4888000</v>
      </c>
    </row>
    <row r="179" spans="1:13" s="16" customFormat="1" outlineLevel="2">
      <c r="A179" s="17" t="s">
        <v>16</v>
      </c>
      <c r="B179" s="18" t="s">
        <v>175</v>
      </c>
      <c r="C179" s="19" t="s">
        <v>159</v>
      </c>
      <c r="D179" s="18" t="s">
        <v>158</v>
      </c>
      <c r="E179" s="3">
        <v>16419000</v>
      </c>
      <c r="F179" s="17">
        <v>43755</v>
      </c>
      <c r="G179" s="3">
        <v>16419000</v>
      </c>
      <c r="H179" s="2">
        <v>1.4999999999999999E-2</v>
      </c>
      <c r="I179" s="17">
        <v>43755</v>
      </c>
      <c r="J179" s="17">
        <v>43769</v>
      </c>
      <c r="K179" s="3">
        <f>J179-I179+1</f>
        <v>15</v>
      </c>
      <c r="L179" s="3">
        <f>ROUND(G179*H179*K179/365,0)</f>
        <v>10121</v>
      </c>
      <c r="M179" s="3">
        <v>16419000</v>
      </c>
    </row>
    <row r="180" spans="1:13" s="16" customFormat="1" outlineLevel="2">
      <c r="A180" s="17" t="s">
        <v>16</v>
      </c>
      <c r="B180" s="18" t="s">
        <v>31</v>
      </c>
      <c r="C180" s="19" t="s">
        <v>63</v>
      </c>
      <c r="D180" s="18" t="s">
        <v>62</v>
      </c>
      <c r="E180" s="3">
        <v>50000000</v>
      </c>
      <c r="F180" s="17">
        <v>43607</v>
      </c>
      <c r="G180" s="3">
        <v>50000000</v>
      </c>
      <c r="H180" s="2">
        <v>1.4999999999999999E-2</v>
      </c>
      <c r="I180" s="17">
        <v>43739</v>
      </c>
      <c r="J180" s="17">
        <v>43769</v>
      </c>
      <c r="K180" s="3">
        <f>J180-I180+1</f>
        <v>31</v>
      </c>
      <c r="L180" s="3">
        <f>ROUND(G180*H180*K180/365,0)</f>
        <v>63699</v>
      </c>
      <c r="M180" s="3">
        <v>50000000</v>
      </c>
    </row>
    <row r="181" spans="1:13" s="16" customFormat="1" outlineLevel="2">
      <c r="A181" s="17" t="s">
        <v>16</v>
      </c>
      <c r="B181" s="18" t="s">
        <v>30</v>
      </c>
      <c r="C181" s="19" t="s">
        <v>63</v>
      </c>
      <c r="D181" s="18" t="s">
        <v>62</v>
      </c>
      <c r="E181" s="3">
        <v>50000000</v>
      </c>
      <c r="F181" s="17">
        <v>43615</v>
      </c>
      <c r="G181" s="3">
        <v>50000000</v>
      </c>
      <c r="H181" s="2">
        <v>1.4999999999999999E-2</v>
      </c>
      <c r="I181" s="17">
        <v>43739</v>
      </c>
      <c r="J181" s="17">
        <v>43769</v>
      </c>
      <c r="K181" s="3">
        <f>J181-I181+1</f>
        <v>31</v>
      </c>
      <c r="L181" s="3">
        <f>ROUND(G181*H181*K181/365,0)</f>
        <v>63699</v>
      </c>
      <c r="M181" s="3">
        <v>50000000</v>
      </c>
    </row>
    <row r="182" spans="1:13" s="16" customFormat="1" outlineLevel="2">
      <c r="A182" s="17" t="s">
        <v>16</v>
      </c>
      <c r="B182" s="18" t="s">
        <v>28</v>
      </c>
      <c r="C182" s="19" t="s">
        <v>61</v>
      </c>
      <c r="D182" s="18" t="s">
        <v>60</v>
      </c>
      <c r="E182" s="3">
        <v>150000000</v>
      </c>
      <c r="F182" s="17">
        <v>43640</v>
      </c>
      <c r="G182" s="3">
        <v>150000000</v>
      </c>
      <c r="H182" s="2">
        <v>1.4999999999999999E-2</v>
      </c>
      <c r="I182" s="17">
        <v>43739</v>
      </c>
      <c r="J182" s="17">
        <v>43769</v>
      </c>
      <c r="K182" s="3">
        <f>J182-I182+1</f>
        <v>31</v>
      </c>
      <c r="L182" s="3">
        <f>ROUND(G182*H182*K182/365,0)</f>
        <v>191096</v>
      </c>
      <c r="M182" s="3">
        <v>150000000</v>
      </c>
    </row>
    <row r="183" spans="1:13" s="16" customFormat="1" outlineLevel="2">
      <c r="A183" s="17" t="s">
        <v>16</v>
      </c>
      <c r="B183" s="18" t="s">
        <v>48</v>
      </c>
      <c r="C183" s="19" t="s">
        <v>63</v>
      </c>
      <c r="D183" s="18" t="s">
        <v>62</v>
      </c>
      <c r="E183" s="3">
        <v>30000000</v>
      </c>
      <c r="F183" s="17">
        <v>43651</v>
      </c>
      <c r="G183" s="3">
        <v>30000000</v>
      </c>
      <c r="H183" s="2">
        <v>1.4999999999999999E-2</v>
      </c>
      <c r="I183" s="17">
        <v>43739</v>
      </c>
      <c r="J183" s="17">
        <v>43769</v>
      </c>
      <c r="K183" s="3">
        <f>J183-I183+1</f>
        <v>31</v>
      </c>
      <c r="L183" s="3">
        <f>ROUND(G183*H183*K183/365,0)</f>
        <v>38219</v>
      </c>
      <c r="M183" s="3">
        <v>30000000</v>
      </c>
    </row>
    <row r="184" spans="1:13" s="16" customFormat="1" outlineLevel="2">
      <c r="A184" s="17" t="s">
        <v>16</v>
      </c>
      <c r="B184" s="18" t="s">
        <v>47</v>
      </c>
      <c r="C184" s="19" t="s">
        <v>63</v>
      </c>
      <c r="D184" s="18" t="s">
        <v>62</v>
      </c>
      <c r="E184" s="3">
        <v>30000000</v>
      </c>
      <c r="F184" s="17">
        <v>43655</v>
      </c>
      <c r="G184" s="3">
        <v>30000000</v>
      </c>
      <c r="H184" s="2">
        <v>1.4999999999999999E-2</v>
      </c>
      <c r="I184" s="17">
        <v>43739</v>
      </c>
      <c r="J184" s="17">
        <v>43769</v>
      </c>
      <c r="K184" s="3">
        <f>J184-I184+1</f>
        <v>31</v>
      </c>
      <c r="L184" s="3">
        <f>ROUND(G184*H184*K184/365,0)</f>
        <v>38219</v>
      </c>
      <c r="M184" s="3">
        <v>30000000</v>
      </c>
    </row>
    <row r="185" spans="1:13" s="16" customFormat="1" outlineLevel="2">
      <c r="A185" s="17" t="s">
        <v>16</v>
      </c>
      <c r="B185" s="18" t="s">
        <v>46</v>
      </c>
      <c r="C185" s="19" t="s">
        <v>63</v>
      </c>
      <c r="D185" s="18" t="s">
        <v>62</v>
      </c>
      <c r="E185" s="3">
        <v>35000000</v>
      </c>
      <c r="F185" s="17">
        <v>43663</v>
      </c>
      <c r="G185" s="3">
        <v>35000000</v>
      </c>
      <c r="H185" s="2">
        <v>1.4999999999999999E-2</v>
      </c>
      <c r="I185" s="17">
        <v>43739</v>
      </c>
      <c r="J185" s="17">
        <v>43769</v>
      </c>
      <c r="K185" s="3">
        <f>J185-I185+1</f>
        <v>31</v>
      </c>
      <c r="L185" s="3">
        <f>ROUND(G185*H185*K185/365,0)</f>
        <v>44589</v>
      </c>
      <c r="M185" s="3">
        <v>35000000</v>
      </c>
    </row>
    <row r="186" spans="1:13" s="16" customFormat="1" outlineLevel="2">
      <c r="A186" s="17" t="s">
        <v>16</v>
      </c>
      <c r="B186" s="18" t="s">
        <v>45</v>
      </c>
      <c r="C186" s="19" t="s">
        <v>63</v>
      </c>
      <c r="D186" s="18" t="s">
        <v>62</v>
      </c>
      <c r="E186" s="3">
        <v>40000000</v>
      </c>
      <c r="F186" s="17">
        <v>43665</v>
      </c>
      <c r="G186" s="3">
        <v>40000000</v>
      </c>
      <c r="H186" s="2">
        <v>1.4999999999999999E-2</v>
      </c>
      <c r="I186" s="17">
        <v>43739</v>
      </c>
      <c r="J186" s="17">
        <v>43769</v>
      </c>
      <c r="K186" s="3">
        <f>J186-I186+1</f>
        <v>31</v>
      </c>
      <c r="L186" s="3">
        <f>ROUND(G186*H186*K186/365,0)</f>
        <v>50959</v>
      </c>
      <c r="M186" s="3">
        <v>40000000</v>
      </c>
    </row>
    <row r="187" spans="1:13" s="16" customFormat="1" outlineLevel="2">
      <c r="A187" s="17" t="s">
        <v>16</v>
      </c>
      <c r="B187" s="18" t="s">
        <v>44</v>
      </c>
      <c r="C187" s="19" t="s">
        <v>159</v>
      </c>
      <c r="D187" s="18" t="s">
        <v>158</v>
      </c>
      <c r="E187" s="3">
        <v>31748000</v>
      </c>
      <c r="F187" s="17">
        <v>43663</v>
      </c>
      <c r="G187" s="3">
        <v>31748000</v>
      </c>
      <c r="H187" s="2">
        <v>1.4999999999999999E-2</v>
      </c>
      <c r="I187" s="17">
        <v>43739</v>
      </c>
      <c r="J187" s="17">
        <v>43769</v>
      </c>
      <c r="K187" s="3">
        <f>J187-I187+1</f>
        <v>31</v>
      </c>
      <c r="L187" s="3">
        <f>ROUND(G187*H187*K187/365,0)</f>
        <v>40446</v>
      </c>
      <c r="M187" s="3">
        <v>31748000</v>
      </c>
    </row>
    <row r="188" spans="1:13" s="16" customFormat="1" outlineLevel="1">
      <c r="A188" s="28" t="s">
        <v>32</v>
      </c>
      <c r="B188" s="43"/>
      <c r="C188" s="44"/>
      <c r="D188" s="43"/>
      <c r="E188" s="45">
        <f>SUBTOTAL(9,E172:E187)</f>
        <v>744114000</v>
      </c>
      <c r="F188" s="46"/>
      <c r="G188" s="45"/>
      <c r="H188" s="47"/>
      <c r="I188" s="46"/>
      <c r="J188" s="46"/>
      <c r="K188" s="45"/>
      <c r="L188" s="45">
        <f>SUBTOTAL(9,L172:L187)</f>
        <v>933972</v>
      </c>
      <c r="M188" s="45">
        <f>SUBTOTAL(9,M172:M187)</f>
        <v>744114000</v>
      </c>
    </row>
    <row r="189" spans="1:13" s="16" customFormat="1" outlineLevel="2">
      <c r="A189" s="17" t="s">
        <v>59</v>
      </c>
      <c r="B189" s="18" t="s">
        <v>17</v>
      </c>
      <c r="C189" s="19" t="s">
        <v>58</v>
      </c>
      <c r="D189" s="18" t="s">
        <v>57</v>
      </c>
      <c r="E189" s="3">
        <v>200000000</v>
      </c>
      <c r="F189" s="17">
        <v>43613</v>
      </c>
      <c r="G189" s="3">
        <v>200000000</v>
      </c>
      <c r="H189" s="2">
        <v>1.4999999999999999E-2</v>
      </c>
      <c r="I189" s="17">
        <v>43739</v>
      </c>
      <c r="J189" s="17">
        <v>43769</v>
      </c>
      <c r="K189" s="3">
        <f>J189-I189+1</f>
        <v>31</v>
      </c>
      <c r="L189" s="3">
        <f>ROUND(G189*H189*K189/365,0)</f>
        <v>254795</v>
      </c>
      <c r="M189" s="3">
        <v>200000000</v>
      </c>
    </row>
    <row r="190" spans="1:13" s="16" customFormat="1" outlineLevel="2">
      <c r="A190" s="17" t="s">
        <v>59</v>
      </c>
      <c r="B190" s="18" t="s">
        <v>181</v>
      </c>
      <c r="C190" s="19" t="s">
        <v>260</v>
      </c>
      <c r="D190" s="18" t="s">
        <v>259</v>
      </c>
      <c r="E190" s="3">
        <v>11540000</v>
      </c>
      <c r="F190" s="17">
        <v>43763</v>
      </c>
      <c r="G190" s="3">
        <v>11540000</v>
      </c>
      <c r="H190" s="2">
        <v>5.0000000000000001E-3</v>
      </c>
      <c r="I190" s="17">
        <v>43763</v>
      </c>
      <c r="J190" s="17">
        <v>43769</v>
      </c>
      <c r="K190" s="3">
        <f>J190-I190+1</f>
        <v>7</v>
      </c>
      <c r="L190" s="3">
        <f>ROUND(G190*H190*K190/365,0)</f>
        <v>1107</v>
      </c>
      <c r="M190" s="3">
        <v>11540000</v>
      </c>
    </row>
    <row r="191" spans="1:13" s="16" customFormat="1" outlineLevel="2">
      <c r="A191" s="17" t="s">
        <v>59</v>
      </c>
      <c r="B191" s="18" t="s">
        <v>31</v>
      </c>
      <c r="C191" s="19" t="s">
        <v>260</v>
      </c>
      <c r="D191" s="18" t="s">
        <v>259</v>
      </c>
      <c r="E191" s="3">
        <v>40000000</v>
      </c>
      <c r="F191" s="17">
        <v>43718</v>
      </c>
      <c r="G191" s="3">
        <v>40000000</v>
      </c>
      <c r="H191" s="2">
        <v>5.0000000000000001E-3</v>
      </c>
      <c r="I191" s="17">
        <v>43739</v>
      </c>
      <c r="J191" s="17">
        <v>43769</v>
      </c>
      <c r="K191" s="3">
        <f>J191-I191+1</f>
        <v>31</v>
      </c>
      <c r="L191" s="3">
        <f>ROUND(G191*H191*K191/365,0)</f>
        <v>16986</v>
      </c>
      <c r="M191" s="3">
        <v>40000000</v>
      </c>
    </row>
    <row r="192" spans="1:13" s="16" customFormat="1" outlineLevel="2">
      <c r="A192" s="17" t="s">
        <v>59</v>
      </c>
      <c r="B192" s="18" t="s">
        <v>30</v>
      </c>
      <c r="C192" s="19" t="s">
        <v>260</v>
      </c>
      <c r="D192" s="18" t="s">
        <v>259</v>
      </c>
      <c r="E192" s="3">
        <v>13200000</v>
      </c>
      <c r="F192" s="17">
        <v>43726</v>
      </c>
      <c r="G192" s="3">
        <v>13200000</v>
      </c>
      <c r="H192" s="2">
        <v>5.0000000000000001E-3</v>
      </c>
      <c r="I192" s="17">
        <v>43739</v>
      </c>
      <c r="J192" s="17">
        <v>43752</v>
      </c>
      <c r="K192" s="3">
        <f>J192-I192+1</f>
        <v>14</v>
      </c>
      <c r="L192" s="3">
        <f>ROUND(G192*H192*K192/365,0)</f>
        <v>2532</v>
      </c>
      <c r="M192" s="3">
        <v>12650000</v>
      </c>
    </row>
    <row r="193" spans="1:13" s="16" customFormat="1" outlineLevel="2">
      <c r="A193" s="17" t="s">
        <v>59</v>
      </c>
      <c r="B193" s="18" t="s">
        <v>30</v>
      </c>
      <c r="C193" s="19" t="s">
        <v>260</v>
      </c>
      <c r="D193" s="18"/>
      <c r="E193" s="3"/>
      <c r="F193" s="17"/>
      <c r="G193" s="3">
        <v>12650000</v>
      </c>
      <c r="H193" s="2">
        <v>5.0000000000000001E-3</v>
      </c>
      <c r="I193" s="17">
        <v>43753</v>
      </c>
      <c r="J193" s="17">
        <v>43769</v>
      </c>
      <c r="K193" s="3">
        <f>J193-I193+1</f>
        <v>17</v>
      </c>
      <c r="L193" s="3">
        <f>ROUND(G193*H193*K193/365,0)</f>
        <v>2946</v>
      </c>
      <c r="M193" s="3"/>
    </row>
    <row r="194" spans="1:13" s="16" customFormat="1" outlineLevel="2">
      <c r="A194" s="17" t="s">
        <v>59</v>
      </c>
      <c r="B194" s="18" t="s">
        <v>28</v>
      </c>
      <c r="C194" s="19" t="s">
        <v>260</v>
      </c>
      <c r="D194" s="18" t="s">
        <v>259</v>
      </c>
      <c r="E194" s="3">
        <v>11540000</v>
      </c>
      <c r="F194" s="17">
        <v>43731</v>
      </c>
      <c r="G194" s="3">
        <v>11540000</v>
      </c>
      <c r="H194" s="2">
        <v>5.0000000000000001E-3</v>
      </c>
      <c r="I194" s="17">
        <v>43739</v>
      </c>
      <c r="J194" s="17">
        <v>43769</v>
      </c>
      <c r="K194" s="3">
        <f>J194-I194+1</f>
        <v>31</v>
      </c>
      <c r="L194" s="3">
        <f>ROUND(G194*H194*K194/365,0)</f>
        <v>4901</v>
      </c>
      <c r="M194" s="3">
        <v>11540000</v>
      </c>
    </row>
    <row r="195" spans="1:13" s="16" customFormat="1" outlineLevel="2">
      <c r="A195" s="17" t="s">
        <v>59</v>
      </c>
      <c r="B195" s="18" t="s">
        <v>48</v>
      </c>
      <c r="C195" s="19" t="s">
        <v>260</v>
      </c>
      <c r="D195" s="18" t="s">
        <v>259</v>
      </c>
      <c r="E195" s="3">
        <v>4340000</v>
      </c>
      <c r="F195" s="17">
        <v>43727</v>
      </c>
      <c r="G195" s="3">
        <v>4340000</v>
      </c>
      <c r="H195" s="2">
        <v>5.0000000000000001E-3</v>
      </c>
      <c r="I195" s="17">
        <v>43739</v>
      </c>
      <c r="J195" s="17">
        <v>43769</v>
      </c>
      <c r="K195" s="3">
        <f>J195-I195+1</f>
        <v>31</v>
      </c>
      <c r="L195" s="3">
        <f>ROUND(G195*H195*K195/365,0)</f>
        <v>1843</v>
      </c>
      <c r="M195" s="3">
        <v>4340000</v>
      </c>
    </row>
    <row r="196" spans="1:13" s="16" customFormat="1" outlineLevel="2">
      <c r="A196" s="17" t="s">
        <v>59</v>
      </c>
      <c r="B196" s="18" t="s">
        <v>47</v>
      </c>
      <c r="C196" s="19" t="s">
        <v>260</v>
      </c>
      <c r="D196" s="18" t="s">
        <v>259</v>
      </c>
      <c r="E196" s="3">
        <v>18040000</v>
      </c>
      <c r="F196" s="17">
        <v>43727</v>
      </c>
      <c r="G196" s="3">
        <v>18040000</v>
      </c>
      <c r="H196" s="2">
        <v>5.0000000000000001E-3</v>
      </c>
      <c r="I196" s="17">
        <v>43739</v>
      </c>
      <c r="J196" s="17">
        <v>43769</v>
      </c>
      <c r="K196" s="3">
        <f>J196-I196+1</f>
        <v>31</v>
      </c>
      <c r="L196" s="3">
        <f>ROUND(G196*H196*K196/365,0)</f>
        <v>7661</v>
      </c>
      <c r="M196" s="3">
        <v>18040000</v>
      </c>
    </row>
    <row r="197" spans="1:13" s="16" customFormat="1" outlineLevel="2">
      <c r="A197" s="17" t="s">
        <v>59</v>
      </c>
      <c r="B197" s="18" t="s">
        <v>46</v>
      </c>
      <c r="C197" s="19" t="s">
        <v>260</v>
      </c>
      <c r="D197" s="18" t="s">
        <v>259</v>
      </c>
      <c r="E197" s="3">
        <v>3470000</v>
      </c>
      <c r="F197" s="17">
        <v>43727</v>
      </c>
      <c r="G197" s="3">
        <v>3470000</v>
      </c>
      <c r="H197" s="2">
        <v>5.0000000000000001E-3</v>
      </c>
      <c r="I197" s="17">
        <v>43739</v>
      </c>
      <c r="J197" s="17">
        <v>43769</v>
      </c>
      <c r="K197" s="3">
        <f>J197-I197+1</f>
        <v>31</v>
      </c>
      <c r="L197" s="3">
        <f>ROUND(G197*H197*K197/365,0)</f>
        <v>1474</v>
      </c>
      <c r="M197" s="3">
        <v>3470000</v>
      </c>
    </row>
    <row r="198" spans="1:13" s="16" customFormat="1" outlineLevel="2">
      <c r="A198" s="17" t="s">
        <v>59</v>
      </c>
      <c r="B198" s="18" t="s">
        <v>45</v>
      </c>
      <c r="C198" s="19" t="s">
        <v>260</v>
      </c>
      <c r="D198" s="18" t="s">
        <v>259</v>
      </c>
      <c r="E198" s="3">
        <v>4090000</v>
      </c>
      <c r="F198" s="17">
        <v>43727</v>
      </c>
      <c r="G198" s="3">
        <v>4090000</v>
      </c>
      <c r="H198" s="2">
        <v>5.0000000000000001E-3</v>
      </c>
      <c r="I198" s="17">
        <v>43739</v>
      </c>
      <c r="J198" s="17">
        <v>43769</v>
      </c>
      <c r="K198" s="3">
        <f>J198-I198+1</f>
        <v>31</v>
      </c>
      <c r="L198" s="3">
        <f>ROUND(G198*H198*K198/365,0)</f>
        <v>1737</v>
      </c>
      <c r="M198" s="3">
        <v>4090000</v>
      </c>
    </row>
    <row r="199" spans="1:13" s="16" customFormat="1" outlineLevel="2">
      <c r="A199" s="17" t="s">
        <v>59</v>
      </c>
      <c r="B199" s="18" t="s">
        <v>44</v>
      </c>
      <c r="C199" s="19" t="s">
        <v>260</v>
      </c>
      <c r="D199" s="18" t="s">
        <v>259</v>
      </c>
      <c r="E199" s="3">
        <v>30000000</v>
      </c>
      <c r="F199" s="17">
        <v>43742</v>
      </c>
      <c r="G199" s="3">
        <v>30000000</v>
      </c>
      <c r="H199" s="2">
        <v>5.0000000000000001E-3</v>
      </c>
      <c r="I199" s="17">
        <v>43742</v>
      </c>
      <c r="J199" s="17">
        <v>43769</v>
      </c>
      <c r="K199" s="3">
        <f>J199-I199+1</f>
        <v>28</v>
      </c>
      <c r="L199" s="3">
        <f>ROUND(G199*H199*K199/365,0)</f>
        <v>11507</v>
      </c>
      <c r="M199" s="3">
        <v>30000000</v>
      </c>
    </row>
    <row r="200" spans="1:13" s="16" customFormat="1" outlineLevel="1">
      <c r="A200" s="28" t="s">
        <v>56</v>
      </c>
      <c r="B200" s="43"/>
      <c r="C200" s="44"/>
      <c r="D200" s="43"/>
      <c r="E200" s="45">
        <f>SUBTOTAL(9,E189:E199)</f>
        <v>336220000</v>
      </c>
      <c r="F200" s="46"/>
      <c r="G200" s="45"/>
      <c r="H200" s="47"/>
      <c r="I200" s="46"/>
      <c r="J200" s="46"/>
      <c r="K200" s="45"/>
      <c r="L200" s="45">
        <f>SUBTOTAL(9,L189:L199)</f>
        <v>307489</v>
      </c>
      <c r="M200" s="45">
        <f>SUBTOTAL(9,M189:M199)</f>
        <v>335670000</v>
      </c>
    </row>
    <row r="201" spans="1:13" s="16" customFormat="1" outlineLevel="2">
      <c r="A201" s="17" t="s">
        <v>330</v>
      </c>
      <c r="B201" s="18" t="s">
        <v>17</v>
      </c>
      <c r="C201" s="19" t="s">
        <v>329</v>
      </c>
      <c r="D201" s="18" t="s">
        <v>328</v>
      </c>
      <c r="E201" s="3">
        <v>40000000</v>
      </c>
      <c r="F201" s="17">
        <v>43756</v>
      </c>
      <c r="G201" s="3">
        <v>40000000</v>
      </c>
      <c r="H201" s="2">
        <v>5.0000000000000001E-3</v>
      </c>
      <c r="I201" s="17">
        <v>43756</v>
      </c>
      <c r="J201" s="17">
        <v>43769</v>
      </c>
      <c r="K201" s="3">
        <f>J201-I201+1</f>
        <v>14</v>
      </c>
      <c r="L201" s="3">
        <f>ROUND(G201*H201*K201/365,0)</f>
        <v>7671</v>
      </c>
      <c r="M201" s="3">
        <v>40000000</v>
      </c>
    </row>
    <row r="202" spans="1:13" s="16" customFormat="1" outlineLevel="1">
      <c r="A202" s="28" t="s">
        <v>327</v>
      </c>
      <c r="B202" s="43"/>
      <c r="C202" s="44"/>
      <c r="D202" s="43"/>
      <c r="E202" s="45">
        <f>SUBTOTAL(9,E201:E201)</f>
        <v>40000000</v>
      </c>
      <c r="F202" s="46"/>
      <c r="G202" s="45"/>
      <c r="H202" s="47"/>
      <c r="I202" s="46"/>
      <c r="J202" s="46"/>
      <c r="K202" s="45"/>
      <c r="L202" s="45">
        <f>SUBTOTAL(9,L201:L201)</f>
        <v>7671</v>
      </c>
      <c r="M202" s="45">
        <f>SUBTOTAL(9,M201:M201)</f>
        <v>40000000</v>
      </c>
    </row>
    <row r="203" spans="1:13" s="16" customFormat="1" outlineLevel="2">
      <c r="A203" s="17" t="s">
        <v>326</v>
      </c>
      <c r="B203" s="18" t="s">
        <v>17</v>
      </c>
      <c r="C203" s="19" t="s">
        <v>204</v>
      </c>
      <c r="D203" s="18" t="s">
        <v>203</v>
      </c>
      <c r="E203" s="3">
        <v>60000000</v>
      </c>
      <c r="F203" s="17">
        <v>43685</v>
      </c>
      <c r="G203" s="3">
        <v>60000000</v>
      </c>
      <c r="H203" s="2">
        <v>5.0000000000000001E-3</v>
      </c>
      <c r="I203" s="17">
        <v>43739</v>
      </c>
      <c r="J203" s="17">
        <v>43769</v>
      </c>
      <c r="K203" s="3">
        <f>J203-I203+1</f>
        <v>31</v>
      </c>
      <c r="L203" s="3">
        <f>ROUND(G203*H203*K203/365,0)</f>
        <v>25479</v>
      </c>
      <c r="M203" s="3">
        <v>60000000</v>
      </c>
    </row>
    <row r="204" spans="1:13" s="16" customFormat="1" outlineLevel="2">
      <c r="A204" s="17" t="s">
        <v>326</v>
      </c>
      <c r="B204" s="18" t="s">
        <v>31</v>
      </c>
      <c r="C204" s="19" t="s">
        <v>201</v>
      </c>
      <c r="D204" s="18" t="s">
        <v>200</v>
      </c>
      <c r="E204" s="3">
        <v>20700000</v>
      </c>
      <c r="F204" s="17">
        <v>43696</v>
      </c>
      <c r="G204" s="3">
        <v>20700000</v>
      </c>
      <c r="H204" s="2">
        <v>5.0000000000000001E-3</v>
      </c>
      <c r="I204" s="17">
        <v>43739</v>
      </c>
      <c r="J204" s="17">
        <v>43769</v>
      </c>
      <c r="K204" s="3">
        <f>J204-I204+1</f>
        <v>31</v>
      </c>
      <c r="L204" s="3">
        <f>ROUND(G204*H204*K204/365,0)</f>
        <v>8790</v>
      </c>
      <c r="M204" s="3">
        <v>20700000</v>
      </c>
    </row>
    <row r="205" spans="1:13" s="16" customFormat="1" outlineLevel="2">
      <c r="A205" s="17" t="s">
        <v>326</v>
      </c>
      <c r="B205" s="18" t="s">
        <v>30</v>
      </c>
      <c r="C205" s="19" t="s">
        <v>204</v>
      </c>
      <c r="D205" s="18" t="s">
        <v>203</v>
      </c>
      <c r="E205" s="3">
        <v>60000000</v>
      </c>
      <c r="F205" s="17">
        <v>43717</v>
      </c>
      <c r="G205" s="3">
        <v>60000000</v>
      </c>
      <c r="H205" s="2">
        <v>5.0000000000000001E-3</v>
      </c>
      <c r="I205" s="17">
        <v>43739</v>
      </c>
      <c r="J205" s="17">
        <v>43769</v>
      </c>
      <c r="K205" s="3">
        <f>J205-I205+1</f>
        <v>31</v>
      </c>
      <c r="L205" s="3">
        <f>ROUND(G205*H205*K205/365,0)</f>
        <v>25479</v>
      </c>
      <c r="M205" s="3">
        <v>60000000</v>
      </c>
    </row>
    <row r="206" spans="1:13" s="16" customFormat="1" outlineLevel="2">
      <c r="A206" s="17" t="s">
        <v>326</v>
      </c>
      <c r="B206" s="18" t="s">
        <v>28</v>
      </c>
      <c r="C206" s="19" t="s">
        <v>201</v>
      </c>
      <c r="D206" s="18" t="s">
        <v>200</v>
      </c>
      <c r="E206" s="3">
        <v>27200000</v>
      </c>
      <c r="F206" s="17">
        <v>43712</v>
      </c>
      <c r="G206" s="3">
        <v>27200000</v>
      </c>
      <c r="H206" s="2">
        <v>5.0000000000000001E-3</v>
      </c>
      <c r="I206" s="17">
        <v>43739</v>
      </c>
      <c r="J206" s="17">
        <v>43769</v>
      </c>
      <c r="K206" s="3">
        <f>J206-I206+1</f>
        <v>31</v>
      </c>
      <c r="L206" s="3">
        <f>ROUND(G206*H206*K206/365,0)</f>
        <v>11551</v>
      </c>
      <c r="M206" s="3">
        <v>27200000</v>
      </c>
    </row>
    <row r="207" spans="1:13" s="16" customFormat="1" outlineLevel="2">
      <c r="A207" s="17" t="s">
        <v>326</v>
      </c>
      <c r="B207" s="18" t="s">
        <v>48</v>
      </c>
      <c r="C207" s="19" t="s">
        <v>201</v>
      </c>
      <c r="D207" s="18" t="s">
        <v>200</v>
      </c>
      <c r="E207" s="3">
        <v>13180000</v>
      </c>
      <c r="F207" s="17">
        <v>43713</v>
      </c>
      <c r="G207" s="3">
        <v>13180000</v>
      </c>
      <c r="H207" s="2">
        <v>5.0000000000000001E-3</v>
      </c>
      <c r="I207" s="17">
        <v>43739</v>
      </c>
      <c r="J207" s="17">
        <v>43769</v>
      </c>
      <c r="K207" s="3">
        <f>J207-I207+1</f>
        <v>31</v>
      </c>
      <c r="L207" s="3">
        <f>ROUND(G207*H207*K207/365,0)</f>
        <v>5597</v>
      </c>
      <c r="M207" s="3">
        <v>13180000</v>
      </c>
    </row>
    <row r="208" spans="1:13" s="16" customFormat="1" outlineLevel="2">
      <c r="A208" s="17" t="s">
        <v>326</v>
      </c>
      <c r="B208" s="18" t="s">
        <v>47</v>
      </c>
      <c r="C208" s="19" t="s">
        <v>201</v>
      </c>
      <c r="D208" s="18" t="s">
        <v>200</v>
      </c>
      <c r="E208" s="3">
        <v>10600000</v>
      </c>
      <c r="F208" s="17">
        <v>43727</v>
      </c>
      <c r="G208" s="3">
        <v>10600000</v>
      </c>
      <c r="H208" s="2">
        <v>5.0000000000000001E-3</v>
      </c>
      <c r="I208" s="17">
        <v>43739</v>
      </c>
      <c r="J208" s="17">
        <v>43769</v>
      </c>
      <c r="K208" s="3">
        <f>J208-I208+1</f>
        <v>31</v>
      </c>
      <c r="L208" s="3">
        <f>ROUND(G208*H208*K208/365,0)</f>
        <v>4501</v>
      </c>
      <c r="M208" s="3">
        <v>10600000</v>
      </c>
    </row>
    <row r="209" spans="1:13" s="16" customFormat="1" outlineLevel="2">
      <c r="A209" s="17" t="s">
        <v>326</v>
      </c>
      <c r="B209" s="18" t="s">
        <v>46</v>
      </c>
      <c r="C209" s="19" t="s">
        <v>272</v>
      </c>
      <c r="D209" s="18" t="s">
        <v>271</v>
      </c>
      <c r="E209" s="3">
        <v>20000000</v>
      </c>
      <c r="F209" s="17">
        <v>43735</v>
      </c>
      <c r="G209" s="3">
        <v>20000000</v>
      </c>
      <c r="H209" s="2">
        <v>5.0000000000000001E-3</v>
      </c>
      <c r="I209" s="17">
        <v>43739</v>
      </c>
      <c r="J209" s="17">
        <v>43769</v>
      </c>
      <c r="K209" s="3">
        <f>J209-I209+1</f>
        <v>31</v>
      </c>
      <c r="L209" s="3">
        <f>ROUND(G209*H209*K209/365,0)</f>
        <v>8493</v>
      </c>
      <c r="M209" s="3">
        <v>20000000</v>
      </c>
    </row>
    <row r="210" spans="1:13" s="16" customFormat="1" outlineLevel="2">
      <c r="A210" s="17" t="s">
        <v>326</v>
      </c>
      <c r="B210" s="18" t="s">
        <v>45</v>
      </c>
      <c r="C210" s="19" t="s">
        <v>270</v>
      </c>
      <c r="D210" s="18" t="s">
        <v>269</v>
      </c>
      <c r="E210" s="3">
        <v>15680000</v>
      </c>
      <c r="F210" s="17">
        <v>43733</v>
      </c>
      <c r="G210" s="3">
        <v>15680000</v>
      </c>
      <c r="H210" s="2">
        <v>1.4999999999999999E-2</v>
      </c>
      <c r="I210" s="17">
        <v>43739</v>
      </c>
      <c r="J210" s="17">
        <v>43769</v>
      </c>
      <c r="K210" s="3">
        <f>J210-I210+1</f>
        <v>31</v>
      </c>
      <c r="L210" s="3">
        <f>ROUND(G210*H210*K210/365,0)</f>
        <v>19976</v>
      </c>
      <c r="M210" s="3">
        <v>15680000</v>
      </c>
    </row>
    <row r="211" spans="1:13" s="16" customFormat="1" outlineLevel="2">
      <c r="A211" s="17" t="s">
        <v>326</v>
      </c>
      <c r="B211" s="18" t="s">
        <v>181</v>
      </c>
      <c r="C211" s="19" t="s">
        <v>270</v>
      </c>
      <c r="D211" s="18" t="s">
        <v>269</v>
      </c>
      <c r="E211" s="3">
        <v>39200000</v>
      </c>
      <c r="F211" s="17">
        <v>43759</v>
      </c>
      <c r="G211" s="3">
        <v>39200000</v>
      </c>
      <c r="H211" s="2">
        <v>1.4999999999999999E-2</v>
      </c>
      <c r="I211" s="17">
        <v>43759</v>
      </c>
      <c r="J211" s="17">
        <v>43769</v>
      </c>
      <c r="K211" s="3">
        <f>J211-I211+1</f>
        <v>11</v>
      </c>
      <c r="L211" s="3">
        <f>ROUND(G211*H211*K211/365,0)</f>
        <v>17721</v>
      </c>
      <c r="M211" s="3">
        <v>39200000</v>
      </c>
    </row>
    <row r="212" spans="1:13" s="16" customFormat="1" outlineLevel="2">
      <c r="A212" s="17" t="s">
        <v>326</v>
      </c>
      <c r="B212" s="18" t="s">
        <v>44</v>
      </c>
      <c r="C212" s="19" t="s">
        <v>272</v>
      </c>
      <c r="D212" s="18" t="s">
        <v>271</v>
      </c>
      <c r="E212" s="3">
        <v>180000</v>
      </c>
      <c r="F212" s="17">
        <v>43745</v>
      </c>
      <c r="G212" s="3">
        <v>180000</v>
      </c>
      <c r="H212" s="2">
        <v>5.0000000000000001E-3</v>
      </c>
      <c r="I212" s="17">
        <v>43745</v>
      </c>
      <c r="J212" s="17">
        <v>43769</v>
      </c>
      <c r="K212" s="3">
        <f>J212-I212+1</f>
        <v>25</v>
      </c>
      <c r="L212" s="3">
        <f>ROUND(G212*H212*K212/365,0)</f>
        <v>62</v>
      </c>
      <c r="M212" s="3">
        <v>180000</v>
      </c>
    </row>
    <row r="213" spans="1:13" s="16" customFormat="1" outlineLevel="1">
      <c r="A213" s="28" t="s">
        <v>325</v>
      </c>
      <c r="B213" s="43"/>
      <c r="C213" s="44"/>
      <c r="D213" s="43"/>
      <c r="E213" s="45">
        <f>SUBTOTAL(9,E203:E212)</f>
        <v>266740000</v>
      </c>
      <c r="F213" s="46"/>
      <c r="G213" s="45"/>
      <c r="H213" s="47"/>
      <c r="I213" s="46"/>
      <c r="J213" s="46"/>
      <c r="K213" s="45"/>
      <c r="L213" s="45">
        <f>SUBTOTAL(9,L203:L212)</f>
        <v>127649</v>
      </c>
      <c r="M213" s="45">
        <f>SUBTOTAL(9,M203:M212)</f>
        <v>266740000</v>
      </c>
    </row>
    <row r="214" spans="1:13" s="16" customFormat="1" outlineLevel="2">
      <c r="A214" s="17" t="s">
        <v>55</v>
      </c>
      <c r="B214" s="18" t="s">
        <v>17</v>
      </c>
      <c r="C214" s="19" t="s">
        <v>54</v>
      </c>
      <c r="D214" s="18" t="s">
        <v>34</v>
      </c>
      <c r="E214" s="3">
        <v>3656000</v>
      </c>
      <c r="F214" s="17">
        <v>43633</v>
      </c>
      <c r="G214" s="3">
        <v>3656000</v>
      </c>
      <c r="H214" s="2">
        <v>1.4999999999999999E-2</v>
      </c>
      <c r="I214" s="17">
        <v>43739</v>
      </c>
      <c r="J214" s="17">
        <v>43769</v>
      </c>
      <c r="K214" s="3">
        <f>J214-I214+1</f>
        <v>31</v>
      </c>
      <c r="L214" s="3">
        <f>ROUND(G214*H214*K214/365,0)</f>
        <v>4658</v>
      </c>
      <c r="M214" s="3">
        <v>3656000</v>
      </c>
    </row>
    <row r="215" spans="1:13" s="16" customFormat="1" outlineLevel="2">
      <c r="A215" s="17" t="s">
        <v>55</v>
      </c>
      <c r="B215" s="18" t="s">
        <v>181</v>
      </c>
      <c r="C215" s="19" t="s">
        <v>51</v>
      </c>
      <c r="D215" s="18" t="s">
        <v>50</v>
      </c>
      <c r="E215" s="3">
        <v>85000000</v>
      </c>
      <c r="F215" s="17">
        <v>43672</v>
      </c>
      <c r="G215" s="3">
        <v>85000000</v>
      </c>
      <c r="H215" s="2">
        <v>1.4999999999999999E-2</v>
      </c>
      <c r="I215" s="17">
        <v>43739</v>
      </c>
      <c r="J215" s="17">
        <v>43769</v>
      </c>
      <c r="K215" s="3">
        <f>J215-I215+1</f>
        <v>31</v>
      </c>
      <c r="L215" s="3">
        <f>ROUND(G215*H215*K215/365,0)</f>
        <v>108288</v>
      </c>
      <c r="M215" s="3">
        <v>85000000</v>
      </c>
    </row>
    <row r="216" spans="1:13" s="16" customFormat="1" outlineLevel="2">
      <c r="A216" s="17" t="s">
        <v>55</v>
      </c>
      <c r="B216" s="18" t="s">
        <v>180</v>
      </c>
      <c r="C216" s="19" t="s">
        <v>51</v>
      </c>
      <c r="D216" s="18" t="s">
        <v>50</v>
      </c>
      <c r="E216" s="3">
        <v>15000000</v>
      </c>
      <c r="F216" s="17">
        <v>43677</v>
      </c>
      <c r="G216" s="3">
        <v>15000000</v>
      </c>
      <c r="H216" s="2">
        <v>1.4999999999999999E-2</v>
      </c>
      <c r="I216" s="17">
        <v>43739</v>
      </c>
      <c r="J216" s="17">
        <v>43769</v>
      </c>
      <c r="K216" s="3">
        <f>J216-I216+1</f>
        <v>31</v>
      </c>
      <c r="L216" s="3">
        <f>ROUND(G216*H216*K216/365,0)</f>
        <v>19110</v>
      </c>
      <c r="M216" s="3">
        <v>15000000</v>
      </c>
    </row>
    <row r="217" spans="1:13" s="16" customFormat="1" outlineLevel="2">
      <c r="A217" s="17" t="s">
        <v>55</v>
      </c>
      <c r="B217" s="18" t="s">
        <v>179</v>
      </c>
      <c r="C217" s="19" t="s">
        <v>51</v>
      </c>
      <c r="D217" s="18" t="s">
        <v>50</v>
      </c>
      <c r="E217" s="3">
        <v>96000000</v>
      </c>
      <c r="F217" s="17">
        <v>43650</v>
      </c>
      <c r="G217" s="3">
        <v>96000000</v>
      </c>
      <c r="H217" s="2">
        <v>1.4999999999999999E-2</v>
      </c>
      <c r="I217" s="17">
        <v>43739</v>
      </c>
      <c r="J217" s="17">
        <v>43769</v>
      </c>
      <c r="K217" s="3">
        <f>J217-I217+1</f>
        <v>31</v>
      </c>
      <c r="L217" s="3">
        <f>ROUND(G217*H217*K217/365,0)</f>
        <v>122301</v>
      </c>
      <c r="M217" s="3">
        <v>96000000</v>
      </c>
    </row>
    <row r="218" spans="1:13" s="16" customFormat="1" outlineLevel="2">
      <c r="A218" s="17" t="s">
        <v>55</v>
      </c>
      <c r="B218" s="18" t="s">
        <v>178</v>
      </c>
      <c r="C218" s="19" t="s">
        <v>51</v>
      </c>
      <c r="D218" s="18" t="s">
        <v>50</v>
      </c>
      <c r="E218" s="3">
        <v>347000000</v>
      </c>
      <c r="F218" s="17">
        <v>43656</v>
      </c>
      <c r="G218" s="3">
        <v>347000000</v>
      </c>
      <c r="H218" s="2">
        <v>1.4999999999999999E-2</v>
      </c>
      <c r="I218" s="17">
        <v>43739</v>
      </c>
      <c r="J218" s="17">
        <v>43769</v>
      </c>
      <c r="K218" s="3">
        <f>J218-I218+1</f>
        <v>31</v>
      </c>
      <c r="L218" s="3">
        <f>ROUND(G218*H218*K218/365,0)</f>
        <v>442068</v>
      </c>
      <c r="M218" s="3">
        <v>347000000</v>
      </c>
    </row>
    <row r="219" spans="1:13" s="16" customFormat="1" outlineLevel="2">
      <c r="A219" s="17" t="s">
        <v>55</v>
      </c>
      <c r="B219" s="18" t="s">
        <v>177</v>
      </c>
      <c r="C219" s="19" t="s">
        <v>159</v>
      </c>
      <c r="D219" s="18" t="s">
        <v>158</v>
      </c>
      <c r="E219" s="3">
        <v>93146000</v>
      </c>
      <c r="F219" s="17">
        <v>43663</v>
      </c>
      <c r="G219" s="3">
        <v>93146000</v>
      </c>
      <c r="H219" s="2">
        <v>1.4999999999999999E-2</v>
      </c>
      <c r="I219" s="17">
        <v>43739</v>
      </c>
      <c r="J219" s="17">
        <v>43769</v>
      </c>
      <c r="K219" s="3">
        <f>J219-I219+1</f>
        <v>31</v>
      </c>
      <c r="L219" s="3">
        <f>ROUND(G219*H219*K219/365,0)</f>
        <v>118665</v>
      </c>
      <c r="M219" s="3">
        <v>93146000</v>
      </c>
    </row>
    <row r="220" spans="1:13" s="16" customFormat="1" outlineLevel="2">
      <c r="A220" s="17" t="s">
        <v>55</v>
      </c>
      <c r="B220" s="18" t="s">
        <v>176</v>
      </c>
      <c r="C220" s="19" t="s">
        <v>159</v>
      </c>
      <c r="D220" s="18" t="s">
        <v>158</v>
      </c>
      <c r="E220" s="3">
        <v>44447000</v>
      </c>
      <c r="F220" s="17">
        <v>43663</v>
      </c>
      <c r="G220" s="3">
        <v>44447000</v>
      </c>
      <c r="H220" s="2">
        <v>1.4999999999999999E-2</v>
      </c>
      <c r="I220" s="17">
        <v>43739</v>
      </c>
      <c r="J220" s="17">
        <v>43769</v>
      </c>
      <c r="K220" s="3">
        <f>J220-I220+1</f>
        <v>31</v>
      </c>
      <c r="L220" s="3">
        <f>ROUND(G220*H220*K220/365,0)</f>
        <v>56624</v>
      </c>
      <c r="M220" s="3">
        <v>44447000</v>
      </c>
    </row>
    <row r="221" spans="1:13" s="16" customFormat="1" outlineLevel="2">
      <c r="A221" s="17" t="s">
        <v>55</v>
      </c>
      <c r="B221" s="18" t="s">
        <v>175</v>
      </c>
      <c r="C221" s="19" t="s">
        <v>183</v>
      </c>
      <c r="D221" s="18" t="s">
        <v>182</v>
      </c>
      <c r="E221" s="3">
        <v>21200000</v>
      </c>
      <c r="F221" s="17">
        <v>43672</v>
      </c>
      <c r="G221" s="3">
        <v>21200000</v>
      </c>
      <c r="H221" s="2">
        <v>5.0000000000000001E-3</v>
      </c>
      <c r="I221" s="17">
        <v>43739</v>
      </c>
      <c r="J221" s="17">
        <v>43769</v>
      </c>
      <c r="K221" s="3">
        <f>J221-I221+1</f>
        <v>31</v>
      </c>
      <c r="L221" s="3">
        <f>ROUND(G221*H221*K221/365,0)</f>
        <v>9003</v>
      </c>
      <c r="M221" s="3">
        <v>21200000</v>
      </c>
    </row>
    <row r="222" spans="1:13" s="16" customFormat="1" outlineLevel="2">
      <c r="A222" s="17" t="s">
        <v>55</v>
      </c>
      <c r="B222" s="18" t="s">
        <v>174</v>
      </c>
      <c r="C222" s="19" t="s">
        <v>43</v>
      </c>
      <c r="D222" s="18" t="s">
        <v>26</v>
      </c>
      <c r="E222" s="3">
        <v>1858500</v>
      </c>
      <c r="F222" s="17">
        <v>43675</v>
      </c>
      <c r="G222" s="3">
        <v>1858500</v>
      </c>
      <c r="H222" s="2">
        <v>1.4999999999999999E-2</v>
      </c>
      <c r="I222" s="17">
        <v>43739</v>
      </c>
      <c r="J222" s="17">
        <v>43769</v>
      </c>
      <c r="K222" s="3">
        <f>J222-I222+1</f>
        <v>31</v>
      </c>
      <c r="L222" s="3">
        <f>ROUND(G222*H222*K222/365,0)</f>
        <v>2368</v>
      </c>
      <c r="M222" s="3">
        <v>1858500</v>
      </c>
    </row>
    <row r="223" spans="1:13" s="16" customFormat="1" outlineLevel="2">
      <c r="A223" s="17" t="s">
        <v>55</v>
      </c>
      <c r="B223" s="18" t="s">
        <v>171</v>
      </c>
      <c r="C223" s="19" t="s">
        <v>198</v>
      </c>
      <c r="D223" s="18" t="s">
        <v>197</v>
      </c>
      <c r="E223" s="3">
        <v>980000000</v>
      </c>
      <c r="F223" s="17">
        <v>43671</v>
      </c>
      <c r="G223" s="3">
        <v>980000000</v>
      </c>
      <c r="H223" s="2">
        <v>1.4999999999999999E-2</v>
      </c>
      <c r="I223" s="17">
        <v>43739</v>
      </c>
      <c r="J223" s="17">
        <v>43769</v>
      </c>
      <c r="K223" s="3">
        <f>J223-I223+1</f>
        <v>31</v>
      </c>
      <c r="L223" s="3">
        <f>ROUND(G223*H223*K223/365,0)</f>
        <v>1248493</v>
      </c>
      <c r="M223" s="3">
        <v>980000000</v>
      </c>
    </row>
    <row r="224" spans="1:13" s="16" customFormat="1" outlineLevel="2">
      <c r="A224" s="17" t="s">
        <v>55</v>
      </c>
      <c r="B224" s="18" t="s">
        <v>170</v>
      </c>
      <c r="C224" s="19" t="s">
        <v>188</v>
      </c>
      <c r="D224" s="18" t="s">
        <v>187</v>
      </c>
      <c r="E224" s="3">
        <v>7302000</v>
      </c>
      <c r="F224" s="17">
        <v>43661</v>
      </c>
      <c r="G224" s="3">
        <v>7302000</v>
      </c>
      <c r="H224" s="2">
        <v>1.4999999999999999E-2</v>
      </c>
      <c r="I224" s="17">
        <v>43739</v>
      </c>
      <c r="J224" s="17">
        <v>43769</v>
      </c>
      <c r="K224" s="3">
        <f>J224-I224+1</f>
        <v>31</v>
      </c>
      <c r="L224" s="3">
        <f>ROUND(G224*H224*K224/365,0)</f>
        <v>9303</v>
      </c>
      <c r="M224" s="3">
        <v>7302000</v>
      </c>
    </row>
    <row r="225" spans="1:13" s="16" customFormat="1" outlineLevel="2">
      <c r="A225" s="17" t="s">
        <v>55</v>
      </c>
      <c r="B225" s="18" t="s">
        <v>31</v>
      </c>
      <c r="C225" s="19" t="s">
        <v>54</v>
      </c>
      <c r="D225" s="18" t="s">
        <v>34</v>
      </c>
      <c r="E225" s="3">
        <v>11202000</v>
      </c>
      <c r="F225" s="17">
        <v>43641</v>
      </c>
      <c r="G225" s="3">
        <v>11202000</v>
      </c>
      <c r="H225" s="2">
        <v>1.4999999999999999E-2</v>
      </c>
      <c r="I225" s="17">
        <v>43739</v>
      </c>
      <c r="J225" s="17">
        <v>43769</v>
      </c>
      <c r="K225" s="3">
        <f>J225-I225+1</f>
        <v>31</v>
      </c>
      <c r="L225" s="3">
        <f>ROUND(G225*H225*K225/365,0)</f>
        <v>14271</v>
      </c>
      <c r="M225" s="3">
        <v>11202000</v>
      </c>
    </row>
    <row r="226" spans="1:13" s="16" customFormat="1" outlineLevel="2">
      <c r="A226" s="17" t="s">
        <v>55</v>
      </c>
      <c r="B226" s="18" t="s">
        <v>169</v>
      </c>
      <c r="C226" s="19" t="s">
        <v>188</v>
      </c>
      <c r="D226" s="18" t="s">
        <v>187</v>
      </c>
      <c r="E226" s="3">
        <v>98492000</v>
      </c>
      <c r="F226" s="17">
        <v>43661</v>
      </c>
      <c r="G226" s="3">
        <v>98492000</v>
      </c>
      <c r="H226" s="2">
        <v>1.4999999999999999E-2</v>
      </c>
      <c r="I226" s="17">
        <v>43739</v>
      </c>
      <c r="J226" s="17">
        <v>43769</v>
      </c>
      <c r="K226" s="3">
        <f>J226-I226+1</f>
        <v>31</v>
      </c>
      <c r="L226" s="3">
        <f>ROUND(G226*H226*K226/365,0)</f>
        <v>125476</v>
      </c>
      <c r="M226" s="3">
        <v>98492000</v>
      </c>
    </row>
    <row r="227" spans="1:13" s="16" customFormat="1" outlineLevel="2">
      <c r="A227" s="17" t="s">
        <v>55</v>
      </c>
      <c r="B227" s="18" t="s">
        <v>168</v>
      </c>
      <c r="C227" s="19" t="s">
        <v>54</v>
      </c>
      <c r="D227" s="18" t="s">
        <v>34</v>
      </c>
      <c r="E227" s="3">
        <v>23686000</v>
      </c>
      <c r="F227" s="17">
        <v>43682</v>
      </c>
      <c r="G227" s="3">
        <v>23686000</v>
      </c>
      <c r="H227" s="2">
        <v>1.4999999999999999E-2</v>
      </c>
      <c r="I227" s="17">
        <v>43739</v>
      </c>
      <c r="J227" s="17">
        <v>43769</v>
      </c>
      <c r="K227" s="3">
        <f>J227-I227+1</f>
        <v>31</v>
      </c>
      <c r="L227" s="3">
        <f>ROUND(G227*H227*K227/365,0)</f>
        <v>30175</v>
      </c>
      <c r="M227" s="3">
        <v>23686000</v>
      </c>
    </row>
    <row r="228" spans="1:13" s="16" customFormat="1" outlineLevel="2">
      <c r="A228" s="17" t="s">
        <v>55</v>
      </c>
      <c r="B228" s="18" t="s">
        <v>167</v>
      </c>
      <c r="C228" s="19" t="s">
        <v>54</v>
      </c>
      <c r="D228" s="18" t="s">
        <v>34</v>
      </c>
      <c r="E228" s="3">
        <v>3080000</v>
      </c>
      <c r="F228" s="17">
        <v>43692</v>
      </c>
      <c r="G228" s="3">
        <v>3080000</v>
      </c>
      <c r="H228" s="2">
        <v>1.4999999999999999E-2</v>
      </c>
      <c r="I228" s="17">
        <v>43739</v>
      </c>
      <c r="J228" s="17">
        <v>43769</v>
      </c>
      <c r="K228" s="3">
        <f>J228-I228+1</f>
        <v>31</v>
      </c>
      <c r="L228" s="3">
        <f>ROUND(G228*H228*K228/365,0)</f>
        <v>3924</v>
      </c>
      <c r="M228" s="3">
        <v>3080000</v>
      </c>
    </row>
    <row r="229" spans="1:13" s="16" customFormat="1" outlineLevel="2">
      <c r="A229" s="17" t="s">
        <v>55</v>
      </c>
      <c r="B229" s="18" t="s">
        <v>166</v>
      </c>
      <c r="C229" s="19" t="s">
        <v>54</v>
      </c>
      <c r="D229" s="18" t="s">
        <v>34</v>
      </c>
      <c r="E229" s="3">
        <v>1506000</v>
      </c>
      <c r="F229" s="17">
        <v>43696</v>
      </c>
      <c r="G229" s="3">
        <v>1506000</v>
      </c>
      <c r="H229" s="2">
        <v>1.4999999999999999E-2</v>
      </c>
      <c r="I229" s="17">
        <v>43739</v>
      </c>
      <c r="J229" s="17">
        <v>43769</v>
      </c>
      <c r="K229" s="3">
        <f>J229-I229+1</f>
        <v>31</v>
      </c>
      <c r="L229" s="3">
        <f>ROUND(G229*H229*K229/365,0)</f>
        <v>1919</v>
      </c>
      <c r="M229" s="3">
        <v>1506000</v>
      </c>
    </row>
    <row r="230" spans="1:13" s="16" customFormat="1" outlineLevel="2">
      <c r="A230" s="17" t="s">
        <v>55</v>
      </c>
      <c r="B230" s="18" t="s">
        <v>165</v>
      </c>
      <c r="C230" s="19" t="s">
        <v>54</v>
      </c>
      <c r="D230" s="18" t="s">
        <v>34</v>
      </c>
      <c r="E230" s="3">
        <v>12655000</v>
      </c>
      <c r="F230" s="17">
        <v>43703</v>
      </c>
      <c r="G230" s="3">
        <v>12655000</v>
      </c>
      <c r="H230" s="2">
        <v>1.4999999999999999E-2</v>
      </c>
      <c r="I230" s="17">
        <v>43739</v>
      </c>
      <c r="J230" s="17">
        <v>43769</v>
      </c>
      <c r="K230" s="3">
        <f>J230-I230+1</f>
        <v>31</v>
      </c>
      <c r="L230" s="3">
        <f>ROUND(G230*H230*K230/365,0)</f>
        <v>16122</v>
      </c>
      <c r="M230" s="3">
        <v>12655000</v>
      </c>
    </row>
    <row r="231" spans="1:13" s="16" customFormat="1" outlineLevel="2">
      <c r="A231" s="17" t="s">
        <v>55</v>
      </c>
      <c r="B231" s="18" t="s">
        <v>164</v>
      </c>
      <c r="C231" s="19" t="s">
        <v>51</v>
      </c>
      <c r="D231" s="18" t="s">
        <v>50</v>
      </c>
      <c r="E231" s="3">
        <v>45000000</v>
      </c>
      <c r="F231" s="17">
        <v>43698</v>
      </c>
      <c r="G231" s="3">
        <v>45000000</v>
      </c>
      <c r="H231" s="2">
        <v>1.4999999999999999E-2</v>
      </c>
      <c r="I231" s="17">
        <v>43739</v>
      </c>
      <c r="J231" s="17">
        <v>43769</v>
      </c>
      <c r="K231" s="3">
        <f>J231-I231+1</f>
        <v>31</v>
      </c>
      <c r="L231" s="3">
        <f>ROUND(G231*H231*K231/365,0)</f>
        <v>57329</v>
      </c>
      <c r="M231" s="3">
        <v>45000000</v>
      </c>
    </row>
    <row r="232" spans="1:13" s="16" customFormat="1" outlineLevel="2">
      <c r="A232" s="17" t="s">
        <v>55</v>
      </c>
      <c r="B232" s="18" t="s">
        <v>161</v>
      </c>
      <c r="C232" s="19" t="s">
        <v>159</v>
      </c>
      <c r="D232" s="18" t="s">
        <v>158</v>
      </c>
      <c r="E232" s="3">
        <v>21241000</v>
      </c>
      <c r="F232" s="17">
        <v>43693</v>
      </c>
      <c r="G232" s="3">
        <v>21241000</v>
      </c>
      <c r="H232" s="2">
        <v>1.4999999999999999E-2</v>
      </c>
      <c r="I232" s="17">
        <v>43739</v>
      </c>
      <c r="J232" s="17">
        <v>43769</v>
      </c>
      <c r="K232" s="3">
        <f>J232-I232+1</f>
        <v>31</v>
      </c>
      <c r="L232" s="3">
        <f>ROUND(G232*H232*K232/365,0)</f>
        <v>27060</v>
      </c>
      <c r="M232" s="3">
        <v>21241000</v>
      </c>
    </row>
    <row r="233" spans="1:13" s="16" customFormat="1" outlineLevel="2">
      <c r="A233" s="17" t="s">
        <v>55</v>
      </c>
      <c r="B233" s="18" t="s">
        <v>160</v>
      </c>
      <c r="C233" s="19" t="s">
        <v>159</v>
      </c>
      <c r="D233" s="18" t="s">
        <v>158</v>
      </c>
      <c r="E233" s="3">
        <v>7741000</v>
      </c>
      <c r="F233" s="17">
        <v>43693</v>
      </c>
      <c r="G233" s="3">
        <v>7741000</v>
      </c>
      <c r="H233" s="2">
        <v>1.4999999999999999E-2</v>
      </c>
      <c r="I233" s="17">
        <v>43739</v>
      </c>
      <c r="J233" s="17">
        <v>43769</v>
      </c>
      <c r="K233" s="3">
        <f>J233-I233+1</f>
        <v>31</v>
      </c>
      <c r="L233" s="3">
        <f>ROUND(G233*H233*K233/365,0)</f>
        <v>9862</v>
      </c>
      <c r="M233" s="3">
        <v>7741000</v>
      </c>
    </row>
    <row r="234" spans="1:13" s="16" customFormat="1" outlineLevel="2">
      <c r="A234" s="17" t="s">
        <v>55</v>
      </c>
      <c r="B234" s="18" t="s">
        <v>157</v>
      </c>
      <c r="C234" s="19" t="s">
        <v>183</v>
      </c>
      <c r="D234" s="18" t="s">
        <v>182</v>
      </c>
      <c r="E234" s="3">
        <v>14360000</v>
      </c>
      <c r="F234" s="17">
        <v>43696</v>
      </c>
      <c r="G234" s="3">
        <v>14360000</v>
      </c>
      <c r="H234" s="2">
        <v>5.0000000000000001E-3</v>
      </c>
      <c r="I234" s="17">
        <v>43739</v>
      </c>
      <c r="J234" s="17">
        <v>43769</v>
      </c>
      <c r="K234" s="3">
        <f>J234-I234+1</f>
        <v>31</v>
      </c>
      <c r="L234" s="3">
        <f>ROUND(G234*H234*K234/365,0)</f>
        <v>6098</v>
      </c>
      <c r="M234" s="3">
        <v>14360000</v>
      </c>
    </row>
    <row r="235" spans="1:13" s="16" customFormat="1" outlineLevel="2">
      <c r="A235" s="17" t="s">
        <v>55</v>
      </c>
      <c r="B235" s="18" t="s">
        <v>156</v>
      </c>
      <c r="C235" s="19" t="s">
        <v>183</v>
      </c>
      <c r="D235" s="18" t="s">
        <v>182</v>
      </c>
      <c r="E235" s="3">
        <v>10871559</v>
      </c>
      <c r="F235" s="17">
        <v>43684</v>
      </c>
      <c r="G235" s="3">
        <v>10871559</v>
      </c>
      <c r="H235" s="2">
        <v>5.0000000000000001E-3</v>
      </c>
      <c r="I235" s="17">
        <v>43739</v>
      </c>
      <c r="J235" s="17">
        <v>43769</v>
      </c>
      <c r="K235" s="3">
        <f>J235-I235+1</f>
        <v>31</v>
      </c>
      <c r="L235" s="3">
        <f>ROUND(G235*H235*K235/365,0)</f>
        <v>4617</v>
      </c>
      <c r="M235" s="3">
        <v>10871559</v>
      </c>
    </row>
    <row r="236" spans="1:13" s="16" customFormat="1" outlineLevel="2">
      <c r="A236" s="17" t="s">
        <v>55</v>
      </c>
      <c r="B236" s="18" t="s">
        <v>30</v>
      </c>
      <c r="C236" s="19" t="s">
        <v>54</v>
      </c>
      <c r="D236" s="18" t="s">
        <v>34</v>
      </c>
      <c r="E236" s="3">
        <v>2382000</v>
      </c>
      <c r="F236" s="17">
        <v>43647</v>
      </c>
      <c r="G236" s="3">
        <v>2382000</v>
      </c>
      <c r="H236" s="2">
        <v>1.4999999999999999E-2</v>
      </c>
      <c r="I236" s="17">
        <v>43739</v>
      </c>
      <c r="J236" s="17">
        <v>43769</v>
      </c>
      <c r="K236" s="3">
        <f>J236-I236+1</f>
        <v>31</v>
      </c>
      <c r="L236" s="3">
        <f>ROUND(G236*H236*K236/365,0)</f>
        <v>3035</v>
      </c>
      <c r="M236" s="3">
        <v>2382000</v>
      </c>
    </row>
    <row r="237" spans="1:13" s="16" customFormat="1" outlineLevel="2">
      <c r="A237" s="17" t="s">
        <v>55</v>
      </c>
      <c r="B237" s="18" t="s">
        <v>155</v>
      </c>
      <c r="C237" s="19" t="s">
        <v>183</v>
      </c>
      <c r="D237" s="18" t="s">
        <v>182</v>
      </c>
      <c r="E237" s="3">
        <v>7669734</v>
      </c>
      <c r="F237" s="17">
        <v>43684</v>
      </c>
      <c r="G237" s="3">
        <v>7669734</v>
      </c>
      <c r="H237" s="2">
        <v>5.0000000000000001E-3</v>
      </c>
      <c r="I237" s="17">
        <v>43739</v>
      </c>
      <c r="J237" s="17">
        <v>43769</v>
      </c>
      <c r="K237" s="3">
        <f>J237-I237+1</f>
        <v>31</v>
      </c>
      <c r="L237" s="3">
        <f>ROUND(G237*H237*K237/365,0)</f>
        <v>3257</v>
      </c>
      <c r="M237" s="3">
        <v>7669734</v>
      </c>
    </row>
    <row r="238" spans="1:13" s="16" customFormat="1" outlineLevel="2">
      <c r="A238" s="17" t="s">
        <v>55</v>
      </c>
      <c r="B238" s="18" t="s">
        <v>154</v>
      </c>
      <c r="C238" s="19" t="s">
        <v>183</v>
      </c>
      <c r="D238" s="18" t="s">
        <v>182</v>
      </c>
      <c r="E238" s="3">
        <v>10512413</v>
      </c>
      <c r="F238" s="17">
        <v>43689</v>
      </c>
      <c r="G238" s="3">
        <v>10512413</v>
      </c>
      <c r="H238" s="2">
        <v>5.0000000000000001E-3</v>
      </c>
      <c r="I238" s="17">
        <v>43739</v>
      </c>
      <c r="J238" s="17">
        <v>43769</v>
      </c>
      <c r="K238" s="3">
        <f>J238-I238+1</f>
        <v>31</v>
      </c>
      <c r="L238" s="3">
        <f>ROUND(G238*H238*K238/365,0)</f>
        <v>4464</v>
      </c>
      <c r="M238" s="3">
        <v>10512413</v>
      </c>
    </row>
    <row r="239" spans="1:13" s="16" customFormat="1" outlineLevel="2">
      <c r="A239" s="17" t="s">
        <v>55</v>
      </c>
      <c r="B239" s="18" t="s">
        <v>153</v>
      </c>
      <c r="C239" s="19" t="s">
        <v>183</v>
      </c>
      <c r="D239" s="18" t="s">
        <v>182</v>
      </c>
      <c r="E239" s="3">
        <v>10012074</v>
      </c>
      <c r="F239" s="17">
        <v>43705</v>
      </c>
      <c r="G239" s="3">
        <v>10012074</v>
      </c>
      <c r="H239" s="2">
        <v>5.0000000000000001E-3</v>
      </c>
      <c r="I239" s="17">
        <v>43739</v>
      </c>
      <c r="J239" s="17">
        <v>43769</v>
      </c>
      <c r="K239" s="3">
        <f>J239-I239+1</f>
        <v>31</v>
      </c>
      <c r="L239" s="3">
        <f>ROUND(G239*H239*K239/365,0)</f>
        <v>4252</v>
      </c>
      <c r="M239" s="3">
        <v>10012074</v>
      </c>
    </row>
    <row r="240" spans="1:13" s="16" customFormat="1" outlineLevel="2">
      <c r="A240" s="17" t="s">
        <v>55</v>
      </c>
      <c r="B240" s="18" t="s">
        <v>152</v>
      </c>
      <c r="C240" s="19" t="s">
        <v>43</v>
      </c>
      <c r="D240" s="18" t="s">
        <v>26</v>
      </c>
      <c r="E240" s="3">
        <v>18630500</v>
      </c>
      <c r="F240" s="17">
        <v>43685</v>
      </c>
      <c r="G240" s="3">
        <v>18630500</v>
      </c>
      <c r="H240" s="2">
        <v>1.4999999999999999E-2</v>
      </c>
      <c r="I240" s="17">
        <v>43739</v>
      </c>
      <c r="J240" s="17">
        <v>43769</v>
      </c>
      <c r="K240" s="3">
        <f>J240-I240+1</f>
        <v>31</v>
      </c>
      <c r="L240" s="3">
        <f>ROUND(G240*H240*K240/365,0)</f>
        <v>23735</v>
      </c>
      <c r="M240" s="3">
        <v>18630500</v>
      </c>
    </row>
    <row r="241" spans="1:13" s="16" customFormat="1" outlineLevel="2">
      <c r="A241" s="17" t="s">
        <v>55</v>
      </c>
      <c r="B241" s="18" t="s">
        <v>151</v>
      </c>
      <c r="C241" s="19" t="s">
        <v>43</v>
      </c>
      <c r="D241" s="18" t="s">
        <v>26</v>
      </c>
      <c r="E241" s="3">
        <v>54790672</v>
      </c>
      <c r="F241" s="17">
        <v>43696</v>
      </c>
      <c r="G241" s="3">
        <v>54790672</v>
      </c>
      <c r="H241" s="2">
        <v>1.4999999999999999E-2</v>
      </c>
      <c r="I241" s="17">
        <v>43739</v>
      </c>
      <c r="J241" s="17">
        <v>43769</v>
      </c>
      <c r="K241" s="3">
        <f>J241-I241+1</f>
        <v>31</v>
      </c>
      <c r="L241" s="3">
        <f>ROUND(G241*H241*K241/365,0)</f>
        <v>69802</v>
      </c>
      <c r="M241" s="3">
        <v>54790672</v>
      </c>
    </row>
    <row r="242" spans="1:13" s="16" customFormat="1" outlineLevel="2">
      <c r="A242" s="17" t="s">
        <v>55</v>
      </c>
      <c r="B242" s="18" t="s">
        <v>196</v>
      </c>
      <c r="C242" s="19" t="s">
        <v>43</v>
      </c>
      <c r="D242" s="18" t="s">
        <v>26</v>
      </c>
      <c r="E242" s="3">
        <v>13244438</v>
      </c>
      <c r="F242" s="17">
        <v>43705</v>
      </c>
      <c r="G242" s="3">
        <v>13244438</v>
      </c>
      <c r="H242" s="2">
        <v>1.4999999999999999E-2</v>
      </c>
      <c r="I242" s="17">
        <v>43739</v>
      </c>
      <c r="J242" s="17">
        <v>43769</v>
      </c>
      <c r="K242" s="3">
        <f>J242-I242+1</f>
        <v>31</v>
      </c>
      <c r="L242" s="3">
        <f>ROUND(G242*H242*K242/365,0)</f>
        <v>16873</v>
      </c>
      <c r="M242" s="3">
        <v>13244438</v>
      </c>
    </row>
    <row r="243" spans="1:13" s="16" customFormat="1" outlineLevel="2">
      <c r="A243" s="17" t="s">
        <v>55</v>
      </c>
      <c r="B243" s="18" t="s">
        <v>195</v>
      </c>
      <c r="C243" s="19" t="s">
        <v>43</v>
      </c>
      <c r="D243" s="18" t="s">
        <v>26</v>
      </c>
      <c r="E243" s="3">
        <v>6140736</v>
      </c>
      <c r="F243" s="17">
        <v>43685</v>
      </c>
      <c r="G243" s="3">
        <v>6140736</v>
      </c>
      <c r="H243" s="2">
        <v>1.4999999999999999E-2</v>
      </c>
      <c r="I243" s="17">
        <v>43739</v>
      </c>
      <c r="J243" s="17">
        <v>43769</v>
      </c>
      <c r="K243" s="3">
        <f>J243-I243+1</f>
        <v>31</v>
      </c>
      <c r="L243" s="3">
        <f>ROUND(G243*H243*K243/365,0)</f>
        <v>7823</v>
      </c>
      <c r="M243" s="3">
        <v>6140736</v>
      </c>
    </row>
    <row r="244" spans="1:13" s="16" customFormat="1" outlineLevel="2">
      <c r="A244" s="17" t="s">
        <v>55</v>
      </c>
      <c r="B244" s="18" t="s">
        <v>194</v>
      </c>
      <c r="C244" s="19" t="s">
        <v>43</v>
      </c>
      <c r="D244" s="18" t="s">
        <v>26</v>
      </c>
      <c r="E244" s="3">
        <v>5716241</v>
      </c>
      <c r="F244" s="17">
        <v>43696</v>
      </c>
      <c r="G244" s="3">
        <v>5716241</v>
      </c>
      <c r="H244" s="2">
        <v>1.4999999999999999E-2</v>
      </c>
      <c r="I244" s="17">
        <v>43739</v>
      </c>
      <c r="J244" s="17">
        <v>43769</v>
      </c>
      <c r="K244" s="3">
        <f>J244-I244+1</f>
        <v>31</v>
      </c>
      <c r="L244" s="3">
        <f>ROUND(G244*H244*K244/365,0)</f>
        <v>7282</v>
      </c>
      <c r="M244" s="3">
        <v>5716241</v>
      </c>
    </row>
    <row r="245" spans="1:13" s="16" customFormat="1" outlineLevel="2">
      <c r="A245" s="17" t="s">
        <v>55</v>
      </c>
      <c r="B245" s="18" t="s">
        <v>193</v>
      </c>
      <c r="C245" s="19" t="s">
        <v>43</v>
      </c>
      <c r="D245" s="18" t="s">
        <v>26</v>
      </c>
      <c r="E245" s="3">
        <v>10167768</v>
      </c>
      <c r="F245" s="17">
        <v>43705</v>
      </c>
      <c r="G245" s="3">
        <v>10167768</v>
      </c>
      <c r="H245" s="2">
        <v>1.4999999999999999E-2</v>
      </c>
      <c r="I245" s="17">
        <v>43739</v>
      </c>
      <c r="J245" s="17">
        <v>43769</v>
      </c>
      <c r="K245" s="3">
        <f>J245-I245+1</f>
        <v>31</v>
      </c>
      <c r="L245" s="3">
        <f>ROUND(G245*H245*K245/365,0)</f>
        <v>12953</v>
      </c>
      <c r="M245" s="3">
        <v>10167768</v>
      </c>
    </row>
    <row r="246" spans="1:13" s="16" customFormat="1" outlineLevel="2">
      <c r="A246" s="17" t="s">
        <v>55</v>
      </c>
      <c r="B246" s="18" t="s">
        <v>192</v>
      </c>
      <c r="C246" s="19" t="s">
        <v>188</v>
      </c>
      <c r="D246" s="18" t="s">
        <v>187</v>
      </c>
      <c r="E246" s="3">
        <v>19530000</v>
      </c>
      <c r="F246" s="17">
        <v>43692</v>
      </c>
      <c r="G246" s="3">
        <v>19530000</v>
      </c>
      <c r="H246" s="2">
        <v>1.4999999999999999E-2</v>
      </c>
      <c r="I246" s="17">
        <v>43739</v>
      </c>
      <c r="J246" s="17">
        <v>43769</v>
      </c>
      <c r="K246" s="3">
        <f>J246-I246+1</f>
        <v>31</v>
      </c>
      <c r="L246" s="3">
        <f>ROUND(G246*H246*K246/365,0)</f>
        <v>24881</v>
      </c>
      <c r="M246" s="3">
        <v>19530000</v>
      </c>
    </row>
    <row r="247" spans="1:13" s="16" customFormat="1" outlineLevel="2">
      <c r="A247" s="17" t="s">
        <v>55</v>
      </c>
      <c r="B247" s="18" t="s">
        <v>28</v>
      </c>
      <c r="C247" s="19" t="s">
        <v>54</v>
      </c>
      <c r="D247" s="18" t="s">
        <v>34</v>
      </c>
      <c r="E247" s="3">
        <v>25917000</v>
      </c>
      <c r="F247" s="17">
        <v>43651</v>
      </c>
      <c r="G247" s="3">
        <v>25917000</v>
      </c>
      <c r="H247" s="2">
        <v>1.4999999999999999E-2</v>
      </c>
      <c r="I247" s="17">
        <v>43739</v>
      </c>
      <c r="J247" s="17">
        <v>43769</v>
      </c>
      <c r="K247" s="3">
        <f>J247-I247+1</f>
        <v>31</v>
      </c>
      <c r="L247" s="3">
        <f>ROUND(G247*H247*K247/365,0)</f>
        <v>33018</v>
      </c>
      <c r="M247" s="3">
        <v>25917000</v>
      </c>
    </row>
    <row r="248" spans="1:13" s="16" customFormat="1" outlineLevel="2">
      <c r="A248" s="17" t="s">
        <v>55</v>
      </c>
      <c r="B248" s="18" t="s">
        <v>191</v>
      </c>
      <c r="C248" s="19" t="s">
        <v>188</v>
      </c>
      <c r="D248" s="18" t="s">
        <v>187</v>
      </c>
      <c r="E248" s="3">
        <v>1096000</v>
      </c>
      <c r="F248" s="17">
        <v>43707</v>
      </c>
      <c r="G248" s="3">
        <v>1096000</v>
      </c>
      <c r="H248" s="2">
        <v>1.4999999999999999E-2</v>
      </c>
      <c r="I248" s="17">
        <v>43739</v>
      </c>
      <c r="J248" s="17">
        <v>43769</v>
      </c>
      <c r="K248" s="3">
        <f>J248-I248+1</f>
        <v>31</v>
      </c>
      <c r="L248" s="3">
        <f>ROUND(G248*H248*K248/365,0)</f>
        <v>1396</v>
      </c>
      <c r="M248" s="3">
        <v>1096000</v>
      </c>
    </row>
    <row r="249" spans="1:13" s="16" customFormat="1" outlineLevel="2">
      <c r="A249" s="17" t="s">
        <v>55</v>
      </c>
      <c r="B249" s="18" t="s">
        <v>190</v>
      </c>
      <c r="C249" s="19" t="s">
        <v>188</v>
      </c>
      <c r="D249" s="18" t="s">
        <v>187</v>
      </c>
      <c r="E249" s="3">
        <v>15507000</v>
      </c>
      <c r="F249" s="17">
        <v>43692</v>
      </c>
      <c r="G249" s="3">
        <v>15507000</v>
      </c>
      <c r="H249" s="2">
        <v>1.4999999999999999E-2</v>
      </c>
      <c r="I249" s="17">
        <v>43739</v>
      </c>
      <c r="J249" s="17">
        <v>43769</v>
      </c>
      <c r="K249" s="3">
        <f>J249-I249+1</f>
        <v>31</v>
      </c>
      <c r="L249" s="3">
        <f>ROUND(G249*H249*K249/365,0)</f>
        <v>19755</v>
      </c>
      <c r="M249" s="3">
        <v>15507000</v>
      </c>
    </row>
    <row r="250" spans="1:13" s="16" customFormat="1" outlineLevel="2">
      <c r="A250" s="17" t="s">
        <v>55</v>
      </c>
      <c r="B250" s="18" t="s">
        <v>189</v>
      </c>
      <c r="C250" s="19" t="s">
        <v>188</v>
      </c>
      <c r="D250" s="18" t="s">
        <v>187</v>
      </c>
      <c r="E250" s="3">
        <v>23876000</v>
      </c>
      <c r="F250" s="17">
        <v>43707</v>
      </c>
      <c r="G250" s="3">
        <v>23876000</v>
      </c>
      <c r="H250" s="2">
        <v>1.4999999999999999E-2</v>
      </c>
      <c r="I250" s="17">
        <v>43739</v>
      </c>
      <c r="J250" s="17">
        <v>43769</v>
      </c>
      <c r="K250" s="3">
        <f>J250-I250+1</f>
        <v>31</v>
      </c>
      <c r="L250" s="3">
        <f>ROUND(G250*H250*K250/365,0)</f>
        <v>30417</v>
      </c>
      <c r="M250" s="3">
        <v>23876000</v>
      </c>
    </row>
    <row r="251" spans="1:13" s="16" customFormat="1" outlineLevel="2">
      <c r="A251" s="17" t="s">
        <v>55</v>
      </c>
      <c r="B251" s="18" t="s">
        <v>186</v>
      </c>
      <c r="C251" s="19" t="s">
        <v>185</v>
      </c>
      <c r="D251" s="18" t="s">
        <v>184</v>
      </c>
      <c r="E251" s="3">
        <v>32780000</v>
      </c>
      <c r="F251" s="17">
        <v>43689</v>
      </c>
      <c r="G251" s="3">
        <v>32780000</v>
      </c>
      <c r="H251" s="2">
        <v>5.0000000000000001E-3</v>
      </c>
      <c r="I251" s="17">
        <v>43739</v>
      </c>
      <c r="J251" s="17">
        <v>43769</v>
      </c>
      <c r="K251" s="3">
        <f>J251-I251+1</f>
        <v>31</v>
      </c>
      <c r="L251" s="3">
        <f>ROUND(G251*H251*K251/365,0)</f>
        <v>13920</v>
      </c>
      <c r="M251" s="3">
        <v>32780000</v>
      </c>
    </row>
    <row r="252" spans="1:13" s="16" customFormat="1" outlineLevel="2">
      <c r="A252" s="17" t="s">
        <v>55</v>
      </c>
      <c r="B252" s="18" t="s">
        <v>228</v>
      </c>
      <c r="C252" s="19" t="s">
        <v>54</v>
      </c>
      <c r="D252" s="18" t="s">
        <v>34</v>
      </c>
      <c r="E252" s="3">
        <v>4871000</v>
      </c>
      <c r="F252" s="17">
        <v>43710</v>
      </c>
      <c r="G252" s="3">
        <v>4871000</v>
      </c>
      <c r="H252" s="2">
        <v>1.4999999999999999E-2</v>
      </c>
      <c r="I252" s="17">
        <v>43739</v>
      </c>
      <c r="J252" s="17">
        <v>43769</v>
      </c>
      <c r="K252" s="3">
        <f>J252-I252+1</f>
        <v>31</v>
      </c>
      <c r="L252" s="3">
        <f>ROUND(G252*H252*K252/365,0)</f>
        <v>6206</v>
      </c>
      <c r="M252" s="3">
        <v>4871000</v>
      </c>
    </row>
    <row r="253" spans="1:13" s="16" customFormat="1" outlineLevel="2">
      <c r="A253" s="17" t="s">
        <v>55</v>
      </c>
      <c r="B253" s="18" t="s">
        <v>227</v>
      </c>
      <c r="C253" s="19" t="s">
        <v>54</v>
      </c>
      <c r="D253" s="18" t="s">
        <v>34</v>
      </c>
      <c r="E253" s="3">
        <v>40225000</v>
      </c>
      <c r="F253" s="17">
        <v>43713</v>
      </c>
      <c r="G253" s="3">
        <v>40225000</v>
      </c>
      <c r="H253" s="2">
        <v>1.4999999999999999E-2</v>
      </c>
      <c r="I253" s="17">
        <v>43739</v>
      </c>
      <c r="J253" s="17">
        <v>43769</v>
      </c>
      <c r="K253" s="3">
        <f>J253-I253+1</f>
        <v>31</v>
      </c>
      <c r="L253" s="3">
        <f>ROUND(G253*H253*K253/365,0)</f>
        <v>51246</v>
      </c>
      <c r="M253" s="3">
        <v>40225000</v>
      </c>
    </row>
    <row r="254" spans="1:13" s="16" customFormat="1" outlineLevel="2">
      <c r="A254" s="17" t="s">
        <v>55</v>
      </c>
      <c r="B254" s="18" t="s">
        <v>226</v>
      </c>
      <c r="C254" s="19" t="s">
        <v>54</v>
      </c>
      <c r="D254" s="18" t="s">
        <v>34</v>
      </c>
      <c r="E254" s="3">
        <v>9037000</v>
      </c>
      <c r="F254" s="17">
        <v>43724</v>
      </c>
      <c r="G254" s="3">
        <v>9037000</v>
      </c>
      <c r="H254" s="2">
        <v>1.4999999999999999E-2</v>
      </c>
      <c r="I254" s="17">
        <v>43739</v>
      </c>
      <c r="J254" s="17">
        <v>43769</v>
      </c>
      <c r="K254" s="3">
        <f>J254-I254+1</f>
        <v>31</v>
      </c>
      <c r="L254" s="3">
        <f>ROUND(G254*H254*K254/365,0)</f>
        <v>11513</v>
      </c>
      <c r="M254" s="3">
        <v>9037000</v>
      </c>
    </row>
    <row r="255" spans="1:13" s="16" customFormat="1" outlineLevel="2">
      <c r="A255" s="17" t="s">
        <v>55</v>
      </c>
      <c r="B255" s="18" t="s">
        <v>223</v>
      </c>
      <c r="C255" s="19" t="s">
        <v>54</v>
      </c>
      <c r="D255" s="18" t="s">
        <v>34</v>
      </c>
      <c r="E255" s="3">
        <v>849000</v>
      </c>
      <c r="F255" s="17">
        <v>43732</v>
      </c>
      <c r="G255" s="3">
        <v>849000</v>
      </c>
      <c r="H255" s="2">
        <v>1.4999999999999999E-2</v>
      </c>
      <c r="I255" s="17">
        <v>43739</v>
      </c>
      <c r="J255" s="17">
        <v>43769</v>
      </c>
      <c r="K255" s="3">
        <f>J255-I255+1</f>
        <v>31</v>
      </c>
      <c r="L255" s="3">
        <f>ROUND(G255*H255*K255/365,0)</f>
        <v>1082</v>
      </c>
      <c r="M255" s="3">
        <v>849000</v>
      </c>
    </row>
    <row r="256" spans="1:13" s="16" customFormat="1" outlineLevel="2">
      <c r="A256" s="17" t="s">
        <v>55</v>
      </c>
      <c r="B256" s="18" t="s">
        <v>241</v>
      </c>
      <c r="C256" s="19" t="s">
        <v>54</v>
      </c>
      <c r="D256" s="18" t="s">
        <v>34</v>
      </c>
      <c r="E256" s="3">
        <v>27422000</v>
      </c>
      <c r="F256" s="17">
        <v>43733</v>
      </c>
      <c r="G256" s="3">
        <v>27422000</v>
      </c>
      <c r="H256" s="2">
        <v>1.4999999999999999E-2</v>
      </c>
      <c r="I256" s="17">
        <v>43739</v>
      </c>
      <c r="J256" s="17">
        <v>43769</v>
      </c>
      <c r="K256" s="3">
        <f>J256-I256+1</f>
        <v>31</v>
      </c>
      <c r="L256" s="3">
        <f>ROUND(G256*H256*K256/365,0)</f>
        <v>34935</v>
      </c>
      <c r="M256" s="3">
        <v>27422000</v>
      </c>
    </row>
    <row r="257" spans="1:13" s="16" customFormat="1" outlineLevel="2">
      <c r="A257" s="17" t="s">
        <v>55</v>
      </c>
      <c r="B257" s="18" t="s">
        <v>240</v>
      </c>
      <c r="C257" s="19" t="s">
        <v>51</v>
      </c>
      <c r="D257" s="18" t="s">
        <v>50</v>
      </c>
      <c r="E257" s="3">
        <v>8000000</v>
      </c>
      <c r="F257" s="17">
        <v>43720</v>
      </c>
      <c r="G257" s="3">
        <v>8000000</v>
      </c>
      <c r="H257" s="2">
        <v>1.4999999999999999E-2</v>
      </c>
      <c r="I257" s="17">
        <v>43739</v>
      </c>
      <c r="J257" s="17">
        <v>43769</v>
      </c>
      <c r="K257" s="3">
        <f>J257-I257+1</f>
        <v>31</v>
      </c>
      <c r="L257" s="3">
        <f>ROUND(G257*H257*K257/365,0)</f>
        <v>10192</v>
      </c>
      <c r="M257" s="3">
        <v>8000000</v>
      </c>
    </row>
    <row r="258" spans="1:13" s="16" customFormat="1" outlineLevel="2">
      <c r="A258" s="17" t="s">
        <v>55</v>
      </c>
      <c r="B258" s="18" t="s">
        <v>48</v>
      </c>
      <c r="C258" s="19" t="s">
        <v>54</v>
      </c>
      <c r="D258" s="18" t="s">
        <v>34</v>
      </c>
      <c r="E258" s="3">
        <v>5067000</v>
      </c>
      <c r="F258" s="17">
        <v>43661</v>
      </c>
      <c r="G258" s="3">
        <v>5067000</v>
      </c>
      <c r="H258" s="2">
        <v>1.4999999999999999E-2</v>
      </c>
      <c r="I258" s="17">
        <v>43739</v>
      </c>
      <c r="J258" s="17">
        <v>43769</v>
      </c>
      <c r="K258" s="3">
        <f>J258-I258+1</f>
        <v>31</v>
      </c>
      <c r="L258" s="3">
        <f>ROUND(G258*H258*K258/365,0)</f>
        <v>6455</v>
      </c>
      <c r="M258" s="3">
        <v>5067000</v>
      </c>
    </row>
    <row r="259" spans="1:13" s="16" customFormat="1" outlineLevel="2">
      <c r="A259" s="17" t="s">
        <v>55</v>
      </c>
      <c r="B259" s="18" t="s">
        <v>239</v>
      </c>
      <c r="C259" s="19" t="s">
        <v>159</v>
      </c>
      <c r="D259" s="18" t="s">
        <v>158</v>
      </c>
      <c r="E259" s="3">
        <v>22068000</v>
      </c>
      <c r="F259" s="17">
        <v>43725</v>
      </c>
      <c r="G259" s="3">
        <v>22068000</v>
      </c>
      <c r="H259" s="2">
        <v>1.4999999999999999E-2</v>
      </c>
      <c r="I259" s="17">
        <v>43739</v>
      </c>
      <c r="J259" s="17">
        <v>43769</v>
      </c>
      <c r="K259" s="3">
        <f>J259-I259+1</f>
        <v>31</v>
      </c>
      <c r="L259" s="3">
        <f>ROUND(G259*H259*K259/365,0)</f>
        <v>28114</v>
      </c>
      <c r="M259" s="3">
        <v>22068000</v>
      </c>
    </row>
    <row r="260" spans="1:13" s="16" customFormat="1" outlineLevel="2">
      <c r="A260" s="17" t="s">
        <v>55</v>
      </c>
      <c r="B260" s="18" t="s">
        <v>238</v>
      </c>
      <c r="C260" s="19" t="s">
        <v>159</v>
      </c>
      <c r="D260" s="18" t="s">
        <v>158</v>
      </c>
      <c r="E260" s="3">
        <v>4287000</v>
      </c>
      <c r="F260" s="17">
        <v>43725</v>
      </c>
      <c r="G260" s="3">
        <v>4287000</v>
      </c>
      <c r="H260" s="2">
        <v>1.4999999999999999E-2</v>
      </c>
      <c r="I260" s="17">
        <v>43739</v>
      </c>
      <c r="J260" s="17">
        <v>43769</v>
      </c>
      <c r="K260" s="3">
        <f>J260-I260+1</f>
        <v>31</v>
      </c>
      <c r="L260" s="3">
        <f>ROUND(G260*H260*K260/365,0)</f>
        <v>5462</v>
      </c>
      <c r="M260" s="3">
        <v>4287000</v>
      </c>
    </row>
    <row r="261" spans="1:13" s="16" customFormat="1" outlineLevel="2">
      <c r="A261" s="17" t="s">
        <v>55</v>
      </c>
      <c r="B261" s="18" t="s">
        <v>237</v>
      </c>
      <c r="C261" s="19" t="s">
        <v>183</v>
      </c>
      <c r="D261" s="18" t="s">
        <v>182</v>
      </c>
      <c r="E261" s="3">
        <v>11420000</v>
      </c>
      <c r="F261" s="17">
        <v>43710</v>
      </c>
      <c r="G261" s="3">
        <v>11420000</v>
      </c>
      <c r="H261" s="2">
        <v>5.0000000000000001E-3</v>
      </c>
      <c r="I261" s="17">
        <v>43739</v>
      </c>
      <c r="J261" s="17">
        <v>43769</v>
      </c>
      <c r="K261" s="3">
        <f>J261-I261+1</f>
        <v>31</v>
      </c>
      <c r="L261" s="3">
        <f>ROUND(G261*H261*K261/365,0)</f>
        <v>4850</v>
      </c>
      <c r="M261" s="3">
        <v>11420000</v>
      </c>
    </row>
    <row r="262" spans="1:13" s="16" customFormat="1" outlineLevel="2">
      <c r="A262" s="17" t="s">
        <v>55</v>
      </c>
      <c r="B262" s="18" t="s">
        <v>236</v>
      </c>
      <c r="C262" s="19" t="s">
        <v>183</v>
      </c>
      <c r="D262" s="18" t="s">
        <v>182</v>
      </c>
      <c r="E262" s="3">
        <v>9999884</v>
      </c>
      <c r="F262" s="17">
        <v>43733</v>
      </c>
      <c r="G262" s="3">
        <v>9999884</v>
      </c>
      <c r="H262" s="2">
        <v>5.0000000000000001E-3</v>
      </c>
      <c r="I262" s="17">
        <v>43739</v>
      </c>
      <c r="J262" s="17">
        <v>43769</v>
      </c>
      <c r="K262" s="3">
        <f>J262-I262+1</f>
        <v>31</v>
      </c>
      <c r="L262" s="3">
        <f>ROUND(G262*H262*K262/365,0)</f>
        <v>4247</v>
      </c>
      <c r="M262" s="3">
        <v>9999884</v>
      </c>
    </row>
    <row r="263" spans="1:13" s="16" customFormat="1" outlineLevel="2">
      <c r="A263" s="17" t="s">
        <v>55</v>
      </c>
      <c r="B263" s="18" t="s">
        <v>235</v>
      </c>
      <c r="C263" s="19" t="s">
        <v>188</v>
      </c>
      <c r="D263" s="18" t="s">
        <v>187</v>
      </c>
      <c r="E263" s="3">
        <v>19052000</v>
      </c>
      <c r="F263" s="17">
        <v>43720</v>
      </c>
      <c r="G263" s="3">
        <v>19052000</v>
      </c>
      <c r="H263" s="2">
        <v>1.4999999999999999E-2</v>
      </c>
      <c r="I263" s="17">
        <v>43739</v>
      </c>
      <c r="J263" s="17">
        <v>43769</v>
      </c>
      <c r="K263" s="3">
        <f>J263-I263+1</f>
        <v>31</v>
      </c>
      <c r="L263" s="3">
        <f>ROUND(G263*H263*K263/365,0)</f>
        <v>24272</v>
      </c>
      <c r="M263" s="3">
        <v>19052000</v>
      </c>
    </row>
    <row r="264" spans="1:13" s="16" customFormat="1" outlineLevel="2">
      <c r="A264" s="17" t="s">
        <v>55</v>
      </c>
      <c r="B264" s="18" t="s">
        <v>234</v>
      </c>
      <c r="C264" s="19" t="s">
        <v>188</v>
      </c>
      <c r="D264" s="18" t="s">
        <v>187</v>
      </c>
      <c r="E264" s="3">
        <v>5878000</v>
      </c>
      <c r="F264" s="17">
        <v>43738</v>
      </c>
      <c r="G264" s="3">
        <v>5878000</v>
      </c>
      <c r="H264" s="2">
        <v>1.4999999999999999E-2</v>
      </c>
      <c r="I264" s="17">
        <v>43739</v>
      </c>
      <c r="J264" s="17">
        <v>43769</v>
      </c>
      <c r="K264" s="3">
        <f>J264-I264+1</f>
        <v>31</v>
      </c>
      <c r="L264" s="3">
        <f>ROUND(G264*H264*K264/365,0)</f>
        <v>7488</v>
      </c>
      <c r="M264" s="3">
        <v>5878000</v>
      </c>
    </row>
    <row r="265" spans="1:13" s="16" customFormat="1" outlineLevel="2">
      <c r="A265" s="17" t="s">
        <v>55</v>
      </c>
      <c r="B265" s="18" t="s">
        <v>231</v>
      </c>
      <c r="C265" s="19" t="s">
        <v>188</v>
      </c>
      <c r="D265" s="18" t="s">
        <v>187</v>
      </c>
      <c r="E265" s="3">
        <v>26351000</v>
      </c>
      <c r="F265" s="17">
        <v>43720</v>
      </c>
      <c r="G265" s="3">
        <v>26351000</v>
      </c>
      <c r="H265" s="2">
        <v>1.4999999999999999E-2</v>
      </c>
      <c r="I265" s="17">
        <v>43739</v>
      </c>
      <c r="J265" s="17">
        <v>43769</v>
      </c>
      <c r="K265" s="3">
        <f>J265-I265+1</f>
        <v>31</v>
      </c>
      <c r="L265" s="3">
        <f>ROUND(G265*H265*K265/365,0)</f>
        <v>33570</v>
      </c>
      <c r="M265" s="3">
        <v>26351000</v>
      </c>
    </row>
    <row r="266" spans="1:13" s="16" customFormat="1" outlineLevel="2">
      <c r="A266" s="17" t="s">
        <v>55</v>
      </c>
      <c r="B266" s="18" t="s">
        <v>268</v>
      </c>
      <c r="C266" s="19" t="s">
        <v>188</v>
      </c>
      <c r="D266" s="18" t="s">
        <v>187</v>
      </c>
      <c r="E266" s="3">
        <v>5866000</v>
      </c>
      <c r="F266" s="17">
        <v>43738</v>
      </c>
      <c r="G266" s="3">
        <v>5866000</v>
      </c>
      <c r="H266" s="2">
        <v>1.4999999999999999E-2</v>
      </c>
      <c r="I266" s="17">
        <v>43739</v>
      </c>
      <c r="J266" s="17">
        <v>43769</v>
      </c>
      <c r="K266" s="3">
        <f>J266-I266+1</f>
        <v>31</v>
      </c>
      <c r="L266" s="3">
        <f>ROUND(G266*H266*K266/365,0)</f>
        <v>7473</v>
      </c>
      <c r="M266" s="3">
        <v>5866000</v>
      </c>
    </row>
    <row r="267" spans="1:13" s="16" customFormat="1" outlineLevel="2">
      <c r="A267" s="17" t="s">
        <v>55</v>
      </c>
      <c r="B267" s="18" t="s">
        <v>267</v>
      </c>
      <c r="C267" s="19" t="s">
        <v>185</v>
      </c>
      <c r="D267" s="18" t="s">
        <v>184</v>
      </c>
      <c r="E267" s="3">
        <v>46670000</v>
      </c>
      <c r="F267" s="17">
        <v>43718</v>
      </c>
      <c r="G267" s="3">
        <v>46670000</v>
      </c>
      <c r="H267" s="2">
        <v>5.0000000000000001E-3</v>
      </c>
      <c r="I267" s="17">
        <v>43739</v>
      </c>
      <c r="J267" s="17">
        <v>43769</v>
      </c>
      <c r="K267" s="3">
        <f>J267-I267+1</f>
        <v>31</v>
      </c>
      <c r="L267" s="3">
        <f>ROUND(G267*H267*K267/365,0)</f>
        <v>19819</v>
      </c>
      <c r="M267" s="3">
        <v>46670000</v>
      </c>
    </row>
    <row r="268" spans="1:13" s="16" customFormat="1" outlineLevel="2">
      <c r="A268" s="17" t="s">
        <v>55</v>
      </c>
      <c r="B268" s="18" t="s">
        <v>266</v>
      </c>
      <c r="C268" s="19" t="s">
        <v>265</v>
      </c>
      <c r="D268" s="18" t="s">
        <v>264</v>
      </c>
      <c r="E268" s="3">
        <v>1587000</v>
      </c>
      <c r="F268" s="17">
        <v>43735</v>
      </c>
      <c r="G268" s="3">
        <v>1587000</v>
      </c>
      <c r="H268" s="2">
        <v>1.4999999999999999E-2</v>
      </c>
      <c r="I268" s="17">
        <v>43739</v>
      </c>
      <c r="J268" s="17">
        <v>43769</v>
      </c>
      <c r="K268" s="3">
        <f>J268-I268+1</f>
        <v>31</v>
      </c>
      <c r="L268" s="3">
        <f>ROUND(G268*H268*K268/365,0)</f>
        <v>2022</v>
      </c>
      <c r="M268" s="3">
        <v>1587000</v>
      </c>
    </row>
    <row r="269" spans="1:13" s="16" customFormat="1" outlineLevel="2">
      <c r="A269" s="17" t="s">
        <v>55</v>
      </c>
      <c r="B269" s="18" t="s">
        <v>47</v>
      </c>
      <c r="C269" s="19" t="s">
        <v>54</v>
      </c>
      <c r="D269" s="18" t="s">
        <v>34</v>
      </c>
      <c r="E269" s="3">
        <v>1214000</v>
      </c>
      <c r="F269" s="17">
        <v>43664</v>
      </c>
      <c r="G269" s="3">
        <v>1214000</v>
      </c>
      <c r="H269" s="2">
        <v>1.4999999999999999E-2</v>
      </c>
      <c r="I269" s="17">
        <v>43739</v>
      </c>
      <c r="J269" s="17">
        <v>43769</v>
      </c>
      <c r="K269" s="3">
        <f>J269-I269+1</f>
        <v>31</v>
      </c>
      <c r="L269" s="3">
        <f>ROUND(G269*H269*K269/365,0)</f>
        <v>1547</v>
      </c>
      <c r="M269" s="3">
        <v>1214000</v>
      </c>
    </row>
    <row r="270" spans="1:13" s="16" customFormat="1" outlineLevel="2">
      <c r="A270" s="17" t="s">
        <v>55</v>
      </c>
      <c r="B270" s="18" t="s">
        <v>263</v>
      </c>
      <c r="C270" s="19" t="s">
        <v>260</v>
      </c>
      <c r="D270" s="18" t="s">
        <v>259</v>
      </c>
      <c r="E270" s="3">
        <v>14100000</v>
      </c>
      <c r="F270" s="17">
        <v>43731</v>
      </c>
      <c r="G270" s="3">
        <v>14100000</v>
      </c>
      <c r="H270" s="2">
        <v>5.0000000000000001E-3</v>
      </c>
      <c r="I270" s="17">
        <v>43739</v>
      </c>
      <c r="J270" s="17">
        <v>43769</v>
      </c>
      <c r="K270" s="3">
        <f>J270-I270+1</f>
        <v>31</v>
      </c>
      <c r="L270" s="3">
        <f>ROUND(G270*H270*K270/365,0)</f>
        <v>5988</v>
      </c>
      <c r="M270" s="3">
        <v>14100000</v>
      </c>
    </row>
    <row r="271" spans="1:13" s="16" customFormat="1" outlineLevel="2">
      <c r="A271" s="17" t="s">
        <v>55</v>
      </c>
      <c r="B271" s="18" t="s">
        <v>262</v>
      </c>
      <c r="C271" s="19" t="s">
        <v>260</v>
      </c>
      <c r="D271" s="18" t="s">
        <v>259</v>
      </c>
      <c r="E271" s="3">
        <v>12070000</v>
      </c>
      <c r="F271" s="17">
        <v>43731</v>
      </c>
      <c r="G271" s="3">
        <v>12070000</v>
      </c>
      <c r="H271" s="2">
        <v>5.0000000000000001E-3</v>
      </c>
      <c r="I271" s="17">
        <v>43739</v>
      </c>
      <c r="J271" s="17">
        <v>43769</v>
      </c>
      <c r="K271" s="3">
        <f>J271-I271+1</f>
        <v>31</v>
      </c>
      <c r="L271" s="3">
        <f>ROUND(G271*H271*K271/365,0)</f>
        <v>5126</v>
      </c>
      <c r="M271" s="3">
        <v>12070000</v>
      </c>
    </row>
    <row r="272" spans="1:13" s="16" customFormat="1" outlineLevel="2">
      <c r="A272" s="17" t="s">
        <v>55</v>
      </c>
      <c r="B272" s="18" t="s">
        <v>261</v>
      </c>
      <c r="C272" s="19" t="s">
        <v>260</v>
      </c>
      <c r="D272" s="18" t="s">
        <v>259</v>
      </c>
      <c r="E272" s="3">
        <v>12830000</v>
      </c>
      <c r="F272" s="17">
        <v>43731</v>
      </c>
      <c r="G272" s="3">
        <v>12830000</v>
      </c>
      <c r="H272" s="2">
        <v>5.0000000000000001E-3</v>
      </c>
      <c r="I272" s="17">
        <v>43739</v>
      </c>
      <c r="J272" s="17">
        <v>43769</v>
      </c>
      <c r="K272" s="3">
        <f>J272-I272+1</f>
        <v>31</v>
      </c>
      <c r="L272" s="3">
        <f>ROUND(G272*H272*K272/365,0)</f>
        <v>5448</v>
      </c>
      <c r="M272" s="3">
        <v>12830000</v>
      </c>
    </row>
    <row r="273" spans="1:13" s="16" customFormat="1" outlineLevel="2">
      <c r="A273" s="17" t="s">
        <v>55</v>
      </c>
      <c r="B273" s="18" t="s">
        <v>258</v>
      </c>
      <c r="C273" s="19" t="s">
        <v>257</v>
      </c>
      <c r="D273" s="18" t="s">
        <v>256</v>
      </c>
      <c r="E273" s="3">
        <v>201000</v>
      </c>
      <c r="F273" s="17">
        <v>43735</v>
      </c>
      <c r="G273" s="3">
        <v>201000</v>
      </c>
      <c r="H273" s="2">
        <v>1.4999999999999999E-2</v>
      </c>
      <c r="I273" s="17">
        <v>43739</v>
      </c>
      <c r="J273" s="17">
        <v>43769</v>
      </c>
      <c r="K273" s="3">
        <f>J273-I273+1</f>
        <v>31</v>
      </c>
      <c r="L273" s="3">
        <f>ROUND(G273*H273*K273/365,0)</f>
        <v>256</v>
      </c>
      <c r="M273" s="3">
        <v>201000</v>
      </c>
    </row>
    <row r="274" spans="1:13" s="16" customFormat="1" outlineLevel="2">
      <c r="A274" s="17" t="s">
        <v>55</v>
      </c>
      <c r="B274" s="18" t="s">
        <v>255</v>
      </c>
      <c r="C274" s="19" t="s">
        <v>253</v>
      </c>
      <c r="D274" s="18" t="s">
        <v>252</v>
      </c>
      <c r="E274" s="3">
        <v>12000000</v>
      </c>
      <c r="F274" s="17">
        <v>43735</v>
      </c>
      <c r="G274" s="3">
        <v>12000000</v>
      </c>
      <c r="H274" s="2">
        <v>5.0000000000000001E-3</v>
      </c>
      <c r="I274" s="17">
        <v>43739</v>
      </c>
      <c r="J274" s="17">
        <v>43769</v>
      </c>
      <c r="K274" s="3">
        <f>J274-I274+1</f>
        <v>31</v>
      </c>
      <c r="L274" s="3">
        <f>ROUND(G274*H274*K274/365,0)</f>
        <v>5096</v>
      </c>
      <c r="M274" s="3">
        <v>12000000</v>
      </c>
    </row>
    <row r="275" spans="1:13" s="16" customFormat="1" outlineLevel="2">
      <c r="A275" s="17" t="s">
        <v>55</v>
      </c>
      <c r="B275" s="18" t="s">
        <v>254</v>
      </c>
      <c r="C275" s="19" t="s">
        <v>253</v>
      </c>
      <c r="D275" s="18" t="s">
        <v>252</v>
      </c>
      <c r="E275" s="3">
        <v>38000000</v>
      </c>
      <c r="F275" s="17">
        <v>43735</v>
      </c>
      <c r="G275" s="3">
        <v>38000000</v>
      </c>
      <c r="H275" s="2">
        <v>5.0000000000000001E-3</v>
      </c>
      <c r="I275" s="17">
        <v>43739</v>
      </c>
      <c r="J275" s="17">
        <v>43769</v>
      </c>
      <c r="K275" s="3">
        <f>J275-I275+1</f>
        <v>31</v>
      </c>
      <c r="L275" s="3">
        <f>ROUND(G275*H275*K275/365,0)</f>
        <v>16137</v>
      </c>
      <c r="M275" s="3">
        <v>38000000</v>
      </c>
    </row>
    <row r="276" spans="1:13" s="16" customFormat="1" outlineLevel="2">
      <c r="A276" s="17" t="s">
        <v>55</v>
      </c>
      <c r="B276" s="18" t="s">
        <v>306</v>
      </c>
      <c r="C276" s="19" t="s">
        <v>54</v>
      </c>
      <c r="D276" s="18" t="s">
        <v>34</v>
      </c>
      <c r="E276" s="3">
        <v>5987000</v>
      </c>
      <c r="F276" s="17">
        <v>43739</v>
      </c>
      <c r="G276" s="3">
        <v>5987000</v>
      </c>
      <c r="H276" s="2">
        <v>1.4999999999999999E-2</v>
      </c>
      <c r="I276" s="17">
        <v>43739</v>
      </c>
      <c r="J276" s="17">
        <v>43769</v>
      </c>
      <c r="K276" s="3">
        <f>J276-I276+1</f>
        <v>31</v>
      </c>
      <c r="L276" s="3">
        <f>ROUND(G276*H276*K276/365,0)</f>
        <v>7627</v>
      </c>
      <c r="M276" s="3">
        <v>5987000</v>
      </c>
    </row>
    <row r="277" spans="1:13" s="16" customFormat="1" outlineLevel="2">
      <c r="A277" s="17" t="s">
        <v>55</v>
      </c>
      <c r="B277" s="18" t="s">
        <v>305</v>
      </c>
      <c r="C277" s="19" t="s">
        <v>54</v>
      </c>
      <c r="D277" s="18" t="s">
        <v>34</v>
      </c>
      <c r="E277" s="3">
        <v>62422000</v>
      </c>
      <c r="F277" s="17">
        <v>43745</v>
      </c>
      <c r="G277" s="3">
        <v>62422000</v>
      </c>
      <c r="H277" s="2">
        <v>1.4999999999999999E-2</v>
      </c>
      <c r="I277" s="17">
        <v>43745</v>
      </c>
      <c r="J277" s="17">
        <v>43769</v>
      </c>
      <c r="K277" s="3">
        <f>J277-I277+1</f>
        <v>25</v>
      </c>
      <c r="L277" s="3">
        <f>ROUND(G277*H277*K277/365,0)</f>
        <v>64132</v>
      </c>
      <c r="M277" s="3">
        <v>62422000</v>
      </c>
    </row>
    <row r="278" spans="1:13" s="16" customFormat="1" outlineLevel="2">
      <c r="A278" s="17" t="s">
        <v>55</v>
      </c>
      <c r="B278" s="18" t="s">
        <v>304</v>
      </c>
      <c r="C278" s="19" t="s">
        <v>54</v>
      </c>
      <c r="D278" s="18" t="s">
        <v>34</v>
      </c>
      <c r="E278" s="3">
        <v>8502000</v>
      </c>
      <c r="F278" s="17">
        <v>43753</v>
      </c>
      <c r="G278" s="3">
        <v>8502000</v>
      </c>
      <c r="H278" s="2">
        <v>1.4999999999999999E-2</v>
      </c>
      <c r="I278" s="17">
        <v>43753</v>
      </c>
      <c r="J278" s="17">
        <v>43769</v>
      </c>
      <c r="K278" s="3">
        <f>J278-I278+1</f>
        <v>17</v>
      </c>
      <c r="L278" s="3">
        <f>ROUND(G278*H278*K278/365,0)</f>
        <v>5940</v>
      </c>
      <c r="M278" s="3">
        <v>8502000</v>
      </c>
    </row>
    <row r="279" spans="1:13" s="16" customFormat="1" outlineLevel="2">
      <c r="A279" s="17" t="s">
        <v>55</v>
      </c>
      <c r="B279" s="18" t="s">
        <v>303</v>
      </c>
      <c r="C279" s="19" t="s">
        <v>54</v>
      </c>
      <c r="D279" s="18" t="s">
        <v>34</v>
      </c>
      <c r="E279" s="3">
        <v>24444000</v>
      </c>
      <c r="F279" s="17">
        <v>43763</v>
      </c>
      <c r="G279" s="3">
        <v>24444000</v>
      </c>
      <c r="H279" s="2">
        <v>1.4999999999999999E-2</v>
      </c>
      <c r="I279" s="17">
        <v>43763</v>
      </c>
      <c r="J279" s="17">
        <v>43769</v>
      </c>
      <c r="K279" s="3">
        <f>J279-I279+1</f>
        <v>7</v>
      </c>
      <c r="L279" s="3">
        <f>ROUND(G279*H279*K279/365,0)</f>
        <v>7032</v>
      </c>
      <c r="M279" s="3">
        <v>24444000</v>
      </c>
    </row>
    <row r="280" spans="1:13" s="16" customFormat="1" outlineLevel="2">
      <c r="A280" s="17" t="s">
        <v>55</v>
      </c>
      <c r="B280" s="18" t="s">
        <v>46</v>
      </c>
      <c r="C280" s="19" t="s">
        <v>54</v>
      </c>
      <c r="D280" s="18" t="s">
        <v>34</v>
      </c>
      <c r="E280" s="3">
        <v>8346000</v>
      </c>
      <c r="F280" s="17">
        <v>43671</v>
      </c>
      <c r="G280" s="3">
        <v>8346000</v>
      </c>
      <c r="H280" s="2">
        <v>1.4999999999999999E-2</v>
      </c>
      <c r="I280" s="17">
        <v>43739</v>
      </c>
      <c r="J280" s="17">
        <v>43769</v>
      </c>
      <c r="K280" s="3">
        <f>J280-I280+1</f>
        <v>31</v>
      </c>
      <c r="L280" s="3">
        <f>ROUND(G280*H280*K280/365,0)</f>
        <v>10633</v>
      </c>
      <c r="M280" s="3">
        <v>8346000</v>
      </c>
    </row>
    <row r="281" spans="1:13" s="16" customFormat="1" outlineLevel="2">
      <c r="A281" s="17" t="s">
        <v>55</v>
      </c>
      <c r="B281" s="18" t="s">
        <v>302</v>
      </c>
      <c r="C281" s="19" t="s">
        <v>43</v>
      </c>
      <c r="D281" s="18" t="s">
        <v>26</v>
      </c>
      <c r="E281" s="3">
        <v>41244100</v>
      </c>
      <c r="F281" s="17">
        <v>43746</v>
      </c>
      <c r="G281" s="3">
        <v>41244100</v>
      </c>
      <c r="H281" s="2">
        <v>1.4999999999999999E-2</v>
      </c>
      <c r="I281" s="17">
        <v>43746</v>
      </c>
      <c r="J281" s="17">
        <v>43769</v>
      </c>
      <c r="K281" s="3">
        <f>J281-I281+1</f>
        <v>24</v>
      </c>
      <c r="L281" s="3">
        <f>ROUND(G281*H281*K281/365,0)</f>
        <v>40679</v>
      </c>
      <c r="M281" s="3">
        <v>41244100</v>
      </c>
    </row>
    <row r="282" spans="1:13" s="16" customFormat="1" outlineLevel="2">
      <c r="A282" s="17" t="s">
        <v>55</v>
      </c>
      <c r="B282" s="18" t="s">
        <v>301</v>
      </c>
      <c r="C282" s="19" t="s">
        <v>43</v>
      </c>
      <c r="D282" s="18" t="s">
        <v>26</v>
      </c>
      <c r="E282" s="3">
        <v>101169264</v>
      </c>
      <c r="F282" s="17">
        <v>43756</v>
      </c>
      <c r="G282" s="3">
        <v>101169264</v>
      </c>
      <c r="H282" s="2">
        <v>1.4999999999999999E-2</v>
      </c>
      <c r="I282" s="17">
        <v>43756</v>
      </c>
      <c r="J282" s="17">
        <v>43769</v>
      </c>
      <c r="K282" s="3">
        <f>J282-I282+1</f>
        <v>14</v>
      </c>
      <c r="L282" s="3">
        <f>ROUND(G282*H282*K282/365,0)</f>
        <v>58207</v>
      </c>
      <c r="M282" s="3">
        <v>101169264</v>
      </c>
    </row>
    <row r="283" spans="1:13" s="16" customFormat="1" outlineLevel="2">
      <c r="A283" s="17" t="s">
        <v>55</v>
      </c>
      <c r="B283" s="18" t="s">
        <v>300</v>
      </c>
      <c r="C283" s="19" t="s">
        <v>43</v>
      </c>
      <c r="D283" s="18" t="s">
        <v>26</v>
      </c>
      <c r="E283" s="3">
        <v>5540262</v>
      </c>
      <c r="F283" s="17">
        <v>43766</v>
      </c>
      <c r="G283" s="3">
        <v>5540262</v>
      </c>
      <c r="H283" s="2">
        <v>1.4999999999999999E-2</v>
      </c>
      <c r="I283" s="17">
        <v>43766</v>
      </c>
      <c r="J283" s="17">
        <v>43769</v>
      </c>
      <c r="K283" s="3">
        <f>J283-I283+1</f>
        <v>4</v>
      </c>
      <c r="L283" s="3">
        <f>ROUND(G283*H283*K283/365,0)</f>
        <v>911</v>
      </c>
      <c r="M283" s="3">
        <v>5540262</v>
      </c>
    </row>
    <row r="284" spans="1:13" s="16" customFormat="1" outlineLevel="2">
      <c r="A284" s="17" t="s">
        <v>55</v>
      </c>
      <c r="B284" s="18" t="s">
        <v>299</v>
      </c>
      <c r="C284" s="19" t="s">
        <v>43</v>
      </c>
      <c r="D284" s="18" t="s">
        <v>26</v>
      </c>
      <c r="E284" s="3">
        <v>14596626</v>
      </c>
      <c r="F284" s="17">
        <v>43756</v>
      </c>
      <c r="G284" s="3">
        <v>14596626</v>
      </c>
      <c r="H284" s="2">
        <v>1.4999999999999999E-2</v>
      </c>
      <c r="I284" s="17">
        <v>43756</v>
      </c>
      <c r="J284" s="17">
        <v>43769</v>
      </c>
      <c r="K284" s="3">
        <f>J284-I284+1</f>
        <v>14</v>
      </c>
      <c r="L284" s="3">
        <f>ROUND(G284*H284*K284/365,0)</f>
        <v>8398</v>
      </c>
      <c r="M284" s="3">
        <v>14596626</v>
      </c>
    </row>
    <row r="285" spans="1:13" s="16" customFormat="1" outlineLevel="2">
      <c r="A285" s="17" t="s">
        <v>55</v>
      </c>
      <c r="B285" s="18" t="s">
        <v>298</v>
      </c>
      <c r="C285" s="19" t="s">
        <v>159</v>
      </c>
      <c r="D285" s="18" t="s">
        <v>158</v>
      </c>
      <c r="E285" s="3">
        <v>22987000</v>
      </c>
      <c r="F285" s="17">
        <v>43755</v>
      </c>
      <c r="G285" s="3">
        <v>22987000</v>
      </c>
      <c r="H285" s="2">
        <v>1.4999999999999999E-2</v>
      </c>
      <c r="I285" s="17">
        <v>43755</v>
      </c>
      <c r="J285" s="17">
        <v>43769</v>
      </c>
      <c r="K285" s="3">
        <f>J285-I285+1</f>
        <v>15</v>
      </c>
      <c r="L285" s="3">
        <f>ROUND(G285*H285*K285/365,0)</f>
        <v>14170</v>
      </c>
      <c r="M285" s="3">
        <v>22987000</v>
      </c>
    </row>
    <row r="286" spans="1:13" s="16" customFormat="1" outlineLevel="2">
      <c r="A286" s="17" t="s">
        <v>55</v>
      </c>
      <c r="B286" s="18" t="s">
        <v>297</v>
      </c>
      <c r="C286" s="19" t="s">
        <v>159</v>
      </c>
      <c r="D286" s="18" t="s">
        <v>158</v>
      </c>
      <c r="E286" s="3">
        <v>6842000</v>
      </c>
      <c r="F286" s="17">
        <v>43755</v>
      </c>
      <c r="G286" s="3">
        <v>6842000</v>
      </c>
      <c r="H286" s="2">
        <v>1.4999999999999999E-2</v>
      </c>
      <c r="I286" s="17">
        <v>43755</v>
      </c>
      <c r="J286" s="17">
        <v>43769</v>
      </c>
      <c r="K286" s="3">
        <f>J286-I286+1</f>
        <v>15</v>
      </c>
      <c r="L286" s="3">
        <f>ROUND(G286*H286*K286/365,0)</f>
        <v>4218</v>
      </c>
      <c r="M286" s="3">
        <v>6842000</v>
      </c>
    </row>
    <row r="287" spans="1:13" s="16" customFormat="1" outlineLevel="2">
      <c r="A287" s="17" t="s">
        <v>55</v>
      </c>
      <c r="B287" s="18" t="s">
        <v>296</v>
      </c>
      <c r="C287" s="19" t="s">
        <v>183</v>
      </c>
      <c r="D287" s="18" t="s">
        <v>182</v>
      </c>
      <c r="E287" s="3">
        <v>6595034</v>
      </c>
      <c r="F287" s="17">
        <v>43753</v>
      </c>
      <c r="G287" s="3">
        <v>6595034</v>
      </c>
      <c r="H287" s="2">
        <v>5.0000000000000001E-3</v>
      </c>
      <c r="I287" s="17">
        <v>43753</v>
      </c>
      <c r="J287" s="17">
        <v>43769</v>
      </c>
      <c r="K287" s="3">
        <f>J287-I287+1</f>
        <v>17</v>
      </c>
      <c r="L287" s="3">
        <f>ROUND(G287*H287*K287/365,0)</f>
        <v>1536</v>
      </c>
      <c r="M287" s="3">
        <v>6595034</v>
      </c>
    </row>
    <row r="288" spans="1:13" s="16" customFormat="1" outlineLevel="2">
      <c r="A288" s="17" t="s">
        <v>55</v>
      </c>
      <c r="B288" s="18" t="s">
        <v>295</v>
      </c>
      <c r="C288" s="19" t="s">
        <v>188</v>
      </c>
      <c r="D288" s="18" t="s">
        <v>187</v>
      </c>
      <c r="E288" s="3">
        <v>33060000</v>
      </c>
      <c r="F288" s="17">
        <v>43766</v>
      </c>
      <c r="G288" s="3">
        <v>33060000</v>
      </c>
      <c r="H288" s="2">
        <v>1.4999999999999999E-2</v>
      </c>
      <c r="I288" s="17">
        <v>43766</v>
      </c>
      <c r="J288" s="17">
        <v>43769</v>
      </c>
      <c r="K288" s="3">
        <f>J288-I288+1</f>
        <v>4</v>
      </c>
      <c r="L288" s="3">
        <f>ROUND(G288*H288*K288/365,0)</f>
        <v>5435</v>
      </c>
      <c r="M288" s="3">
        <v>33060000</v>
      </c>
    </row>
    <row r="289" spans="1:13" s="16" customFormat="1" outlineLevel="2">
      <c r="A289" s="17" t="s">
        <v>55</v>
      </c>
      <c r="B289" s="18" t="s">
        <v>294</v>
      </c>
      <c r="C289" s="19" t="s">
        <v>188</v>
      </c>
      <c r="D289" s="18" t="s">
        <v>187</v>
      </c>
      <c r="E289" s="3">
        <v>17233000</v>
      </c>
      <c r="F289" s="17">
        <v>43766</v>
      </c>
      <c r="G289" s="3">
        <v>17233000</v>
      </c>
      <c r="H289" s="2">
        <v>1.4999999999999999E-2</v>
      </c>
      <c r="I289" s="17">
        <v>43766</v>
      </c>
      <c r="J289" s="17">
        <v>43769</v>
      </c>
      <c r="K289" s="3">
        <f>J289-I289+1</f>
        <v>4</v>
      </c>
      <c r="L289" s="3">
        <f>ROUND(G289*H289*K289/365,0)</f>
        <v>2833</v>
      </c>
      <c r="M289" s="3">
        <v>17233000</v>
      </c>
    </row>
    <row r="290" spans="1:13" s="16" customFormat="1" outlineLevel="2">
      <c r="A290" s="17" t="s">
        <v>55</v>
      </c>
      <c r="B290" s="18" t="s">
        <v>293</v>
      </c>
      <c r="C290" s="19" t="s">
        <v>260</v>
      </c>
      <c r="D290" s="18" t="s">
        <v>259</v>
      </c>
      <c r="E290" s="3">
        <v>1249500</v>
      </c>
      <c r="F290" s="17">
        <v>43766</v>
      </c>
      <c r="G290" s="3">
        <v>1249500</v>
      </c>
      <c r="H290" s="2">
        <v>5.0000000000000001E-3</v>
      </c>
      <c r="I290" s="17">
        <v>43766</v>
      </c>
      <c r="J290" s="17">
        <v>43769</v>
      </c>
      <c r="K290" s="3">
        <f>J290-I290+1</f>
        <v>4</v>
      </c>
      <c r="L290" s="3">
        <f>ROUND(G290*H290*K290/365,0)</f>
        <v>68</v>
      </c>
      <c r="M290" s="3">
        <v>1249500</v>
      </c>
    </row>
    <row r="291" spans="1:13" s="16" customFormat="1" outlineLevel="2">
      <c r="A291" s="17" t="s">
        <v>55</v>
      </c>
      <c r="B291" s="18" t="s">
        <v>45</v>
      </c>
      <c r="C291" s="19" t="s">
        <v>54</v>
      </c>
      <c r="D291" s="18" t="s">
        <v>34</v>
      </c>
      <c r="E291" s="3">
        <v>4626000</v>
      </c>
      <c r="F291" s="17">
        <v>43677</v>
      </c>
      <c r="G291" s="3">
        <v>4626000</v>
      </c>
      <c r="H291" s="2">
        <v>1.4999999999999999E-2</v>
      </c>
      <c r="I291" s="17">
        <v>43739</v>
      </c>
      <c r="J291" s="17">
        <v>43769</v>
      </c>
      <c r="K291" s="3">
        <f>J291-I291+1</f>
        <v>31</v>
      </c>
      <c r="L291" s="3">
        <f>ROUND(G291*H291*K291/365,0)</f>
        <v>5893</v>
      </c>
      <c r="M291" s="3">
        <v>4626000</v>
      </c>
    </row>
    <row r="292" spans="1:13" s="16" customFormat="1" outlineLevel="2">
      <c r="A292" s="17" t="s">
        <v>55</v>
      </c>
      <c r="B292" s="18" t="s">
        <v>292</v>
      </c>
      <c r="C292" s="19" t="s">
        <v>260</v>
      </c>
      <c r="D292" s="18" t="s">
        <v>259</v>
      </c>
      <c r="E292" s="3">
        <v>1029000</v>
      </c>
      <c r="F292" s="17">
        <v>43766</v>
      </c>
      <c r="G292" s="3">
        <v>1029000</v>
      </c>
      <c r="H292" s="2">
        <v>5.0000000000000001E-3</v>
      </c>
      <c r="I292" s="17">
        <v>43766</v>
      </c>
      <c r="J292" s="17">
        <v>43769</v>
      </c>
      <c r="K292" s="3">
        <f>J292-I292+1</f>
        <v>4</v>
      </c>
      <c r="L292" s="3">
        <f>ROUND(G292*H292*K292/365,0)</f>
        <v>56</v>
      </c>
      <c r="M292" s="3">
        <v>1029000</v>
      </c>
    </row>
    <row r="293" spans="1:13" s="16" customFormat="1" outlineLevel="2">
      <c r="A293" s="17" t="s">
        <v>55</v>
      </c>
      <c r="B293" s="18" t="s">
        <v>291</v>
      </c>
      <c r="C293" s="19" t="s">
        <v>257</v>
      </c>
      <c r="D293" s="18" t="s">
        <v>256</v>
      </c>
      <c r="E293" s="3">
        <v>535000</v>
      </c>
      <c r="F293" s="17">
        <v>43763</v>
      </c>
      <c r="G293" s="3">
        <v>535000</v>
      </c>
      <c r="H293" s="2">
        <v>1.4999999999999999E-2</v>
      </c>
      <c r="I293" s="17">
        <v>43763</v>
      </c>
      <c r="J293" s="17">
        <v>43769</v>
      </c>
      <c r="K293" s="3">
        <f>J293-I293+1</f>
        <v>7</v>
      </c>
      <c r="L293" s="3">
        <f>ROUND(G293*H293*K293/365,0)</f>
        <v>154</v>
      </c>
      <c r="M293" s="3">
        <v>535000</v>
      </c>
    </row>
    <row r="294" spans="1:13" s="16" customFormat="1" outlineLevel="2">
      <c r="A294" s="17" t="s">
        <v>55</v>
      </c>
      <c r="B294" s="18" t="s">
        <v>290</v>
      </c>
      <c r="C294" s="19" t="s">
        <v>288</v>
      </c>
      <c r="D294" s="18" t="s">
        <v>287</v>
      </c>
      <c r="E294" s="3">
        <v>160000000</v>
      </c>
      <c r="F294" s="17">
        <v>43753</v>
      </c>
      <c r="G294" s="3">
        <v>160000000</v>
      </c>
      <c r="H294" s="2">
        <v>1.4999999999999999E-2</v>
      </c>
      <c r="I294" s="17">
        <v>43753</v>
      </c>
      <c r="J294" s="17">
        <v>43769</v>
      </c>
      <c r="K294" s="3">
        <f>J294-I294+1</f>
        <v>17</v>
      </c>
      <c r="L294" s="3">
        <f>ROUND(G294*H294*K294/365,0)</f>
        <v>111781</v>
      </c>
      <c r="M294" s="3">
        <v>160000000</v>
      </c>
    </row>
    <row r="295" spans="1:13" s="16" customFormat="1" outlineLevel="2">
      <c r="A295" s="17" t="s">
        <v>55</v>
      </c>
      <c r="B295" s="18" t="s">
        <v>289</v>
      </c>
      <c r="C295" s="19" t="s">
        <v>310</v>
      </c>
      <c r="D295" s="18" t="s">
        <v>309</v>
      </c>
      <c r="E295" s="3">
        <v>39500000</v>
      </c>
      <c r="F295" s="17">
        <v>43767</v>
      </c>
      <c r="G295" s="3">
        <v>39500000</v>
      </c>
      <c r="H295" s="2">
        <v>5.0000000000000001E-3</v>
      </c>
      <c r="I295" s="17">
        <v>43767</v>
      </c>
      <c r="J295" s="17">
        <v>43769</v>
      </c>
      <c r="K295" s="3">
        <f>J295-I295+1</f>
        <v>3</v>
      </c>
      <c r="L295" s="3">
        <f>ROUND(G295*H295*K295/365,0)</f>
        <v>1623</v>
      </c>
      <c r="M295" s="3">
        <v>39500000</v>
      </c>
    </row>
    <row r="296" spans="1:13" s="16" customFormat="1" outlineLevel="2">
      <c r="A296" s="17" t="s">
        <v>55</v>
      </c>
      <c r="B296" s="18" t="s">
        <v>324</v>
      </c>
      <c r="C296" s="19" t="s">
        <v>204</v>
      </c>
      <c r="D296" s="18" t="s">
        <v>203</v>
      </c>
      <c r="E296" s="3">
        <v>37200000</v>
      </c>
      <c r="F296" s="17">
        <v>43739</v>
      </c>
      <c r="G296" s="3">
        <v>37200000</v>
      </c>
      <c r="H296" s="2">
        <v>5.0000000000000001E-3</v>
      </c>
      <c r="I296" s="17">
        <v>43739</v>
      </c>
      <c r="J296" s="17">
        <v>43769</v>
      </c>
      <c r="K296" s="3">
        <f>J296-I296+1</f>
        <v>31</v>
      </c>
      <c r="L296" s="3">
        <f>ROUND(G296*H296*K296/365,0)</f>
        <v>15797</v>
      </c>
      <c r="M296" s="3">
        <v>37200000</v>
      </c>
    </row>
    <row r="297" spans="1:13" s="16" customFormat="1" outlineLevel="2">
      <c r="A297" s="17" t="s">
        <v>55</v>
      </c>
      <c r="B297" s="18" t="s">
        <v>323</v>
      </c>
      <c r="C297" s="19" t="s">
        <v>320</v>
      </c>
      <c r="D297" s="18" t="s">
        <v>319</v>
      </c>
      <c r="E297" s="3">
        <v>6794400</v>
      </c>
      <c r="F297" s="17">
        <v>43763</v>
      </c>
      <c r="G297" s="3">
        <v>6794400</v>
      </c>
      <c r="H297" s="2">
        <v>1.4999999999999999E-2</v>
      </c>
      <c r="I297" s="17">
        <v>43763</v>
      </c>
      <c r="J297" s="17">
        <v>43769</v>
      </c>
      <c r="K297" s="3">
        <f>J297-I297+1</f>
        <v>7</v>
      </c>
      <c r="L297" s="3">
        <f>ROUND(G297*H297*K297/365,0)</f>
        <v>1955</v>
      </c>
      <c r="M297" s="3">
        <v>6794400</v>
      </c>
    </row>
    <row r="298" spans="1:13" s="16" customFormat="1" outlineLevel="2">
      <c r="A298" s="17" t="s">
        <v>55</v>
      </c>
      <c r="B298" s="18" t="s">
        <v>322</v>
      </c>
      <c r="C298" s="19" t="s">
        <v>320</v>
      </c>
      <c r="D298" s="18" t="s">
        <v>319</v>
      </c>
      <c r="E298" s="3">
        <v>1013040</v>
      </c>
      <c r="F298" s="17">
        <v>43763</v>
      </c>
      <c r="G298" s="3">
        <v>1013040</v>
      </c>
      <c r="H298" s="2">
        <v>1.4999999999999999E-2</v>
      </c>
      <c r="I298" s="17">
        <v>43763</v>
      </c>
      <c r="J298" s="17">
        <v>43769</v>
      </c>
      <c r="K298" s="3">
        <f>J298-I298+1</f>
        <v>7</v>
      </c>
      <c r="L298" s="3">
        <f>ROUND(G298*H298*K298/365,0)</f>
        <v>291</v>
      </c>
      <c r="M298" s="3">
        <v>1013040</v>
      </c>
    </row>
    <row r="299" spans="1:13" s="16" customFormat="1" outlineLevel="2">
      <c r="A299" s="17" t="s">
        <v>55</v>
      </c>
      <c r="B299" s="18" t="s">
        <v>321</v>
      </c>
      <c r="C299" s="19" t="s">
        <v>320</v>
      </c>
      <c r="D299" s="18" t="s">
        <v>319</v>
      </c>
      <c r="E299" s="3">
        <v>2176016</v>
      </c>
      <c r="F299" s="17">
        <v>43763</v>
      </c>
      <c r="G299" s="3">
        <v>2176016</v>
      </c>
      <c r="H299" s="2">
        <v>1.4999999999999999E-2</v>
      </c>
      <c r="I299" s="17">
        <v>43763</v>
      </c>
      <c r="J299" s="17">
        <v>43769</v>
      </c>
      <c r="K299" s="3">
        <f>J299-I299+1</f>
        <v>7</v>
      </c>
      <c r="L299" s="3">
        <f>ROUND(G299*H299*K299/365,0)</f>
        <v>626</v>
      </c>
      <c r="M299" s="3">
        <v>2176016</v>
      </c>
    </row>
    <row r="300" spans="1:13" s="16" customFormat="1" outlineLevel="2">
      <c r="A300" s="17" t="s">
        <v>55</v>
      </c>
      <c r="B300" s="18" t="s">
        <v>318</v>
      </c>
      <c r="C300" s="19" t="s">
        <v>316</v>
      </c>
      <c r="D300" s="18" t="s">
        <v>315</v>
      </c>
      <c r="E300" s="3">
        <v>18312000</v>
      </c>
      <c r="F300" s="17">
        <v>43753</v>
      </c>
      <c r="G300" s="3">
        <v>18312000</v>
      </c>
      <c r="H300" s="2">
        <v>1.4999999999999999E-2</v>
      </c>
      <c r="I300" s="17">
        <v>43753</v>
      </c>
      <c r="J300" s="17">
        <v>43769</v>
      </c>
      <c r="K300" s="3">
        <f>J300-I300+1</f>
        <v>17</v>
      </c>
      <c r="L300" s="3">
        <f>ROUND(G300*H300*K300/365,0)</f>
        <v>12793</v>
      </c>
      <c r="M300" s="3">
        <v>18312000</v>
      </c>
    </row>
    <row r="301" spans="1:13" s="16" customFormat="1" outlineLevel="2">
      <c r="A301" s="17" t="s">
        <v>55</v>
      </c>
      <c r="B301" s="18" t="s">
        <v>317</v>
      </c>
      <c r="C301" s="19" t="s">
        <v>316</v>
      </c>
      <c r="D301" s="18" t="s">
        <v>315</v>
      </c>
      <c r="E301" s="3">
        <v>2983000</v>
      </c>
      <c r="F301" s="17">
        <v>43769</v>
      </c>
      <c r="G301" s="3">
        <v>2983000</v>
      </c>
      <c r="H301" s="2">
        <v>1.4999999999999999E-2</v>
      </c>
      <c r="I301" s="17">
        <v>43769</v>
      </c>
      <c r="J301" s="17">
        <v>43769</v>
      </c>
      <c r="K301" s="3">
        <f>J301-I301+1</f>
        <v>1</v>
      </c>
      <c r="L301" s="3">
        <f>ROUND(G301*H301*K301/365,0)</f>
        <v>123</v>
      </c>
      <c r="M301" s="3">
        <v>2983000</v>
      </c>
    </row>
    <row r="302" spans="1:13" s="16" customFormat="1" outlineLevel="2">
      <c r="A302" s="17" t="s">
        <v>55</v>
      </c>
      <c r="B302" s="18" t="s">
        <v>44</v>
      </c>
      <c r="C302" s="19" t="s">
        <v>51</v>
      </c>
      <c r="D302" s="18" t="s">
        <v>50</v>
      </c>
      <c r="E302" s="3">
        <v>900000000</v>
      </c>
      <c r="F302" s="17">
        <v>43649</v>
      </c>
      <c r="G302" s="3">
        <v>900000000</v>
      </c>
      <c r="H302" s="2">
        <v>1.4999999999999999E-2</v>
      </c>
      <c r="I302" s="17">
        <v>43739</v>
      </c>
      <c r="J302" s="17">
        <v>43769</v>
      </c>
      <c r="K302" s="3">
        <f>J302-I302+1</f>
        <v>31</v>
      </c>
      <c r="L302" s="3">
        <f>ROUND(G302*H302*K302/365,0)</f>
        <v>1146575</v>
      </c>
      <c r="M302" s="3">
        <v>900000000</v>
      </c>
    </row>
    <row r="303" spans="1:13" s="16" customFormat="1" outlineLevel="2">
      <c r="A303" s="17" t="s">
        <v>55</v>
      </c>
      <c r="B303" s="18" t="s">
        <v>314</v>
      </c>
      <c r="C303" s="19" t="s">
        <v>313</v>
      </c>
      <c r="D303" s="18" t="s">
        <v>312</v>
      </c>
      <c r="E303" s="3">
        <v>20000000</v>
      </c>
      <c r="F303" s="17">
        <v>43766</v>
      </c>
      <c r="G303" s="3">
        <v>20000000</v>
      </c>
      <c r="H303" s="2">
        <v>5.0000000000000001E-3</v>
      </c>
      <c r="I303" s="17">
        <v>43766</v>
      </c>
      <c r="J303" s="17">
        <v>43769</v>
      </c>
      <c r="K303" s="3">
        <f>J303-I303+1</f>
        <v>4</v>
      </c>
      <c r="L303" s="3">
        <f>ROUND(G303*H303*K303/365,0)</f>
        <v>1096</v>
      </c>
      <c r="M303" s="3">
        <v>20000000</v>
      </c>
    </row>
    <row r="304" spans="1:13" s="16" customFormat="1" outlineLevel="1">
      <c r="A304" s="28" t="s">
        <v>53</v>
      </c>
      <c r="B304" s="43"/>
      <c r="C304" s="44"/>
      <c r="D304" s="43"/>
      <c r="E304" s="45">
        <f>SUBTOTAL(9,E214:E303)</f>
        <v>4095867761</v>
      </c>
      <c r="F304" s="46"/>
      <c r="G304" s="45"/>
      <c r="H304" s="47"/>
      <c r="I304" s="46"/>
      <c r="J304" s="46"/>
      <c r="K304" s="45"/>
      <c r="L304" s="45">
        <f>SUBTOTAL(9,L214:L303)</f>
        <v>4543723</v>
      </c>
      <c r="M304" s="45">
        <f>SUBTOTAL(9,M214:M303)</f>
        <v>4095867761</v>
      </c>
    </row>
    <row r="305" spans="1:13" s="16" customFormat="1" outlineLevel="2">
      <c r="A305" s="17" t="s">
        <v>251</v>
      </c>
      <c r="B305" s="18" t="s">
        <v>17</v>
      </c>
      <c r="C305" s="19" t="s">
        <v>159</v>
      </c>
      <c r="D305" s="18" t="s">
        <v>158</v>
      </c>
      <c r="E305" s="3">
        <v>10000000</v>
      </c>
      <c r="F305" s="17">
        <v>43725</v>
      </c>
      <c r="G305" s="3">
        <v>10000000</v>
      </c>
      <c r="H305" s="2">
        <v>3.0000000000000001E-3</v>
      </c>
      <c r="I305" s="17">
        <v>43739</v>
      </c>
      <c r="J305" s="17">
        <v>43769</v>
      </c>
      <c r="K305" s="3">
        <f>J305-I305+1</f>
        <v>31</v>
      </c>
      <c r="L305" s="3">
        <f>ROUND(G305*H305*K305/365,0)</f>
        <v>2548</v>
      </c>
      <c r="M305" s="3">
        <v>10000000</v>
      </c>
    </row>
    <row r="306" spans="1:13" s="16" customFormat="1" outlineLevel="1">
      <c r="A306" s="28" t="s">
        <v>250</v>
      </c>
      <c r="B306" s="43"/>
      <c r="C306" s="44"/>
      <c r="D306" s="43"/>
      <c r="E306" s="45">
        <f>SUBTOTAL(9,E305:E305)</f>
        <v>10000000</v>
      </c>
      <c r="F306" s="46"/>
      <c r="G306" s="45"/>
      <c r="H306" s="47"/>
      <c r="I306" s="46"/>
      <c r="J306" s="46"/>
      <c r="K306" s="45"/>
      <c r="L306" s="45">
        <f>SUBTOTAL(9,L305:L305)</f>
        <v>2548</v>
      </c>
      <c r="M306" s="45">
        <f>SUBTOTAL(9,M305:M305)</f>
        <v>10000000</v>
      </c>
    </row>
    <row r="307" spans="1:13" s="16" customFormat="1" outlineLevel="2">
      <c r="A307" s="17" t="s">
        <v>249</v>
      </c>
      <c r="B307" s="18" t="s">
        <v>17</v>
      </c>
      <c r="C307" s="19" t="s">
        <v>248</v>
      </c>
      <c r="D307" s="18" t="s">
        <v>247</v>
      </c>
      <c r="E307" s="3">
        <v>300000000</v>
      </c>
      <c r="F307" s="17">
        <v>43726</v>
      </c>
      <c r="G307" s="3">
        <v>300000000</v>
      </c>
      <c r="H307" s="2">
        <v>5.0000000000000001E-3</v>
      </c>
      <c r="I307" s="17">
        <v>43739</v>
      </c>
      <c r="J307" s="17">
        <v>43769</v>
      </c>
      <c r="K307" s="3">
        <f>J307-I307+1</f>
        <v>31</v>
      </c>
      <c r="L307" s="3">
        <f>ROUND(G307*H307*K307/365,0)</f>
        <v>127397</v>
      </c>
      <c r="M307" s="3">
        <v>300000000</v>
      </c>
    </row>
    <row r="308" spans="1:13" s="16" customFormat="1" outlineLevel="2">
      <c r="A308" s="17" t="s">
        <v>249</v>
      </c>
      <c r="B308" s="18" t="s">
        <v>31</v>
      </c>
      <c r="C308" s="19" t="s">
        <v>248</v>
      </c>
      <c r="D308" s="18" t="s">
        <v>247</v>
      </c>
      <c r="E308" s="3">
        <v>100000000</v>
      </c>
      <c r="F308" s="17">
        <v>43752</v>
      </c>
      <c r="G308" s="3">
        <v>100000000</v>
      </c>
      <c r="H308" s="2">
        <v>5.0000000000000001E-3</v>
      </c>
      <c r="I308" s="17">
        <v>43752</v>
      </c>
      <c r="J308" s="17">
        <v>43769</v>
      </c>
      <c r="K308" s="3">
        <f>J308-I308+1</f>
        <v>18</v>
      </c>
      <c r="L308" s="3">
        <f>ROUND(G308*H308*K308/365,0)</f>
        <v>24658</v>
      </c>
      <c r="M308" s="3">
        <v>100000000</v>
      </c>
    </row>
    <row r="309" spans="1:13" s="16" customFormat="1" outlineLevel="1">
      <c r="A309" s="28" t="s">
        <v>246</v>
      </c>
      <c r="B309" s="43"/>
      <c r="C309" s="44"/>
      <c r="D309" s="43"/>
      <c r="E309" s="45">
        <f>SUBTOTAL(9,E307:E308)</f>
        <v>400000000</v>
      </c>
      <c r="F309" s="46"/>
      <c r="G309" s="45"/>
      <c r="H309" s="47"/>
      <c r="I309" s="46"/>
      <c r="J309" s="46"/>
      <c r="K309" s="45"/>
      <c r="L309" s="45">
        <f>SUBTOTAL(9,L307:L308)</f>
        <v>152055</v>
      </c>
      <c r="M309" s="45">
        <f>SUBTOTAL(9,M307:M308)</f>
        <v>400000000</v>
      </c>
    </row>
    <row r="310" spans="1:13" s="16" customFormat="1" outlineLevel="2">
      <c r="A310" s="17" t="s">
        <v>52</v>
      </c>
      <c r="B310" s="18" t="s">
        <v>17</v>
      </c>
      <c r="C310" s="19" t="s">
        <v>51</v>
      </c>
      <c r="D310" s="18" t="s">
        <v>50</v>
      </c>
      <c r="E310" s="3">
        <v>350000000</v>
      </c>
      <c r="F310" s="17">
        <v>43644</v>
      </c>
      <c r="G310" s="3">
        <v>350000000</v>
      </c>
      <c r="H310" s="2">
        <v>1.4999999999999999E-2</v>
      </c>
      <c r="I310" s="17">
        <v>43739</v>
      </c>
      <c r="J310" s="17">
        <v>43769</v>
      </c>
      <c r="K310" s="3">
        <f>J310-I310+1</f>
        <v>31</v>
      </c>
      <c r="L310" s="3">
        <f>ROUND(G310*H310*K310/365,0)</f>
        <v>445890</v>
      </c>
      <c r="M310" s="3">
        <v>350000000</v>
      </c>
    </row>
    <row r="311" spans="1:13" s="16" customFormat="1" outlineLevel="2">
      <c r="A311" s="17" t="s">
        <v>52</v>
      </c>
      <c r="B311" s="18" t="s">
        <v>181</v>
      </c>
      <c r="C311" s="19" t="s">
        <v>245</v>
      </c>
      <c r="D311" s="18" t="s">
        <v>244</v>
      </c>
      <c r="E311" s="3">
        <v>28000000</v>
      </c>
      <c r="F311" s="17">
        <v>43732</v>
      </c>
      <c r="G311" s="3">
        <v>28000000</v>
      </c>
      <c r="H311" s="2">
        <v>5.0000000000000001E-3</v>
      </c>
      <c r="I311" s="17">
        <v>43739</v>
      </c>
      <c r="J311" s="17">
        <v>43769</v>
      </c>
      <c r="K311" s="3">
        <f>J311-I311+1</f>
        <v>31</v>
      </c>
      <c r="L311" s="3">
        <f>ROUND(G311*H311*K311/365,0)</f>
        <v>11890</v>
      </c>
      <c r="M311" s="3">
        <v>28000000</v>
      </c>
    </row>
    <row r="312" spans="1:13" s="16" customFormat="1" outlineLevel="2">
      <c r="A312" s="17" t="s">
        <v>52</v>
      </c>
      <c r="B312" s="18" t="s">
        <v>180</v>
      </c>
      <c r="C312" s="19" t="s">
        <v>243</v>
      </c>
      <c r="D312" s="18" t="s">
        <v>242</v>
      </c>
      <c r="E312" s="3">
        <v>100000000</v>
      </c>
      <c r="F312" s="17">
        <v>43732</v>
      </c>
      <c r="G312" s="3">
        <v>100000000</v>
      </c>
      <c r="H312" s="2">
        <v>5.0000000000000001E-3</v>
      </c>
      <c r="I312" s="17">
        <v>43739</v>
      </c>
      <c r="J312" s="17">
        <v>43769</v>
      </c>
      <c r="K312" s="3">
        <f>J312-I312+1</f>
        <v>31</v>
      </c>
      <c r="L312" s="3">
        <f>ROUND(G312*H312*K312/365,0)</f>
        <v>42466</v>
      </c>
      <c r="M312" s="3">
        <v>100000000</v>
      </c>
    </row>
    <row r="313" spans="1:13" s="16" customFormat="1" outlineLevel="2">
      <c r="A313" s="17" t="s">
        <v>52</v>
      </c>
      <c r="B313" s="18" t="s">
        <v>179</v>
      </c>
      <c r="C313" s="19" t="s">
        <v>183</v>
      </c>
      <c r="D313" s="18" t="s">
        <v>182</v>
      </c>
      <c r="E313" s="3">
        <v>9828000</v>
      </c>
      <c r="F313" s="17">
        <v>43741</v>
      </c>
      <c r="G313" s="3">
        <v>9828000</v>
      </c>
      <c r="H313" s="2">
        <v>5.0000000000000001E-3</v>
      </c>
      <c r="I313" s="17">
        <v>43741</v>
      </c>
      <c r="J313" s="17">
        <v>43769</v>
      </c>
      <c r="K313" s="3">
        <f>J313-I313+1</f>
        <v>29</v>
      </c>
      <c r="L313" s="3">
        <f>ROUND(G313*H313*K313/365,0)</f>
        <v>3904</v>
      </c>
      <c r="M313" s="3">
        <v>9828000</v>
      </c>
    </row>
    <row r="314" spans="1:13" s="16" customFormat="1" outlineLevel="2">
      <c r="A314" s="17" t="s">
        <v>52</v>
      </c>
      <c r="B314" s="18" t="s">
        <v>178</v>
      </c>
      <c r="C314" s="19" t="s">
        <v>183</v>
      </c>
      <c r="D314" s="18" t="s">
        <v>182</v>
      </c>
      <c r="E314" s="3">
        <v>10165719</v>
      </c>
      <c r="F314" s="17">
        <v>43759</v>
      </c>
      <c r="G314" s="3">
        <v>10165719</v>
      </c>
      <c r="H314" s="2">
        <v>5.0000000000000001E-3</v>
      </c>
      <c r="I314" s="17">
        <v>43759</v>
      </c>
      <c r="J314" s="17">
        <v>43769</v>
      </c>
      <c r="K314" s="3">
        <f>J314-I314+1</f>
        <v>11</v>
      </c>
      <c r="L314" s="3">
        <f>ROUND(G314*H314*K314/365,0)</f>
        <v>1532</v>
      </c>
      <c r="M314" s="3">
        <v>10165719</v>
      </c>
    </row>
    <row r="315" spans="1:13" s="16" customFormat="1" outlineLevel="2">
      <c r="A315" s="17" t="s">
        <v>52</v>
      </c>
      <c r="B315" s="18" t="s">
        <v>177</v>
      </c>
      <c r="C315" s="19" t="s">
        <v>243</v>
      </c>
      <c r="D315" s="18" t="s">
        <v>242</v>
      </c>
      <c r="E315" s="3">
        <v>165000000</v>
      </c>
      <c r="F315" s="17">
        <v>43747</v>
      </c>
      <c r="G315" s="3">
        <v>165000000</v>
      </c>
      <c r="H315" s="2">
        <v>5.0000000000000001E-3</v>
      </c>
      <c r="I315" s="17">
        <v>43747</v>
      </c>
      <c r="J315" s="17">
        <v>43769</v>
      </c>
      <c r="K315" s="3">
        <f>J315-I315+1</f>
        <v>23</v>
      </c>
      <c r="L315" s="3">
        <f>ROUND(G315*H315*K315/365,0)</f>
        <v>51986</v>
      </c>
      <c r="M315" s="3">
        <v>165000000</v>
      </c>
    </row>
    <row r="316" spans="1:13" s="16" customFormat="1" outlineLevel="2">
      <c r="A316" s="17" t="s">
        <v>52</v>
      </c>
      <c r="B316" s="18" t="s">
        <v>176</v>
      </c>
      <c r="C316" s="19" t="s">
        <v>243</v>
      </c>
      <c r="D316" s="18" t="s">
        <v>242</v>
      </c>
      <c r="E316" s="3">
        <v>574000000</v>
      </c>
      <c r="F316" s="17">
        <v>43752</v>
      </c>
      <c r="G316" s="3">
        <v>574000000</v>
      </c>
      <c r="H316" s="2">
        <v>5.0000000000000001E-3</v>
      </c>
      <c r="I316" s="17">
        <v>43752</v>
      </c>
      <c r="J316" s="17">
        <v>43769</v>
      </c>
      <c r="K316" s="3">
        <f>J316-I316+1</f>
        <v>18</v>
      </c>
      <c r="L316" s="3">
        <f>ROUND(G316*H316*K316/365,0)</f>
        <v>141534</v>
      </c>
      <c r="M316" s="3">
        <v>574000000</v>
      </c>
    </row>
    <row r="317" spans="1:13" s="16" customFormat="1" outlineLevel="2">
      <c r="A317" s="17" t="s">
        <v>52</v>
      </c>
      <c r="B317" s="18" t="s">
        <v>175</v>
      </c>
      <c r="C317" s="19" t="s">
        <v>243</v>
      </c>
      <c r="D317" s="18" t="s">
        <v>242</v>
      </c>
      <c r="E317" s="3">
        <v>491000000</v>
      </c>
      <c r="F317" s="17">
        <v>43762</v>
      </c>
      <c r="G317" s="3">
        <v>491000000</v>
      </c>
      <c r="H317" s="2">
        <v>5.0000000000000001E-3</v>
      </c>
      <c r="I317" s="17">
        <v>43762</v>
      </c>
      <c r="J317" s="17">
        <v>43769</v>
      </c>
      <c r="K317" s="3">
        <f>J317-I317+1</f>
        <v>8</v>
      </c>
      <c r="L317" s="3">
        <f>ROUND(G317*H317*K317/365,0)</f>
        <v>53808</v>
      </c>
      <c r="M317" s="3">
        <v>491000000</v>
      </c>
    </row>
    <row r="318" spans="1:13" s="16" customFormat="1" outlineLevel="2">
      <c r="A318" s="17" t="s">
        <v>52</v>
      </c>
      <c r="B318" s="18" t="s">
        <v>174</v>
      </c>
      <c r="C318" s="19" t="s">
        <v>311</v>
      </c>
      <c r="D318" s="18" t="s">
        <v>200</v>
      </c>
      <c r="E318" s="3">
        <v>16800000</v>
      </c>
      <c r="F318" s="17">
        <v>43741</v>
      </c>
      <c r="G318" s="3">
        <v>16800000</v>
      </c>
      <c r="H318" s="2">
        <v>5.0000000000000001E-3</v>
      </c>
      <c r="I318" s="17">
        <v>43741</v>
      </c>
      <c r="J318" s="17">
        <v>43769</v>
      </c>
      <c r="K318" s="3">
        <f>J318-I318+1</f>
        <v>29</v>
      </c>
      <c r="L318" s="3">
        <f>ROUND(G318*H318*K318/365,0)</f>
        <v>6674</v>
      </c>
      <c r="M318" s="3">
        <v>16800000</v>
      </c>
    </row>
    <row r="319" spans="1:13" s="16" customFormat="1" outlineLevel="2">
      <c r="A319" s="17" t="s">
        <v>52</v>
      </c>
      <c r="B319" s="18" t="s">
        <v>171</v>
      </c>
      <c r="C319" s="19" t="s">
        <v>310</v>
      </c>
      <c r="D319" s="18" t="s">
        <v>309</v>
      </c>
      <c r="E319" s="3">
        <v>50248600</v>
      </c>
      <c r="F319" s="17">
        <v>43753</v>
      </c>
      <c r="G319" s="3">
        <v>50248600</v>
      </c>
      <c r="H319" s="2">
        <v>5.0000000000000001E-3</v>
      </c>
      <c r="I319" s="17">
        <v>43753</v>
      </c>
      <c r="J319" s="17">
        <v>43769</v>
      </c>
      <c r="K319" s="3">
        <f>J319-I319+1</f>
        <v>17</v>
      </c>
      <c r="L319" s="3">
        <f>ROUND(G319*H319*K319/365,0)</f>
        <v>11702</v>
      </c>
      <c r="M319" s="3">
        <v>50248600</v>
      </c>
    </row>
    <row r="320" spans="1:13" s="16" customFormat="1" outlineLevel="2">
      <c r="A320" s="17" t="s">
        <v>52</v>
      </c>
      <c r="B320" s="18" t="s">
        <v>170</v>
      </c>
      <c r="C320" s="19" t="s">
        <v>253</v>
      </c>
      <c r="D320" s="18" t="s">
        <v>252</v>
      </c>
      <c r="E320" s="3">
        <v>4800000</v>
      </c>
      <c r="F320" s="17">
        <v>43754</v>
      </c>
      <c r="G320" s="3">
        <v>4800000</v>
      </c>
      <c r="H320" s="2">
        <v>5.0000000000000001E-3</v>
      </c>
      <c r="I320" s="17">
        <v>43754</v>
      </c>
      <c r="J320" s="17">
        <v>43769</v>
      </c>
      <c r="K320" s="3">
        <f>J320-I320+1</f>
        <v>16</v>
      </c>
      <c r="L320" s="3">
        <f>ROUND(G320*H320*K320/365,0)</f>
        <v>1052</v>
      </c>
      <c r="M320" s="3">
        <v>4800000</v>
      </c>
    </row>
    <row r="321" spans="1:13" s="16" customFormat="1" outlineLevel="2">
      <c r="A321" s="17" t="s">
        <v>52</v>
      </c>
      <c r="B321" s="18" t="s">
        <v>31</v>
      </c>
      <c r="C321" s="19" t="s">
        <v>51</v>
      </c>
      <c r="D321" s="18" t="s">
        <v>50</v>
      </c>
      <c r="E321" s="3">
        <v>200000000</v>
      </c>
      <c r="F321" s="17">
        <v>43620</v>
      </c>
      <c r="G321" s="3">
        <v>200000000</v>
      </c>
      <c r="H321" s="2">
        <v>1.4999999999999999E-2</v>
      </c>
      <c r="I321" s="17">
        <v>43739</v>
      </c>
      <c r="J321" s="17">
        <v>43769</v>
      </c>
      <c r="K321" s="3">
        <f>J321-I321+1</f>
        <v>31</v>
      </c>
      <c r="L321" s="3">
        <f>ROUND(G321*H321*K321/365,0)</f>
        <v>254795</v>
      </c>
      <c r="M321" s="3">
        <v>200000000</v>
      </c>
    </row>
    <row r="322" spans="1:13" s="16" customFormat="1" outlineLevel="2">
      <c r="A322" s="17" t="s">
        <v>52</v>
      </c>
      <c r="B322" s="18" t="s">
        <v>169</v>
      </c>
      <c r="C322" s="19" t="s">
        <v>308</v>
      </c>
      <c r="D322" s="18" t="s">
        <v>307</v>
      </c>
      <c r="E322" s="3">
        <v>400000000</v>
      </c>
      <c r="F322" s="17">
        <v>43739</v>
      </c>
      <c r="G322" s="3">
        <v>400000000</v>
      </c>
      <c r="H322" s="2">
        <v>5.0000000000000001E-3</v>
      </c>
      <c r="I322" s="17">
        <v>43739</v>
      </c>
      <c r="J322" s="17">
        <v>43769</v>
      </c>
      <c r="K322" s="3">
        <f>J322-I322+1</f>
        <v>31</v>
      </c>
      <c r="L322" s="3">
        <f>ROUND(G322*H322*K322/365,0)</f>
        <v>169863</v>
      </c>
      <c r="M322" s="3">
        <v>400000000</v>
      </c>
    </row>
    <row r="323" spans="1:13" s="16" customFormat="1" outlineLevel="2">
      <c r="A323" s="17" t="s">
        <v>52</v>
      </c>
      <c r="B323" s="18" t="s">
        <v>168</v>
      </c>
      <c r="C323" s="19" t="s">
        <v>308</v>
      </c>
      <c r="D323" s="18" t="s">
        <v>307</v>
      </c>
      <c r="E323" s="3">
        <v>14700000</v>
      </c>
      <c r="F323" s="17">
        <v>43768</v>
      </c>
      <c r="G323" s="3">
        <v>14700000</v>
      </c>
      <c r="H323" s="2">
        <v>5.0000000000000001E-3</v>
      </c>
      <c r="I323" s="17">
        <v>43768</v>
      </c>
      <c r="J323" s="17">
        <v>43769</v>
      </c>
      <c r="K323" s="3">
        <f>J323-I323+1</f>
        <v>2</v>
      </c>
      <c r="L323" s="3">
        <f>ROUND(G323*H323*K323/365,0)</f>
        <v>403</v>
      </c>
      <c r="M323" s="3">
        <v>14700000</v>
      </c>
    </row>
    <row r="324" spans="1:13" s="16" customFormat="1" outlineLevel="2">
      <c r="A324" s="17" t="s">
        <v>52</v>
      </c>
      <c r="B324" s="18" t="s">
        <v>30</v>
      </c>
      <c r="C324" s="19" t="s">
        <v>51</v>
      </c>
      <c r="D324" s="18" t="s">
        <v>50</v>
      </c>
      <c r="E324" s="3">
        <v>200000000</v>
      </c>
      <c r="F324" s="17">
        <v>43644</v>
      </c>
      <c r="G324" s="3">
        <v>200000000</v>
      </c>
      <c r="H324" s="2">
        <v>1.4999999999999999E-2</v>
      </c>
      <c r="I324" s="17">
        <v>43739</v>
      </c>
      <c r="J324" s="17">
        <v>43769</v>
      </c>
      <c r="K324" s="3">
        <f>J324-I324+1</f>
        <v>31</v>
      </c>
      <c r="L324" s="3">
        <f>ROUND(G324*H324*K324/365,0)</f>
        <v>254795</v>
      </c>
      <c r="M324" s="3">
        <v>200000000</v>
      </c>
    </row>
    <row r="325" spans="1:13" s="16" customFormat="1" outlineLevel="2">
      <c r="A325" s="17" t="s">
        <v>52</v>
      </c>
      <c r="B325" s="18" t="s">
        <v>28</v>
      </c>
      <c r="C325" s="19" t="s">
        <v>51</v>
      </c>
      <c r="D325" s="18" t="s">
        <v>50</v>
      </c>
      <c r="E325" s="3">
        <v>380000000</v>
      </c>
      <c r="F325" s="17">
        <v>43656</v>
      </c>
      <c r="G325" s="3">
        <v>380000000</v>
      </c>
      <c r="H325" s="2">
        <v>1.4999999999999999E-2</v>
      </c>
      <c r="I325" s="17">
        <v>43739</v>
      </c>
      <c r="J325" s="17">
        <v>43769</v>
      </c>
      <c r="K325" s="3">
        <f>J325-I325+1</f>
        <v>31</v>
      </c>
      <c r="L325" s="3">
        <f>ROUND(G325*H325*K325/365,0)</f>
        <v>484110</v>
      </c>
      <c r="M325" s="3">
        <v>380000000</v>
      </c>
    </row>
    <row r="326" spans="1:13" s="16" customFormat="1" outlineLevel="2">
      <c r="A326" s="17" t="s">
        <v>52</v>
      </c>
      <c r="B326" s="18" t="s">
        <v>48</v>
      </c>
      <c r="C326" s="19" t="s">
        <v>51</v>
      </c>
      <c r="D326" s="18" t="s">
        <v>50</v>
      </c>
      <c r="E326" s="3">
        <v>370000000</v>
      </c>
      <c r="F326" s="17">
        <v>43677</v>
      </c>
      <c r="G326" s="3">
        <v>370000000</v>
      </c>
      <c r="H326" s="2">
        <v>1.4999999999999999E-2</v>
      </c>
      <c r="I326" s="17">
        <v>43739</v>
      </c>
      <c r="J326" s="17">
        <v>43769</v>
      </c>
      <c r="K326" s="3">
        <f>J326-I326+1</f>
        <v>31</v>
      </c>
      <c r="L326" s="3">
        <f>ROUND(G326*H326*K326/365,0)</f>
        <v>471370</v>
      </c>
      <c r="M326" s="3">
        <v>370000000</v>
      </c>
    </row>
    <row r="327" spans="1:13" s="16" customFormat="1" outlineLevel="2">
      <c r="A327" s="17" t="s">
        <v>52</v>
      </c>
      <c r="B327" s="18" t="s">
        <v>47</v>
      </c>
      <c r="C327" s="19" t="s">
        <v>183</v>
      </c>
      <c r="D327" s="18" t="s">
        <v>182</v>
      </c>
      <c r="E327" s="3">
        <v>49200000</v>
      </c>
      <c r="F327" s="17">
        <v>43683</v>
      </c>
      <c r="G327" s="3">
        <v>49200000</v>
      </c>
      <c r="H327" s="2">
        <v>5.0000000000000001E-3</v>
      </c>
      <c r="I327" s="17">
        <v>43739</v>
      </c>
      <c r="J327" s="17">
        <v>43769</v>
      </c>
      <c r="K327" s="3">
        <f>J327-I327+1</f>
        <v>31</v>
      </c>
      <c r="L327" s="3">
        <f>ROUND(G327*H327*K327/365,0)</f>
        <v>20893</v>
      </c>
      <c r="M327" s="3">
        <v>49200000</v>
      </c>
    </row>
    <row r="328" spans="1:13" s="16" customFormat="1" outlineLevel="2">
      <c r="A328" s="17" t="s">
        <v>52</v>
      </c>
      <c r="B328" s="18" t="s">
        <v>46</v>
      </c>
      <c r="C328" s="19" t="s">
        <v>183</v>
      </c>
      <c r="D328" s="18" t="s">
        <v>182</v>
      </c>
      <c r="E328" s="3">
        <v>10098793</v>
      </c>
      <c r="F328" s="17">
        <v>43698</v>
      </c>
      <c r="G328" s="3">
        <v>10098793</v>
      </c>
      <c r="H328" s="2">
        <v>5.0000000000000001E-3</v>
      </c>
      <c r="I328" s="17">
        <v>43739</v>
      </c>
      <c r="J328" s="17">
        <v>43769</v>
      </c>
      <c r="K328" s="3">
        <f>J328-I328+1</f>
        <v>31</v>
      </c>
      <c r="L328" s="3">
        <f>ROUND(G328*H328*K328/365,0)</f>
        <v>4289</v>
      </c>
      <c r="M328" s="3">
        <v>10098793</v>
      </c>
    </row>
    <row r="329" spans="1:13" s="16" customFormat="1" outlineLevel="2">
      <c r="A329" s="17" t="s">
        <v>52</v>
      </c>
      <c r="B329" s="18" t="s">
        <v>45</v>
      </c>
      <c r="C329" s="19" t="s">
        <v>183</v>
      </c>
      <c r="D329" s="18" t="s">
        <v>182</v>
      </c>
      <c r="E329" s="3">
        <v>9667674</v>
      </c>
      <c r="F329" s="17">
        <v>43713</v>
      </c>
      <c r="G329" s="3">
        <v>9667674</v>
      </c>
      <c r="H329" s="2">
        <v>5.0000000000000001E-3</v>
      </c>
      <c r="I329" s="17">
        <v>43739</v>
      </c>
      <c r="J329" s="17">
        <v>43769</v>
      </c>
      <c r="K329" s="3">
        <f>J329-I329+1</f>
        <v>31</v>
      </c>
      <c r="L329" s="3">
        <f>ROUND(G329*H329*K329/365,0)</f>
        <v>4105</v>
      </c>
      <c r="M329" s="3">
        <v>9667674</v>
      </c>
    </row>
    <row r="330" spans="1:13" s="16" customFormat="1" outlineLevel="2">
      <c r="A330" s="17" t="s">
        <v>52</v>
      </c>
      <c r="B330" s="18" t="s">
        <v>44</v>
      </c>
      <c r="C330" s="19" t="s">
        <v>183</v>
      </c>
      <c r="D330" s="18" t="s">
        <v>182</v>
      </c>
      <c r="E330" s="3">
        <v>10239814</v>
      </c>
      <c r="F330" s="17">
        <v>43727</v>
      </c>
      <c r="G330" s="3">
        <v>10239814</v>
      </c>
      <c r="H330" s="2">
        <v>5.0000000000000001E-3</v>
      </c>
      <c r="I330" s="17">
        <v>43739</v>
      </c>
      <c r="J330" s="17">
        <v>43769</v>
      </c>
      <c r="K330" s="3">
        <f>J330-I330+1</f>
        <v>31</v>
      </c>
      <c r="L330" s="3">
        <f>ROUND(G330*H330*K330/365,0)</f>
        <v>4348</v>
      </c>
      <c r="M330" s="3">
        <v>10239814</v>
      </c>
    </row>
    <row r="331" spans="1:13" s="16" customFormat="1" outlineLevel="1">
      <c r="A331" s="28" t="s">
        <v>49</v>
      </c>
      <c r="B331" s="43"/>
      <c r="C331" s="44"/>
      <c r="D331" s="43"/>
      <c r="E331" s="45">
        <f>SUBTOTAL(9,E310:E330)</f>
        <v>3443748600</v>
      </c>
      <c r="F331" s="46"/>
      <c r="G331" s="45"/>
      <c r="H331" s="47"/>
      <c r="I331" s="46"/>
      <c r="J331" s="46"/>
      <c r="K331" s="45"/>
      <c r="L331" s="45">
        <f>SUBTOTAL(9,L310:L330)</f>
        <v>2441409</v>
      </c>
      <c r="M331" s="45">
        <f>SUBTOTAL(9,M310:M330)</f>
        <v>3443748600</v>
      </c>
    </row>
    <row r="332" spans="1:13" s="16" customFormat="1" outlineLevel="2">
      <c r="A332" s="17" t="s">
        <v>29</v>
      </c>
      <c r="B332" s="18" t="s">
        <v>17</v>
      </c>
      <c r="C332" s="19" t="s">
        <v>43</v>
      </c>
      <c r="D332" s="18" t="s">
        <v>26</v>
      </c>
      <c r="E332" s="3">
        <v>25874221</v>
      </c>
      <c r="F332" s="17">
        <v>43605</v>
      </c>
      <c r="G332" s="3">
        <v>25874221</v>
      </c>
      <c r="H332" s="2">
        <v>1.4999999999999999E-2</v>
      </c>
      <c r="I332" s="17">
        <v>43739</v>
      </c>
      <c r="J332" s="17">
        <v>43769</v>
      </c>
      <c r="K332" s="3">
        <f>J332-I332+1</f>
        <v>31</v>
      </c>
      <c r="L332" s="3">
        <f>ROUND(G332*H332*K332/365,0)</f>
        <v>32963</v>
      </c>
      <c r="M332" s="3">
        <v>25874221</v>
      </c>
    </row>
    <row r="333" spans="1:13" s="16" customFormat="1" outlineLevel="2">
      <c r="A333" s="17" t="s">
        <v>29</v>
      </c>
      <c r="B333" s="18" t="s">
        <v>181</v>
      </c>
      <c r="C333" s="19" t="s">
        <v>43</v>
      </c>
      <c r="D333" s="18" t="s">
        <v>26</v>
      </c>
      <c r="E333" s="3">
        <v>3361050</v>
      </c>
      <c r="F333" s="17">
        <v>43654</v>
      </c>
      <c r="G333" s="3">
        <v>3361050</v>
      </c>
      <c r="H333" s="2">
        <v>1.4999999999999999E-2</v>
      </c>
      <c r="I333" s="17">
        <v>43739</v>
      </c>
      <c r="J333" s="17">
        <v>43769</v>
      </c>
      <c r="K333" s="3">
        <f>J333-I333+1</f>
        <v>31</v>
      </c>
      <c r="L333" s="3">
        <f>ROUND(G333*H333*K333/365,0)</f>
        <v>4282</v>
      </c>
      <c r="M333" s="3">
        <v>3361050</v>
      </c>
    </row>
    <row r="334" spans="1:13" s="16" customFormat="1" outlineLevel="2">
      <c r="A334" s="17" t="s">
        <v>29</v>
      </c>
      <c r="B334" s="18" t="s">
        <v>180</v>
      </c>
      <c r="C334" s="19" t="s">
        <v>43</v>
      </c>
      <c r="D334" s="18" t="s">
        <v>26</v>
      </c>
      <c r="E334" s="3">
        <v>23833840</v>
      </c>
      <c r="F334" s="17">
        <v>43664</v>
      </c>
      <c r="G334" s="3">
        <v>23833840</v>
      </c>
      <c r="H334" s="2">
        <v>1.4999999999999999E-2</v>
      </c>
      <c r="I334" s="17">
        <v>43739</v>
      </c>
      <c r="J334" s="17">
        <v>43769</v>
      </c>
      <c r="K334" s="3">
        <f>J334-I334+1</f>
        <v>31</v>
      </c>
      <c r="L334" s="3">
        <f>ROUND(G334*H334*K334/365,0)</f>
        <v>30364</v>
      </c>
      <c r="M334" s="3">
        <v>23833840</v>
      </c>
    </row>
    <row r="335" spans="1:13" s="16" customFormat="1" outlineLevel="2">
      <c r="A335" s="17" t="s">
        <v>29</v>
      </c>
      <c r="B335" s="18" t="s">
        <v>179</v>
      </c>
      <c r="C335" s="19" t="s">
        <v>43</v>
      </c>
      <c r="D335" s="18" t="s">
        <v>26</v>
      </c>
      <c r="E335" s="3">
        <v>92130451</v>
      </c>
      <c r="F335" s="17">
        <v>43665</v>
      </c>
      <c r="G335" s="3">
        <v>92130451</v>
      </c>
      <c r="H335" s="2">
        <v>1.4999999999999999E-2</v>
      </c>
      <c r="I335" s="17">
        <v>43739</v>
      </c>
      <c r="J335" s="17">
        <v>43769</v>
      </c>
      <c r="K335" s="3">
        <f>J335-I335+1</f>
        <v>31</v>
      </c>
      <c r="L335" s="3">
        <f>ROUND(G335*H335*K335/365,0)</f>
        <v>117372</v>
      </c>
      <c r="M335" s="3">
        <v>92130451</v>
      </c>
    </row>
    <row r="336" spans="1:13" s="16" customFormat="1" outlineLevel="2">
      <c r="A336" s="17" t="s">
        <v>29</v>
      </c>
      <c r="B336" s="18" t="s">
        <v>178</v>
      </c>
      <c r="C336" s="19" t="s">
        <v>43</v>
      </c>
      <c r="D336" s="18" t="s">
        <v>26</v>
      </c>
      <c r="E336" s="3">
        <v>13975915</v>
      </c>
      <c r="F336" s="17">
        <v>43675</v>
      </c>
      <c r="G336" s="3">
        <v>13975915</v>
      </c>
      <c r="H336" s="2">
        <v>1.4999999999999999E-2</v>
      </c>
      <c r="I336" s="17">
        <v>43739</v>
      </c>
      <c r="J336" s="17">
        <v>43769</v>
      </c>
      <c r="K336" s="3">
        <f>J336-I336+1</f>
        <v>31</v>
      </c>
      <c r="L336" s="3">
        <f>ROUND(G336*H336*K336/365,0)</f>
        <v>17805</v>
      </c>
      <c r="M336" s="3">
        <v>13975915</v>
      </c>
    </row>
    <row r="337" spans="1:13" s="16" customFormat="1" outlineLevel="2">
      <c r="A337" s="17" t="s">
        <v>29</v>
      </c>
      <c r="B337" s="18" t="s">
        <v>177</v>
      </c>
      <c r="C337" s="19" t="s">
        <v>43</v>
      </c>
      <c r="D337" s="18" t="s">
        <v>26</v>
      </c>
      <c r="E337" s="3">
        <v>16675884</v>
      </c>
      <c r="F337" s="17">
        <v>43654</v>
      </c>
      <c r="G337" s="3">
        <v>16675884</v>
      </c>
      <c r="H337" s="2">
        <v>1.4999999999999999E-2</v>
      </c>
      <c r="I337" s="17">
        <v>43739</v>
      </c>
      <c r="J337" s="17">
        <v>43769</v>
      </c>
      <c r="K337" s="3">
        <f>J337-I337+1</f>
        <v>31</v>
      </c>
      <c r="L337" s="3">
        <f>ROUND(G337*H337*K337/365,0)</f>
        <v>21245</v>
      </c>
      <c r="M337" s="3">
        <v>16675884</v>
      </c>
    </row>
    <row r="338" spans="1:13" s="16" customFormat="1" outlineLevel="2">
      <c r="A338" s="17" t="s">
        <v>29</v>
      </c>
      <c r="B338" s="18" t="s">
        <v>176</v>
      </c>
      <c r="C338" s="19" t="s">
        <v>43</v>
      </c>
      <c r="D338" s="18" t="s">
        <v>26</v>
      </c>
      <c r="E338" s="3">
        <v>44604939</v>
      </c>
      <c r="F338" s="17">
        <v>43664</v>
      </c>
      <c r="G338" s="3">
        <v>44604939</v>
      </c>
      <c r="H338" s="2">
        <v>1.4999999999999999E-2</v>
      </c>
      <c r="I338" s="17">
        <v>43739</v>
      </c>
      <c r="J338" s="17">
        <v>43769</v>
      </c>
      <c r="K338" s="3">
        <f>J338-I338+1</f>
        <v>31</v>
      </c>
      <c r="L338" s="3">
        <f>ROUND(G338*H338*K338/365,0)</f>
        <v>56825</v>
      </c>
      <c r="M338" s="3">
        <v>44604939</v>
      </c>
    </row>
    <row r="339" spans="1:13" s="16" customFormat="1" outlineLevel="2">
      <c r="A339" s="17" t="s">
        <v>29</v>
      </c>
      <c r="B339" s="18" t="s">
        <v>175</v>
      </c>
      <c r="C339" s="19" t="s">
        <v>43</v>
      </c>
      <c r="D339" s="18" t="s">
        <v>26</v>
      </c>
      <c r="E339" s="3">
        <v>3069360</v>
      </c>
      <c r="F339" s="17">
        <v>43675</v>
      </c>
      <c r="G339" s="3">
        <v>3069360</v>
      </c>
      <c r="H339" s="2">
        <v>1.4999999999999999E-2</v>
      </c>
      <c r="I339" s="17">
        <v>43739</v>
      </c>
      <c r="J339" s="17">
        <v>43769</v>
      </c>
      <c r="K339" s="3">
        <f>J339-I339+1</f>
        <v>31</v>
      </c>
      <c r="L339" s="3">
        <f>ROUND(G339*H339*K339/365,0)</f>
        <v>3910</v>
      </c>
      <c r="M339" s="3">
        <v>3069360</v>
      </c>
    </row>
    <row r="340" spans="1:13" s="16" customFormat="1" outlineLevel="2">
      <c r="A340" s="17" t="s">
        <v>29</v>
      </c>
      <c r="B340" s="18" t="s">
        <v>174</v>
      </c>
      <c r="C340" s="19" t="s">
        <v>173</v>
      </c>
      <c r="D340" s="18" t="s">
        <v>172</v>
      </c>
      <c r="E340" s="3">
        <v>1000000000</v>
      </c>
      <c r="F340" s="17">
        <v>43672</v>
      </c>
      <c r="G340" s="3">
        <v>1000000000</v>
      </c>
      <c r="H340" s="2">
        <v>1.4999999999999999E-2</v>
      </c>
      <c r="I340" s="17">
        <v>43739</v>
      </c>
      <c r="J340" s="17">
        <v>43769</v>
      </c>
      <c r="K340" s="3">
        <f>J340-I340+1</f>
        <v>31</v>
      </c>
      <c r="L340" s="3">
        <f>ROUND(G340*H340*K340/365,0)</f>
        <v>1273973</v>
      </c>
      <c r="M340" s="3">
        <v>1000000000</v>
      </c>
    </row>
    <row r="341" spans="1:13" s="16" customFormat="1" outlineLevel="2">
      <c r="A341" s="17" t="s">
        <v>29</v>
      </c>
      <c r="B341" s="18" t="s">
        <v>171</v>
      </c>
      <c r="C341" s="19" t="s">
        <v>163</v>
      </c>
      <c r="D341" s="18" t="s">
        <v>162</v>
      </c>
      <c r="E341" s="3">
        <v>1300000</v>
      </c>
      <c r="F341" s="17">
        <v>43672</v>
      </c>
      <c r="G341" s="3">
        <v>1300000</v>
      </c>
      <c r="H341" s="2">
        <v>1.4999999999999999E-2</v>
      </c>
      <c r="I341" s="17">
        <v>43739</v>
      </c>
      <c r="J341" s="17">
        <v>43769</v>
      </c>
      <c r="K341" s="3">
        <f>J341-I341+1</f>
        <v>31</v>
      </c>
      <c r="L341" s="3">
        <f>ROUND(G341*H341*K341/365,0)</f>
        <v>1656</v>
      </c>
      <c r="M341" s="3">
        <v>1300000</v>
      </c>
    </row>
    <row r="342" spans="1:13" s="16" customFormat="1" outlineLevel="2">
      <c r="A342" s="17" t="s">
        <v>29</v>
      </c>
      <c r="B342" s="18" t="s">
        <v>170</v>
      </c>
      <c r="C342" s="19" t="s">
        <v>163</v>
      </c>
      <c r="D342" s="18" t="s">
        <v>162</v>
      </c>
      <c r="E342" s="3">
        <v>7780000</v>
      </c>
      <c r="F342" s="17">
        <v>43672</v>
      </c>
      <c r="G342" s="3">
        <v>7780000</v>
      </c>
      <c r="H342" s="2">
        <v>1.4999999999999999E-2</v>
      </c>
      <c r="I342" s="17">
        <v>43739</v>
      </c>
      <c r="J342" s="17">
        <v>43769</v>
      </c>
      <c r="K342" s="3">
        <f>J342-I342+1</f>
        <v>31</v>
      </c>
      <c r="L342" s="3">
        <f>ROUND(G342*H342*K342/365,0)</f>
        <v>9912</v>
      </c>
      <c r="M342" s="3">
        <v>7780000</v>
      </c>
    </row>
    <row r="343" spans="1:13" s="16" customFormat="1" outlineLevel="2">
      <c r="A343" s="17" t="s">
        <v>29</v>
      </c>
      <c r="B343" s="18" t="s">
        <v>31</v>
      </c>
      <c r="C343" s="19" t="s">
        <v>43</v>
      </c>
      <c r="D343" s="18" t="s">
        <v>26</v>
      </c>
      <c r="E343" s="3">
        <v>7967807</v>
      </c>
      <c r="F343" s="17">
        <v>43613</v>
      </c>
      <c r="G343" s="3">
        <v>7967807</v>
      </c>
      <c r="H343" s="2">
        <v>1.4999999999999999E-2</v>
      </c>
      <c r="I343" s="17">
        <v>43739</v>
      </c>
      <c r="J343" s="17">
        <v>43769</v>
      </c>
      <c r="K343" s="3">
        <f>J343-I343+1</f>
        <v>31</v>
      </c>
      <c r="L343" s="3">
        <f>ROUND(G343*H343*K343/365,0)</f>
        <v>10151</v>
      </c>
      <c r="M343" s="3">
        <v>7967807</v>
      </c>
    </row>
    <row r="344" spans="1:13" s="16" customFormat="1" outlineLevel="2">
      <c r="A344" s="17" t="s">
        <v>29</v>
      </c>
      <c r="B344" s="18" t="s">
        <v>169</v>
      </c>
      <c r="C344" s="19" t="s">
        <v>51</v>
      </c>
      <c r="D344" s="18" t="s">
        <v>50</v>
      </c>
      <c r="E344" s="3">
        <v>81000000</v>
      </c>
      <c r="F344" s="17">
        <v>43650</v>
      </c>
      <c r="G344" s="3">
        <v>81000000</v>
      </c>
      <c r="H344" s="2">
        <v>1.4999999999999999E-2</v>
      </c>
      <c r="I344" s="17">
        <v>43739</v>
      </c>
      <c r="J344" s="17">
        <v>43769</v>
      </c>
      <c r="K344" s="3">
        <f>J344-I344+1</f>
        <v>31</v>
      </c>
      <c r="L344" s="3">
        <f>ROUND(G344*H344*K344/365,0)</f>
        <v>103192</v>
      </c>
      <c r="M344" s="3">
        <v>81000000</v>
      </c>
    </row>
    <row r="345" spans="1:13" s="16" customFormat="1" outlineLevel="2">
      <c r="A345" s="17" t="s">
        <v>29</v>
      </c>
      <c r="B345" s="18" t="s">
        <v>168</v>
      </c>
      <c r="C345" s="19" t="s">
        <v>51</v>
      </c>
      <c r="D345" s="18" t="s">
        <v>50</v>
      </c>
      <c r="E345" s="3">
        <v>500000000</v>
      </c>
      <c r="F345" s="17">
        <v>43651</v>
      </c>
      <c r="G345" s="3">
        <v>500000000</v>
      </c>
      <c r="H345" s="2">
        <v>1.4999999999999999E-2</v>
      </c>
      <c r="I345" s="17">
        <v>43739</v>
      </c>
      <c r="J345" s="17">
        <v>43769</v>
      </c>
      <c r="K345" s="3">
        <f>J345-I345+1</f>
        <v>31</v>
      </c>
      <c r="L345" s="3">
        <f>ROUND(G345*H345*K345/365,0)</f>
        <v>636986</v>
      </c>
      <c r="M345" s="3">
        <v>500000000</v>
      </c>
    </row>
    <row r="346" spans="1:13" s="16" customFormat="1" outlineLevel="2">
      <c r="A346" s="17" t="s">
        <v>29</v>
      </c>
      <c r="B346" s="18" t="s">
        <v>167</v>
      </c>
      <c r="C346" s="19" t="s">
        <v>159</v>
      </c>
      <c r="D346" s="18" t="s">
        <v>158</v>
      </c>
      <c r="E346" s="3">
        <v>79839000</v>
      </c>
      <c r="F346" s="17">
        <v>43663</v>
      </c>
      <c r="G346" s="3">
        <v>79839000</v>
      </c>
      <c r="H346" s="2">
        <v>1.4999999999999999E-2</v>
      </c>
      <c r="I346" s="17">
        <v>43739</v>
      </c>
      <c r="J346" s="17">
        <v>43769</v>
      </c>
      <c r="K346" s="3">
        <f>J346-I346+1</f>
        <v>31</v>
      </c>
      <c r="L346" s="3">
        <f>ROUND(G346*H346*K346/365,0)</f>
        <v>101713</v>
      </c>
      <c r="M346" s="3">
        <v>79839000</v>
      </c>
    </row>
    <row r="347" spans="1:13" s="16" customFormat="1" outlineLevel="2">
      <c r="A347" s="17" t="s">
        <v>29</v>
      </c>
      <c r="B347" s="18" t="s">
        <v>166</v>
      </c>
      <c r="C347" s="19" t="s">
        <v>159</v>
      </c>
      <c r="D347" s="18" t="s">
        <v>158</v>
      </c>
      <c r="E347" s="3">
        <v>38097000</v>
      </c>
      <c r="F347" s="17">
        <v>43663</v>
      </c>
      <c r="G347" s="3">
        <v>38097000</v>
      </c>
      <c r="H347" s="2">
        <v>1.4999999999999999E-2</v>
      </c>
      <c r="I347" s="17">
        <v>43739</v>
      </c>
      <c r="J347" s="17">
        <v>43769</v>
      </c>
      <c r="K347" s="3">
        <f>J347-I347+1</f>
        <v>31</v>
      </c>
      <c r="L347" s="3">
        <f>ROUND(G347*H347*K347/365,0)</f>
        <v>48535</v>
      </c>
      <c r="M347" s="3">
        <v>38097000</v>
      </c>
    </row>
    <row r="348" spans="1:13" s="16" customFormat="1" outlineLevel="2">
      <c r="A348" s="17" t="s">
        <v>29</v>
      </c>
      <c r="B348" s="18" t="s">
        <v>165</v>
      </c>
      <c r="C348" s="19" t="s">
        <v>43</v>
      </c>
      <c r="D348" s="18" t="s">
        <v>26</v>
      </c>
      <c r="E348" s="3">
        <v>78330067</v>
      </c>
      <c r="F348" s="17">
        <v>43692</v>
      </c>
      <c r="G348" s="3">
        <v>78330067</v>
      </c>
      <c r="H348" s="2">
        <v>1.4999999999999999E-2</v>
      </c>
      <c r="I348" s="17">
        <v>43739</v>
      </c>
      <c r="J348" s="17">
        <v>43769</v>
      </c>
      <c r="K348" s="3">
        <f>J348-I348+1</f>
        <v>31</v>
      </c>
      <c r="L348" s="3">
        <f>ROUND(G348*H348*K348/365,0)</f>
        <v>99790</v>
      </c>
      <c r="M348" s="3">
        <v>78330067</v>
      </c>
    </row>
    <row r="349" spans="1:13" s="16" customFormat="1" outlineLevel="2">
      <c r="A349" s="17" t="s">
        <v>29</v>
      </c>
      <c r="B349" s="18" t="s">
        <v>164</v>
      </c>
      <c r="C349" s="19" t="s">
        <v>163</v>
      </c>
      <c r="D349" s="18" t="s">
        <v>162</v>
      </c>
      <c r="E349" s="3">
        <v>6600000</v>
      </c>
      <c r="F349" s="17">
        <v>43700</v>
      </c>
      <c r="G349" s="3">
        <v>6600000</v>
      </c>
      <c r="H349" s="2">
        <v>1.4999999999999999E-2</v>
      </c>
      <c r="I349" s="17">
        <v>43739</v>
      </c>
      <c r="J349" s="17">
        <v>43769</v>
      </c>
      <c r="K349" s="3">
        <f>J349-I349+1</f>
        <v>31</v>
      </c>
      <c r="L349" s="3">
        <f>ROUND(G349*H349*K349/365,0)</f>
        <v>8408</v>
      </c>
      <c r="M349" s="3">
        <v>6600000</v>
      </c>
    </row>
    <row r="350" spans="1:13" s="16" customFormat="1" outlineLevel="2">
      <c r="A350" s="17" t="s">
        <v>29</v>
      </c>
      <c r="B350" s="18" t="s">
        <v>161</v>
      </c>
      <c r="C350" s="19" t="s">
        <v>159</v>
      </c>
      <c r="D350" s="18" t="s">
        <v>158</v>
      </c>
      <c r="E350" s="3">
        <v>18206000</v>
      </c>
      <c r="F350" s="17">
        <v>43693</v>
      </c>
      <c r="G350" s="3">
        <v>18206000</v>
      </c>
      <c r="H350" s="2">
        <v>1.4999999999999999E-2</v>
      </c>
      <c r="I350" s="17">
        <v>43739</v>
      </c>
      <c r="J350" s="17">
        <v>43769</v>
      </c>
      <c r="K350" s="3">
        <f>J350-I350+1</f>
        <v>31</v>
      </c>
      <c r="L350" s="3">
        <f>ROUND(G350*H350*K350/365,0)</f>
        <v>23194</v>
      </c>
      <c r="M350" s="3">
        <v>18206000</v>
      </c>
    </row>
    <row r="351" spans="1:13" s="16" customFormat="1" outlineLevel="2">
      <c r="A351" s="17" t="s">
        <v>29</v>
      </c>
      <c r="B351" s="18" t="s">
        <v>160</v>
      </c>
      <c r="C351" s="19" t="s">
        <v>159</v>
      </c>
      <c r="D351" s="18" t="s">
        <v>158</v>
      </c>
      <c r="E351" s="3">
        <v>6635000</v>
      </c>
      <c r="F351" s="17">
        <v>43693</v>
      </c>
      <c r="G351" s="3">
        <v>6635000</v>
      </c>
      <c r="H351" s="2">
        <v>1.4999999999999999E-2</v>
      </c>
      <c r="I351" s="17">
        <v>43739</v>
      </c>
      <c r="J351" s="17">
        <v>43769</v>
      </c>
      <c r="K351" s="3">
        <f>J351-I351+1</f>
        <v>31</v>
      </c>
      <c r="L351" s="3">
        <f>ROUND(G351*H351*K351/365,0)</f>
        <v>8453</v>
      </c>
      <c r="M351" s="3">
        <v>6635000</v>
      </c>
    </row>
    <row r="352" spans="1:13" s="16" customFormat="1" outlineLevel="2">
      <c r="A352" s="17" t="s">
        <v>29</v>
      </c>
      <c r="B352" s="18" t="s">
        <v>157</v>
      </c>
      <c r="C352" s="19" t="s">
        <v>150</v>
      </c>
      <c r="D352" s="18" t="s">
        <v>149</v>
      </c>
      <c r="E352" s="3">
        <v>145793089</v>
      </c>
      <c r="F352" s="17">
        <v>43697</v>
      </c>
      <c r="G352" s="3">
        <v>145793089</v>
      </c>
      <c r="H352" s="2">
        <v>5.0000000000000001E-3</v>
      </c>
      <c r="I352" s="17">
        <v>43739</v>
      </c>
      <c r="J352" s="17">
        <v>43769</v>
      </c>
      <c r="K352" s="3">
        <f>J352-I352+1</f>
        <v>31</v>
      </c>
      <c r="L352" s="3">
        <f>ROUND(G352*H352*K352/365,0)</f>
        <v>61912</v>
      </c>
      <c r="M352" s="3">
        <v>145793089</v>
      </c>
    </row>
    <row r="353" spans="1:13" s="16" customFormat="1" outlineLevel="2">
      <c r="A353" s="17" t="s">
        <v>29</v>
      </c>
      <c r="B353" s="18" t="s">
        <v>156</v>
      </c>
      <c r="C353" s="19" t="s">
        <v>150</v>
      </c>
      <c r="D353" s="18" t="s">
        <v>149</v>
      </c>
      <c r="E353" s="3">
        <v>53362182</v>
      </c>
      <c r="F353" s="17">
        <v>43697</v>
      </c>
      <c r="G353" s="3">
        <v>53362182</v>
      </c>
      <c r="H353" s="2">
        <v>5.0000000000000001E-3</v>
      </c>
      <c r="I353" s="17">
        <v>43739</v>
      </c>
      <c r="J353" s="17">
        <v>43769</v>
      </c>
      <c r="K353" s="3">
        <f>J353-I353+1</f>
        <v>31</v>
      </c>
      <c r="L353" s="3">
        <f>ROUND(G353*H353*K353/365,0)</f>
        <v>22661</v>
      </c>
      <c r="M353" s="3">
        <v>53362182</v>
      </c>
    </row>
    <row r="354" spans="1:13" s="16" customFormat="1" outlineLevel="2">
      <c r="A354" s="17" t="s">
        <v>29</v>
      </c>
      <c r="B354" s="18" t="s">
        <v>30</v>
      </c>
      <c r="C354" s="19" t="s">
        <v>43</v>
      </c>
      <c r="D354" s="18" t="s">
        <v>26</v>
      </c>
      <c r="E354" s="3">
        <v>40136695</v>
      </c>
      <c r="F354" s="17">
        <v>43605</v>
      </c>
      <c r="G354" s="3">
        <v>40136695</v>
      </c>
      <c r="H354" s="2">
        <v>1.4999999999999999E-2</v>
      </c>
      <c r="I354" s="17">
        <v>43739</v>
      </c>
      <c r="J354" s="17">
        <v>43769</v>
      </c>
      <c r="K354" s="3">
        <f>J354-I354+1</f>
        <v>31</v>
      </c>
      <c r="L354" s="3">
        <f>ROUND(G354*H354*K354/365,0)</f>
        <v>51133</v>
      </c>
      <c r="M354" s="3">
        <v>40136695</v>
      </c>
    </row>
    <row r="355" spans="1:13" s="16" customFormat="1" outlineLevel="2">
      <c r="A355" s="17" t="s">
        <v>29</v>
      </c>
      <c r="B355" s="18" t="s">
        <v>155</v>
      </c>
      <c r="C355" s="19" t="s">
        <v>150</v>
      </c>
      <c r="D355" s="18" t="s">
        <v>149</v>
      </c>
      <c r="E355" s="3">
        <v>6066888</v>
      </c>
      <c r="F355" s="17">
        <v>43698</v>
      </c>
      <c r="G355" s="3">
        <v>6066888</v>
      </c>
      <c r="H355" s="2">
        <v>5.0000000000000001E-3</v>
      </c>
      <c r="I355" s="17">
        <v>43739</v>
      </c>
      <c r="J355" s="17">
        <v>43769</v>
      </c>
      <c r="K355" s="3">
        <f>J355-I355+1</f>
        <v>31</v>
      </c>
      <c r="L355" s="3">
        <f>ROUND(G355*H355*K355/365,0)</f>
        <v>2576</v>
      </c>
      <c r="M355" s="3">
        <v>6066888</v>
      </c>
    </row>
    <row r="356" spans="1:13" s="16" customFormat="1" outlineLevel="2">
      <c r="A356" s="17" t="s">
        <v>29</v>
      </c>
      <c r="B356" s="18" t="s">
        <v>154</v>
      </c>
      <c r="C356" s="19" t="s">
        <v>150</v>
      </c>
      <c r="D356" s="18" t="s">
        <v>149</v>
      </c>
      <c r="E356" s="3">
        <v>8672311</v>
      </c>
      <c r="F356" s="17">
        <v>43705</v>
      </c>
      <c r="G356" s="3">
        <v>8672311</v>
      </c>
      <c r="H356" s="2">
        <v>5.0000000000000001E-3</v>
      </c>
      <c r="I356" s="17">
        <v>43739</v>
      </c>
      <c r="J356" s="17">
        <v>43769</v>
      </c>
      <c r="K356" s="3">
        <f>J356-I356+1</f>
        <v>31</v>
      </c>
      <c r="L356" s="3">
        <f>ROUND(G356*H356*K356/365,0)</f>
        <v>3683</v>
      </c>
      <c r="M356" s="3">
        <v>8672311</v>
      </c>
    </row>
    <row r="357" spans="1:13" s="16" customFormat="1" outlineLevel="2">
      <c r="A357" s="17" t="s">
        <v>29</v>
      </c>
      <c r="B357" s="18" t="s">
        <v>153</v>
      </c>
      <c r="C357" s="19" t="s">
        <v>150</v>
      </c>
      <c r="D357" s="18" t="s">
        <v>149</v>
      </c>
      <c r="E357" s="3">
        <v>72772468</v>
      </c>
      <c r="F357" s="17">
        <v>43697</v>
      </c>
      <c r="G357" s="3">
        <v>72772468</v>
      </c>
      <c r="H357" s="2">
        <v>3.0000000000000001E-3</v>
      </c>
      <c r="I357" s="17">
        <v>43739</v>
      </c>
      <c r="J357" s="17">
        <v>43769</v>
      </c>
      <c r="K357" s="3">
        <f>J357-I357+1</f>
        <v>31</v>
      </c>
      <c r="L357" s="3">
        <f>ROUND(G357*H357*K357/365,0)</f>
        <v>18542</v>
      </c>
      <c r="M357" s="3">
        <v>72772468</v>
      </c>
    </row>
    <row r="358" spans="1:13" s="16" customFormat="1" outlineLevel="2">
      <c r="A358" s="17" t="s">
        <v>29</v>
      </c>
      <c r="B358" s="18" t="s">
        <v>152</v>
      </c>
      <c r="C358" s="19" t="s">
        <v>150</v>
      </c>
      <c r="D358" s="18" t="s">
        <v>149</v>
      </c>
      <c r="E358" s="3">
        <v>21070723</v>
      </c>
      <c r="F358" s="17">
        <v>43697</v>
      </c>
      <c r="G358" s="3">
        <v>21070723</v>
      </c>
      <c r="H358" s="2">
        <v>3.0000000000000001E-3</v>
      </c>
      <c r="I358" s="17">
        <v>43739</v>
      </c>
      <c r="J358" s="17">
        <v>43769</v>
      </c>
      <c r="K358" s="3">
        <f>J358-I358+1</f>
        <v>31</v>
      </c>
      <c r="L358" s="3">
        <f>ROUND(G358*H358*K358/365,0)</f>
        <v>5369</v>
      </c>
      <c r="M358" s="3">
        <v>21070723</v>
      </c>
    </row>
    <row r="359" spans="1:13" s="16" customFormat="1" outlineLevel="2">
      <c r="A359" s="17" t="s">
        <v>29</v>
      </c>
      <c r="B359" s="18" t="s">
        <v>151</v>
      </c>
      <c r="C359" s="19" t="s">
        <v>150</v>
      </c>
      <c r="D359" s="18" t="s">
        <v>149</v>
      </c>
      <c r="E359" s="3">
        <v>3227640</v>
      </c>
      <c r="F359" s="17">
        <v>43705</v>
      </c>
      <c r="G359" s="3">
        <v>3227640</v>
      </c>
      <c r="H359" s="2">
        <v>3.0000000000000001E-3</v>
      </c>
      <c r="I359" s="17">
        <v>43739</v>
      </c>
      <c r="J359" s="17">
        <v>43769</v>
      </c>
      <c r="K359" s="3">
        <f>J359-I359+1</f>
        <v>31</v>
      </c>
      <c r="L359" s="3">
        <f>ROUND(G359*H359*K359/365,0)</f>
        <v>822</v>
      </c>
      <c r="M359" s="3">
        <v>3227640</v>
      </c>
    </row>
    <row r="360" spans="1:13" s="16" customFormat="1" outlineLevel="2">
      <c r="A360" s="17" t="s">
        <v>29</v>
      </c>
      <c r="B360" s="18" t="s">
        <v>196</v>
      </c>
      <c r="C360" s="19" t="s">
        <v>43</v>
      </c>
      <c r="D360" s="18" t="s">
        <v>26</v>
      </c>
      <c r="E360" s="3">
        <v>670189</v>
      </c>
      <c r="F360" s="17">
        <v>43717</v>
      </c>
      <c r="G360" s="3">
        <v>670189</v>
      </c>
      <c r="H360" s="2">
        <v>1.4999999999999999E-2</v>
      </c>
      <c r="I360" s="17">
        <v>43739</v>
      </c>
      <c r="J360" s="17">
        <v>43769</v>
      </c>
      <c r="K360" s="3">
        <f>J360-I360+1</f>
        <v>31</v>
      </c>
      <c r="L360" s="3">
        <f>ROUND(G360*H360*K360/365,0)</f>
        <v>854</v>
      </c>
      <c r="M360" s="3">
        <v>670189</v>
      </c>
    </row>
    <row r="361" spans="1:13" s="16" customFormat="1" outlineLevel="2">
      <c r="A361" s="17" t="s">
        <v>29</v>
      </c>
      <c r="B361" s="18" t="s">
        <v>195</v>
      </c>
      <c r="C361" s="19" t="s">
        <v>43</v>
      </c>
      <c r="D361" s="18" t="s">
        <v>26</v>
      </c>
      <c r="E361" s="3">
        <v>17810846</v>
      </c>
      <c r="F361" s="17">
        <v>43726</v>
      </c>
      <c r="G361" s="3">
        <v>17810846</v>
      </c>
      <c r="H361" s="2">
        <v>1.4999999999999999E-2</v>
      </c>
      <c r="I361" s="17">
        <v>43739</v>
      </c>
      <c r="J361" s="17">
        <v>43769</v>
      </c>
      <c r="K361" s="3">
        <f>J361-I361+1</f>
        <v>31</v>
      </c>
      <c r="L361" s="3">
        <f>ROUND(G361*H361*K361/365,0)</f>
        <v>22691</v>
      </c>
      <c r="M361" s="3">
        <v>17810846</v>
      </c>
    </row>
    <row r="362" spans="1:13" s="16" customFormat="1" outlineLevel="2">
      <c r="A362" s="17" t="s">
        <v>29</v>
      </c>
      <c r="B362" s="18" t="s">
        <v>194</v>
      </c>
      <c r="C362" s="19" t="s">
        <v>43</v>
      </c>
      <c r="D362" s="18" t="s">
        <v>26</v>
      </c>
      <c r="E362" s="3">
        <v>26174136</v>
      </c>
      <c r="F362" s="17">
        <v>43717</v>
      </c>
      <c r="G362" s="3">
        <v>26174136</v>
      </c>
      <c r="H362" s="2">
        <v>1.4999999999999999E-2</v>
      </c>
      <c r="I362" s="17">
        <v>43739</v>
      </c>
      <c r="J362" s="17">
        <v>43769</v>
      </c>
      <c r="K362" s="3">
        <f>J362-I362+1</f>
        <v>31</v>
      </c>
      <c r="L362" s="3">
        <f>ROUND(G362*H362*K362/365,0)</f>
        <v>33345</v>
      </c>
      <c r="M362" s="3">
        <v>26174136</v>
      </c>
    </row>
    <row r="363" spans="1:13" s="16" customFormat="1" outlineLevel="2">
      <c r="A363" s="17" t="s">
        <v>29</v>
      </c>
      <c r="B363" s="18" t="s">
        <v>193</v>
      </c>
      <c r="C363" s="19" t="s">
        <v>43</v>
      </c>
      <c r="D363" s="18" t="s">
        <v>26</v>
      </c>
      <c r="E363" s="3">
        <v>91994545</v>
      </c>
      <c r="F363" s="17">
        <v>43726</v>
      </c>
      <c r="G363" s="3">
        <v>91994545</v>
      </c>
      <c r="H363" s="2">
        <v>1.4999999999999999E-2</v>
      </c>
      <c r="I363" s="17">
        <v>43739</v>
      </c>
      <c r="J363" s="17">
        <v>43769</v>
      </c>
      <c r="K363" s="3">
        <f>J363-I363+1</f>
        <v>31</v>
      </c>
      <c r="L363" s="3">
        <f>ROUND(G363*H363*K363/365,0)</f>
        <v>117199</v>
      </c>
      <c r="M363" s="3">
        <v>91994545</v>
      </c>
    </row>
    <row r="364" spans="1:13" s="16" customFormat="1" outlineLevel="2">
      <c r="A364" s="17" t="s">
        <v>29</v>
      </c>
      <c r="B364" s="18" t="s">
        <v>192</v>
      </c>
      <c r="C364" s="19" t="s">
        <v>173</v>
      </c>
      <c r="D364" s="18" t="s">
        <v>172</v>
      </c>
      <c r="E364" s="3">
        <v>1000000000</v>
      </c>
      <c r="F364" s="17">
        <v>43720</v>
      </c>
      <c r="G364" s="3">
        <v>1000000000</v>
      </c>
      <c r="H364" s="2">
        <v>1.4999999999999999E-2</v>
      </c>
      <c r="I364" s="17">
        <v>43739</v>
      </c>
      <c r="J364" s="17">
        <v>43769</v>
      </c>
      <c r="K364" s="3">
        <f>J364-I364+1</f>
        <v>31</v>
      </c>
      <c r="L364" s="3">
        <f>ROUND(G364*H364*K364/365,0)</f>
        <v>1273973</v>
      </c>
      <c r="M364" s="3">
        <v>1000000000</v>
      </c>
    </row>
    <row r="365" spans="1:13" s="16" customFormat="1" outlineLevel="2">
      <c r="A365" s="17" t="s">
        <v>29</v>
      </c>
      <c r="B365" s="18" t="s">
        <v>28</v>
      </c>
      <c r="C365" s="19" t="s">
        <v>43</v>
      </c>
      <c r="D365" s="18" t="s">
        <v>26</v>
      </c>
      <c r="E365" s="3">
        <v>2356988</v>
      </c>
      <c r="F365" s="17">
        <v>43613</v>
      </c>
      <c r="G365" s="3">
        <v>2356988</v>
      </c>
      <c r="H365" s="2">
        <v>1.4999999999999999E-2</v>
      </c>
      <c r="I365" s="17">
        <v>43739</v>
      </c>
      <c r="J365" s="17">
        <v>43769</v>
      </c>
      <c r="K365" s="3">
        <f>J365-I365+1</f>
        <v>31</v>
      </c>
      <c r="L365" s="3">
        <f>ROUND(G365*H365*K365/365,0)</f>
        <v>3003</v>
      </c>
      <c r="M365" s="3">
        <v>2356988</v>
      </c>
    </row>
    <row r="366" spans="1:13" s="16" customFormat="1" outlineLevel="2">
      <c r="A366" s="17" t="s">
        <v>29</v>
      </c>
      <c r="B366" s="18" t="s">
        <v>191</v>
      </c>
      <c r="C366" s="19" t="s">
        <v>159</v>
      </c>
      <c r="D366" s="18" t="s">
        <v>158</v>
      </c>
      <c r="E366" s="3">
        <v>18915000</v>
      </c>
      <c r="F366" s="17">
        <v>43725</v>
      </c>
      <c r="G366" s="3">
        <v>18915000</v>
      </c>
      <c r="H366" s="2">
        <v>1.4999999999999999E-2</v>
      </c>
      <c r="I366" s="17">
        <v>43739</v>
      </c>
      <c r="J366" s="17">
        <v>43769</v>
      </c>
      <c r="K366" s="3">
        <f>J366-I366+1</f>
        <v>31</v>
      </c>
      <c r="L366" s="3">
        <f>ROUND(G366*H366*K366/365,0)</f>
        <v>24097</v>
      </c>
      <c r="M366" s="3">
        <v>18915000</v>
      </c>
    </row>
    <row r="367" spans="1:13" s="16" customFormat="1" outlineLevel="2">
      <c r="A367" s="17" t="s">
        <v>29</v>
      </c>
      <c r="B367" s="18" t="s">
        <v>190</v>
      </c>
      <c r="C367" s="19" t="s">
        <v>159</v>
      </c>
      <c r="D367" s="18" t="s">
        <v>158</v>
      </c>
      <c r="E367" s="3">
        <v>3675000</v>
      </c>
      <c r="F367" s="17">
        <v>43725</v>
      </c>
      <c r="G367" s="3">
        <v>3675000</v>
      </c>
      <c r="H367" s="2">
        <v>1.4999999999999999E-2</v>
      </c>
      <c r="I367" s="17">
        <v>43739</v>
      </c>
      <c r="J367" s="17">
        <v>43769</v>
      </c>
      <c r="K367" s="3">
        <f>J367-I367+1</f>
        <v>31</v>
      </c>
      <c r="L367" s="3">
        <f>ROUND(G367*H367*K367/365,0)</f>
        <v>4682</v>
      </c>
      <c r="M367" s="3">
        <v>3675000</v>
      </c>
    </row>
    <row r="368" spans="1:13" s="16" customFormat="1" outlineLevel="2">
      <c r="A368" s="17" t="s">
        <v>29</v>
      </c>
      <c r="B368" s="18" t="s">
        <v>189</v>
      </c>
      <c r="C368" s="19" t="s">
        <v>51</v>
      </c>
      <c r="D368" s="18" t="s">
        <v>50</v>
      </c>
      <c r="E368" s="3">
        <v>22900000</v>
      </c>
      <c r="F368" s="17">
        <v>43720</v>
      </c>
      <c r="G368" s="3">
        <v>22900000</v>
      </c>
      <c r="H368" s="2">
        <v>1.4999999999999999E-2</v>
      </c>
      <c r="I368" s="17">
        <v>43739</v>
      </c>
      <c r="J368" s="17">
        <v>43769</v>
      </c>
      <c r="K368" s="3">
        <f>J368-I368+1</f>
        <v>31</v>
      </c>
      <c r="L368" s="3">
        <f>ROUND(G368*H368*K368/365,0)</f>
        <v>29174</v>
      </c>
      <c r="M368" s="3">
        <v>22900000</v>
      </c>
    </row>
    <row r="369" spans="1:13" s="16" customFormat="1" outlineLevel="2">
      <c r="A369" s="17" t="s">
        <v>29</v>
      </c>
      <c r="B369" s="18" t="s">
        <v>186</v>
      </c>
      <c r="C369" s="19" t="s">
        <v>150</v>
      </c>
      <c r="D369" s="18" t="s">
        <v>149</v>
      </c>
      <c r="E369" s="3">
        <v>11351225</v>
      </c>
      <c r="F369" s="17">
        <v>43726</v>
      </c>
      <c r="G369" s="3">
        <v>11351225</v>
      </c>
      <c r="H369" s="2">
        <v>3.0000000000000001E-3</v>
      </c>
      <c r="I369" s="17">
        <v>43739</v>
      </c>
      <c r="J369" s="17">
        <v>43769</v>
      </c>
      <c r="K369" s="3">
        <f>J369-I369+1</f>
        <v>31</v>
      </c>
      <c r="L369" s="3">
        <f>ROUND(G369*H369*K369/365,0)</f>
        <v>2892</v>
      </c>
      <c r="M369" s="3">
        <v>11351225</v>
      </c>
    </row>
    <row r="370" spans="1:13" s="16" customFormat="1" outlineLevel="2">
      <c r="A370" s="17" t="s">
        <v>29</v>
      </c>
      <c r="B370" s="18" t="s">
        <v>228</v>
      </c>
      <c r="C370" s="19" t="s">
        <v>150</v>
      </c>
      <c r="D370" s="18" t="s">
        <v>149</v>
      </c>
      <c r="E370" s="3">
        <v>35573768</v>
      </c>
      <c r="F370" s="17">
        <v>43728</v>
      </c>
      <c r="G370" s="3">
        <v>35573768</v>
      </c>
      <c r="H370" s="2">
        <v>3.0000000000000001E-3</v>
      </c>
      <c r="I370" s="17">
        <v>43739</v>
      </c>
      <c r="J370" s="17">
        <v>43769</v>
      </c>
      <c r="K370" s="3">
        <f>J370-I370+1</f>
        <v>31</v>
      </c>
      <c r="L370" s="3">
        <f>ROUND(G370*H370*K370/365,0)</f>
        <v>9064</v>
      </c>
      <c r="M370" s="3">
        <v>35573768</v>
      </c>
    </row>
    <row r="371" spans="1:13" s="16" customFormat="1" outlineLevel="2">
      <c r="A371" s="17" t="s">
        <v>29</v>
      </c>
      <c r="B371" s="18" t="s">
        <v>227</v>
      </c>
      <c r="C371" s="19" t="s">
        <v>150</v>
      </c>
      <c r="D371" s="18" t="s">
        <v>149</v>
      </c>
      <c r="E371" s="3">
        <v>58642675</v>
      </c>
      <c r="F371" s="17">
        <v>43710</v>
      </c>
      <c r="G371" s="3">
        <v>58642675</v>
      </c>
      <c r="H371" s="2">
        <v>5.0000000000000001E-3</v>
      </c>
      <c r="I371" s="17">
        <v>43739</v>
      </c>
      <c r="J371" s="17">
        <v>43769</v>
      </c>
      <c r="K371" s="3">
        <f>J371-I371+1</f>
        <v>31</v>
      </c>
      <c r="L371" s="3">
        <f>ROUND(G371*H371*K371/365,0)</f>
        <v>24903</v>
      </c>
      <c r="M371" s="3">
        <v>58642675</v>
      </c>
    </row>
    <row r="372" spans="1:13" s="16" customFormat="1" outlineLevel="2">
      <c r="A372" s="17" t="s">
        <v>29</v>
      </c>
      <c r="B372" s="18" t="s">
        <v>226</v>
      </c>
      <c r="C372" s="19" t="s">
        <v>150</v>
      </c>
      <c r="D372" s="18" t="s">
        <v>149</v>
      </c>
      <c r="E372" s="3">
        <v>3197383</v>
      </c>
      <c r="F372" s="17">
        <v>43712</v>
      </c>
      <c r="G372" s="3">
        <v>3197383</v>
      </c>
      <c r="H372" s="2">
        <v>5.0000000000000001E-3</v>
      </c>
      <c r="I372" s="17">
        <v>43739</v>
      </c>
      <c r="J372" s="17">
        <v>43769</v>
      </c>
      <c r="K372" s="3">
        <f>J372-I372+1</f>
        <v>31</v>
      </c>
      <c r="L372" s="3">
        <f>ROUND(G372*H372*K372/365,0)</f>
        <v>1358</v>
      </c>
      <c r="M372" s="3">
        <v>3197383</v>
      </c>
    </row>
    <row r="373" spans="1:13" s="16" customFormat="1" outlineLevel="2">
      <c r="A373" s="17" t="s">
        <v>29</v>
      </c>
      <c r="B373" s="18" t="s">
        <v>223</v>
      </c>
      <c r="C373" s="19" t="s">
        <v>150</v>
      </c>
      <c r="D373" s="18" t="s">
        <v>149</v>
      </c>
      <c r="E373" s="3">
        <v>14583793</v>
      </c>
      <c r="F373" s="17">
        <v>43712</v>
      </c>
      <c r="G373" s="3">
        <v>14583793</v>
      </c>
      <c r="H373" s="2">
        <v>5.0000000000000001E-3</v>
      </c>
      <c r="I373" s="17">
        <v>43739</v>
      </c>
      <c r="J373" s="17">
        <v>43769</v>
      </c>
      <c r="K373" s="3">
        <f>J373-I373+1</f>
        <v>31</v>
      </c>
      <c r="L373" s="3">
        <f>ROUND(G373*H373*K373/365,0)</f>
        <v>6193</v>
      </c>
      <c r="M373" s="3">
        <v>14583793</v>
      </c>
    </row>
    <row r="374" spans="1:13" s="16" customFormat="1" outlineLevel="2">
      <c r="A374" s="17" t="s">
        <v>29</v>
      </c>
      <c r="B374" s="18" t="s">
        <v>241</v>
      </c>
      <c r="C374" s="19" t="s">
        <v>150</v>
      </c>
      <c r="D374" s="18" t="s">
        <v>149</v>
      </c>
      <c r="E374" s="3">
        <v>6711605</v>
      </c>
      <c r="F374" s="17">
        <v>43719</v>
      </c>
      <c r="G374" s="3">
        <v>6711605</v>
      </c>
      <c r="H374" s="2">
        <v>5.0000000000000001E-3</v>
      </c>
      <c r="I374" s="17">
        <v>43739</v>
      </c>
      <c r="J374" s="17">
        <v>43769</v>
      </c>
      <c r="K374" s="3">
        <f>J374-I374+1</f>
        <v>31</v>
      </c>
      <c r="L374" s="3">
        <f>ROUND(G374*H374*K374/365,0)</f>
        <v>2850</v>
      </c>
      <c r="M374" s="3">
        <v>6711605</v>
      </c>
    </row>
    <row r="375" spans="1:13" s="16" customFormat="1" outlineLevel="2">
      <c r="A375" s="17" t="s">
        <v>29</v>
      </c>
      <c r="B375" s="18" t="s">
        <v>240</v>
      </c>
      <c r="C375" s="19" t="s">
        <v>150</v>
      </c>
      <c r="D375" s="18" t="s">
        <v>149</v>
      </c>
      <c r="E375" s="3">
        <v>6533824</v>
      </c>
      <c r="F375" s="17">
        <v>43724</v>
      </c>
      <c r="G375" s="3">
        <v>6533824</v>
      </c>
      <c r="H375" s="2">
        <v>5.0000000000000001E-3</v>
      </c>
      <c r="I375" s="17">
        <v>43739</v>
      </c>
      <c r="J375" s="17">
        <v>43769</v>
      </c>
      <c r="K375" s="3">
        <f>J375-I375+1</f>
        <v>31</v>
      </c>
      <c r="L375" s="3">
        <f>ROUND(G375*H375*K375/365,0)</f>
        <v>2775</v>
      </c>
      <c r="M375" s="3">
        <v>6533824</v>
      </c>
    </row>
    <row r="376" spans="1:13" s="16" customFormat="1" outlineLevel="2">
      <c r="A376" s="17" t="s">
        <v>29</v>
      </c>
      <c r="B376" s="18" t="s">
        <v>48</v>
      </c>
      <c r="C376" s="19" t="s">
        <v>43</v>
      </c>
      <c r="D376" s="18" t="s">
        <v>26</v>
      </c>
      <c r="E376" s="3">
        <v>46269826</v>
      </c>
      <c r="F376" s="17">
        <v>43626</v>
      </c>
      <c r="G376" s="3">
        <v>46269826</v>
      </c>
      <c r="H376" s="2">
        <v>1.4999999999999999E-2</v>
      </c>
      <c r="I376" s="17">
        <v>43739</v>
      </c>
      <c r="J376" s="17">
        <v>43769</v>
      </c>
      <c r="K376" s="3">
        <f>J376-I376+1</f>
        <v>31</v>
      </c>
      <c r="L376" s="3">
        <f>ROUND(G376*H376*K376/365,0)</f>
        <v>58946</v>
      </c>
      <c r="M376" s="3">
        <v>46269826</v>
      </c>
    </row>
    <row r="377" spans="1:13" s="16" customFormat="1" outlineLevel="2">
      <c r="A377" s="17" t="s">
        <v>29</v>
      </c>
      <c r="B377" s="18" t="s">
        <v>239</v>
      </c>
      <c r="C377" s="19" t="s">
        <v>150</v>
      </c>
      <c r="D377" s="18" t="s">
        <v>149</v>
      </c>
      <c r="E377" s="3">
        <v>26751801</v>
      </c>
      <c r="F377" s="17">
        <v>43726</v>
      </c>
      <c r="G377" s="3">
        <v>26751801</v>
      </c>
      <c r="H377" s="2">
        <v>5.0000000000000001E-3</v>
      </c>
      <c r="I377" s="17">
        <v>43739</v>
      </c>
      <c r="J377" s="17">
        <v>43769</v>
      </c>
      <c r="K377" s="3">
        <f>J377-I377+1</f>
        <v>31</v>
      </c>
      <c r="L377" s="3">
        <f>ROUND(G377*H377*K377/365,0)</f>
        <v>11360</v>
      </c>
      <c r="M377" s="3">
        <v>26751801</v>
      </c>
    </row>
    <row r="378" spans="1:13" s="16" customFormat="1" outlineLevel="2">
      <c r="A378" s="17" t="s">
        <v>29</v>
      </c>
      <c r="B378" s="18" t="s">
        <v>238</v>
      </c>
      <c r="C378" s="19" t="s">
        <v>150</v>
      </c>
      <c r="D378" s="18" t="s">
        <v>149</v>
      </c>
      <c r="E378" s="3">
        <v>2281113</v>
      </c>
      <c r="F378" s="17">
        <v>43726</v>
      </c>
      <c r="G378" s="3">
        <v>2281113</v>
      </c>
      <c r="H378" s="2">
        <v>5.0000000000000001E-3</v>
      </c>
      <c r="I378" s="17">
        <v>43739</v>
      </c>
      <c r="J378" s="17">
        <v>43769</v>
      </c>
      <c r="K378" s="3">
        <f>J378-I378+1</f>
        <v>31</v>
      </c>
      <c r="L378" s="3">
        <f>ROUND(G378*H378*K378/365,0)</f>
        <v>969</v>
      </c>
      <c r="M378" s="3">
        <v>2281113</v>
      </c>
    </row>
    <row r="379" spans="1:13" s="16" customFormat="1" outlineLevel="2">
      <c r="A379" s="17" t="s">
        <v>29</v>
      </c>
      <c r="B379" s="18" t="s">
        <v>237</v>
      </c>
      <c r="C379" s="19" t="s">
        <v>150</v>
      </c>
      <c r="D379" s="18" t="s">
        <v>149</v>
      </c>
      <c r="E379" s="3">
        <v>154539165</v>
      </c>
      <c r="F379" s="17">
        <v>43728</v>
      </c>
      <c r="G379" s="3">
        <v>154539165</v>
      </c>
      <c r="H379" s="2">
        <v>5.0000000000000001E-3</v>
      </c>
      <c r="I379" s="17">
        <v>43739</v>
      </c>
      <c r="J379" s="17">
        <v>43769</v>
      </c>
      <c r="K379" s="3">
        <f>J379-I379+1</f>
        <v>31</v>
      </c>
      <c r="L379" s="3">
        <f>ROUND(G379*H379*K379/365,0)</f>
        <v>65626</v>
      </c>
      <c r="M379" s="3">
        <v>154539165</v>
      </c>
    </row>
    <row r="380" spans="1:13" s="16" customFormat="1" outlineLevel="2">
      <c r="A380" s="17" t="s">
        <v>29</v>
      </c>
      <c r="B380" s="18" t="s">
        <v>236</v>
      </c>
      <c r="C380" s="19" t="s">
        <v>150</v>
      </c>
      <c r="D380" s="18" t="s">
        <v>149</v>
      </c>
      <c r="E380" s="3">
        <v>3168908</v>
      </c>
      <c r="F380" s="17">
        <v>43733</v>
      </c>
      <c r="G380" s="3">
        <v>3168908</v>
      </c>
      <c r="H380" s="2">
        <v>5.0000000000000001E-3</v>
      </c>
      <c r="I380" s="17">
        <v>43739</v>
      </c>
      <c r="J380" s="17">
        <v>43769</v>
      </c>
      <c r="K380" s="3">
        <f>J380-I380+1</f>
        <v>31</v>
      </c>
      <c r="L380" s="3">
        <f>ROUND(G380*H380*K380/365,0)</f>
        <v>1346</v>
      </c>
      <c r="M380" s="3">
        <v>3168908</v>
      </c>
    </row>
    <row r="381" spans="1:13" s="16" customFormat="1" outlineLevel="2">
      <c r="A381" s="17" t="s">
        <v>29</v>
      </c>
      <c r="B381" s="18" t="s">
        <v>235</v>
      </c>
      <c r="C381" s="19" t="s">
        <v>150</v>
      </c>
      <c r="D381" s="18" t="s">
        <v>149</v>
      </c>
      <c r="E381" s="3">
        <v>25477584</v>
      </c>
      <c r="F381" s="17">
        <v>43735</v>
      </c>
      <c r="G381" s="3">
        <v>25477584</v>
      </c>
      <c r="H381" s="2">
        <v>5.0000000000000001E-3</v>
      </c>
      <c r="I381" s="17">
        <v>43739</v>
      </c>
      <c r="J381" s="17">
        <v>43769</v>
      </c>
      <c r="K381" s="3">
        <f>J381-I381+1</f>
        <v>31</v>
      </c>
      <c r="L381" s="3">
        <f>ROUND(G381*H381*K381/365,0)</f>
        <v>10819</v>
      </c>
      <c r="M381" s="3">
        <v>25477584</v>
      </c>
    </row>
    <row r="382" spans="1:13" s="16" customFormat="1" outlineLevel="2">
      <c r="A382" s="17" t="s">
        <v>29</v>
      </c>
      <c r="B382" s="18" t="s">
        <v>234</v>
      </c>
      <c r="C382" s="19" t="s">
        <v>233</v>
      </c>
      <c r="D382" s="18" t="s">
        <v>232</v>
      </c>
      <c r="E382" s="3">
        <v>36297937</v>
      </c>
      <c r="F382" s="17">
        <v>43738</v>
      </c>
      <c r="G382" s="3">
        <v>36297937</v>
      </c>
      <c r="H382" s="2">
        <v>1.4999999999999999E-2</v>
      </c>
      <c r="I382" s="17">
        <v>43739</v>
      </c>
      <c r="J382" s="17">
        <v>43769</v>
      </c>
      <c r="K382" s="3">
        <f>J382-I382+1</f>
        <v>31</v>
      </c>
      <c r="L382" s="3">
        <f>ROUND(G382*H382*K382/365,0)</f>
        <v>46243</v>
      </c>
      <c r="M382" s="3">
        <v>36297937</v>
      </c>
    </row>
    <row r="383" spans="1:13" s="16" customFormat="1" outlineLevel="2">
      <c r="A383" s="17" t="s">
        <v>29</v>
      </c>
      <c r="B383" s="18" t="s">
        <v>231</v>
      </c>
      <c r="C383" s="19" t="s">
        <v>230</v>
      </c>
      <c r="D383" s="18" t="s">
        <v>229</v>
      </c>
      <c r="E383" s="3">
        <v>37150000</v>
      </c>
      <c r="F383" s="17">
        <v>43732</v>
      </c>
      <c r="G383" s="3">
        <v>37150000</v>
      </c>
      <c r="H383" s="2">
        <v>5.0000000000000001E-3</v>
      </c>
      <c r="I383" s="17">
        <v>43739</v>
      </c>
      <c r="J383" s="17">
        <v>43769</v>
      </c>
      <c r="K383" s="3">
        <f>J383-I383+1</f>
        <v>31</v>
      </c>
      <c r="L383" s="3">
        <f>ROUND(G383*H383*K383/365,0)</f>
        <v>15776</v>
      </c>
      <c r="M383" s="3">
        <v>37150000</v>
      </c>
    </row>
    <row r="384" spans="1:13" s="16" customFormat="1" outlineLevel="2">
      <c r="A384" s="17" t="s">
        <v>29</v>
      </c>
      <c r="B384" s="18" t="s">
        <v>268</v>
      </c>
      <c r="C384" s="19" t="s">
        <v>43</v>
      </c>
      <c r="D384" s="18" t="s">
        <v>26</v>
      </c>
      <c r="E384" s="3">
        <v>17166989</v>
      </c>
      <c r="F384" s="17">
        <v>43753</v>
      </c>
      <c r="G384" s="3">
        <v>17166989</v>
      </c>
      <c r="H384" s="2">
        <v>1.4999999999999999E-2</v>
      </c>
      <c r="I384" s="17">
        <v>43753</v>
      </c>
      <c r="J384" s="17">
        <v>43769</v>
      </c>
      <c r="K384" s="3">
        <f>J384-I384+1</f>
        <v>17</v>
      </c>
      <c r="L384" s="3">
        <f>ROUND(G384*H384*K384/365,0)</f>
        <v>11993</v>
      </c>
      <c r="M384" s="3">
        <v>17166989</v>
      </c>
    </row>
    <row r="385" spans="1:13" s="16" customFormat="1" outlineLevel="2">
      <c r="A385" s="17" t="s">
        <v>29</v>
      </c>
      <c r="B385" s="18" t="s">
        <v>267</v>
      </c>
      <c r="C385" s="19" t="s">
        <v>43</v>
      </c>
      <c r="D385" s="18" t="s">
        <v>26</v>
      </c>
      <c r="E385" s="3">
        <v>12468435</v>
      </c>
      <c r="F385" s="17">
        <v>43739</v>
      </c>
      <c r="G385" s="3">
        <v>12468435</v>
      </c>
      <c r="H385" s="2">
        <v>1.4999999999999999E-2</v>
      </c>
      <c r="I385" s="17">
        <v>43739</v>
      </c>
      <c r="J385" s="17">
        <v>43769</v>
      </c>
      <c r="K385" s="3">
        <f>J385-I385+1</f>
        <v>31</v>
      </c>
      <c r="L385" s="3">
        <f>ROUND(G385*H385*K385/365,0)</f>
        <v>15884</v>
      </c>
      <c r="M385" s="3">
        <v>12468435</v>
      </c>
    </row>
    <row r="386" spans="1:13" s="16" customFormat="1" outlineLevel="2">
      <c r="A386" s="17" t="s">
        <v>29</v>
      </c>
      <c r="B386" s="18" t="s">
        <v>266</v>
      </c>
      <c r="C386" s="19" t="s">
        <v>159</v>
      </c>
      <c r="D386" s="18" t="s">
        <v>158</v>
      </c>
      <c r="E386" s="3">
        <v>19703000</v>
      </c>
      <c r="F386" s="17">
        <v>43755</v>
      </c>
      <c r="G386" s="3">
        <v>19703000</v>
      </c>
      <c r="H386" s="2">
        <v>1.4999999999999999E-2</v>
      </c>
      <c r="I386" s="17">
        <v>43755</v>
      </c>
      <c r="J386" s="17">
        <v>43769</v>
      </c>
      <c r="K386" s="3">
        <f>J386-I386+1</f>
        <v>15</v>
      </c>
      <c r="L386" s="3">
        <f>ROUND(G386*H386*K386/365,0)</f>
        <v>12146</v>
      </c>
      <c r="M386" s="3">
        <v>19703000</v>
      </c>
    </row>
    <row r="387" spans="1:13" s="16" customFormat="1" outlineLevel="2">
      <c r="A387" s="17" t="s">
        <v>29</v>
      </c>
      <c r="B387" s="18" t="s">
        <v>47</v>
      </c>
      <c r="C387" s="19" t="s">
        <v>43</v>
      </c>
      <c r="D387" s="18" t="s">
        <v>26</v>
      </c>
      <c r="E387" s="3">
        <v>3863475</v>
      </c>
      <c r="F387" s="17">
        <v>43634</v>
      </c>
      <c r="G387" s="3">
        <v>3863475</v>
      </c>
      <c r="H387" s="2">
        <v>1.4999999999999999E-2</v>
      </c>
      <c r="I387" s="17">
        <v>43739</v>
      </c>
      <c r="J387" s="17">
        <v>43769</v>
      </c>
      <c r="K387" s="3">
        <f>J387-I387+1</f>
        <v>31</v>
      </c>
      <c r="L387" s="3">
        <f>ROUND(G387*H387*K387/365,0)</f>
        <v>4922</v>
      </c>
      <c r="M387" s="3">
        <v>3863475</v>
      </c>
    </row>
    <row r="388" spans="1:13" s="16" customFormat="1" outlineLevel="2">
      <c r="A388" s="17" t="s">
        <v>29</v>
      </c>
      <c r="B388" s="18" t="s">
        <v>263</v>
      </c>
      <c r="C388" s="19" t="s">
        <v>159</v>
      </c>
      <c r="D388" s="18" t="s">
        <v>158</v>
      </c>
      <c r="E388" s="3">
        <v>5864000</v>
      </c>
      <c r="F388" s="17">
        <v>43755</v>
      </c>
      <c r="G388" s="3">
        <v>5864000</v>
      </c>
      <c r="H388" s="2">
        <v>1.4999999999999999E-2</v>
      </c>
      <c r="I388" s="17">
        <v>43755</v>
      </c>
      <c r="J388" s="17">
        <v>43769</v>
      </c>
      <c r="K388" s="3">
        <f>J388-I388+1</f>
        <v>15</v>
      </c>
      <c r="L388" s="3">
        <f>ROUND(G388*H388*K388/365,0)</f>
        <v>3615</v>
      </c>
      <c r="M388" s="3">
        <v>5864000</v>
      </c>
    </row>
    <row r="389" spans="1:13" s="16" customFormat="1" outlineLevel="2">
      <c r="A389" s="17" t="s">
        <v>29</v>
      </c>
      <c r="B389" s="18" t="s">
        <v>262</v>
      </c>
      <c r="C389" s="19" t="s">
        <v>163</v>
      </c>
      <c r="D389" s="18" t="s">
        <v>162</v>
      </c>
      <c r="E389" s="3">
        <v>460000</v>
      </c>
      <c r="F389" s="17">
        <v>43753</v>
      </c>
      <c r="G389" s="3">
        <v>460000</v>
      </c>
      <c r="H389" s="2">
        <v>1.4999999999999999E-2</v>
      </c>
      <c r="I389" s="17">
        <v>43753</v>
      </c>
      <c r="J389" s="17">
        <v>43769</v>
      </c>
      <c r="K389" s="3">
        <f>J389-I389+1</f>
        <v>17</v>
      </c>
      <c r="L389" s="3">
        <f>ROUND(G389*H389*K389/365,0)</f>
        <v>321</v>
      </c>
      <c r="M389" s="3">
        <v>460000</v>
      </c>
    </row>
    <row r="390" spans="1:13" s="16" customFormat="1" outlineLevel="2">
      <c r="A390" s="17" t="s">
        <v>29</v>
      </c>
      <c r="B390" s="18" t="s">
        <v>261</v>
      </c>
      <c r="C390" s="19" t="s">
        <v>163</v>
      </c>
      <c r="D390" s="18" t="s">
        <v>162</v>
      </c>
      <c r="E390" s="3">
        <v>760000</v>
      </c>
      <c r="F390" s="17">
        <v>43753</v>
      </c>
      <c r="G390" s="3">
        <v>760000</v>
      </c>
      <c r="H390" s="2">
        <v>1.4999999999999999E-2</v>
      </c>
      <c r="I390" s="17">
        <v>43753</v>
      </c>
      <c r="J390" s="17">
        <v>43769</v>
      </c>
      <c r="K390" s="3">
        <f>J390-I390+1</f>
        <v>17</v>
      </c>
      <c r="L390" s="3">
        <f>ROUND(G390*H390*K390/365,0)</f>
        <v>531</v>
      </c>
      <c r="M390" s="3">
        <v>760000</v>
      </c>
    </row>
    <row r="391" spans="1:13" s="16" customFormat="1" outlineLevel="2">
      <c r="A391" s="17" t="s">
        <v>29</v>
      </c>
      <c r="B391" s="18" t="s">
        <v>258</v>
      </c>
      <c r="C391" s="19" t="s">
        <v>163</v>
      </c>
      <c r="D391" s="18" t="s">
        <v>162</v>
      </c>
      <c r="E391" s="3">
        <v>9900000</v>
      </c>
      <c r="F391" s="17">
        <v>43755</v>
      </c>
      <c r="G391" s="3">
        <v>9900000</v>
      </c>
      <c r="H391" s="2">
        <v>1.4999999999999999E-2</v>
      </c>
      <c r="I391" s="17">
        <v>43755</v>
      </c>
      <c r="J391" s="17">
        <v>43769</v>
      </c>
      <c r="K391" s="3">
        <f>J391-I391+1</f>
        <v>15</v>
      </c>
      <c r="L391" s="3">
        <f>ROUND(G391*H391*K391/365,0)</f>
        <v>6103</v>
      </c>
      <c r="M391" s="3">
        <v>9900000</v>
      </c>
    </row>
    <row r="392" spans="1:13" s="16" customFormat="1" outlineLevel="2">
      <c r="A392" s="17" t="s">
        <v>29</v>
      </c>
      <c r="B392" s="18" t="s">
        <v>255</v>
      </c>
      <c r="C392" s="19" t="s">
        <v>150</v>
      </c>
      <c r="D392" s="18" t="s">
        <v>149</v>
      </c>
      <c r="E392" s="3">
        <v>3272709</v>
      </c>
      <c r="F392" s="17">
        <v>43742</v>
      </c>
      <c r="G392" s="3">
        <v>3272709</v>
      </c>
      <c r="H392" s="2">
        <v>5.0000000000000001E-3</v>
      </c>
      <c r="I392" s="17">
        <v>43742</v>
      </c>
      <c r="J392" s="17">
        <v>43769</v>
      </c>
      <c r="K392" s="3">
        <f>J392-I392+1</f>
        <v>28</v>
      </c>
      <c r="L392" s="3">
        <f>ROUND(G392*H392*K392/365,0)</f>
        <v>1255</v>
      </c>
      <c r="M392" s="3">
        <v>3272709</v>
      </c>
    </row>
    <row r="393" spans="1:13" s="16" customFormat="1" outlineLevel="2">
      <c r="A393" s="17" t="s">
        <v>29</v>
      </c>
      <c r="B393" s="18" t="s">
        <v>254</v>
      </c>
      <c r="C393" s="19" t="s">
        <v>150</v>
      </c>
      <c r="D393" s="18" t="s">
        <v>149</v>
      </c>
      <c r="E393" s="3">
        <v>880979</v>
      </c>
      <c r="F393" s="17">
        <v>43746</v>
      </c>
      <c r="G393" s="3">
        <v>880979</v>
      </c>
      <c r="H393" s="2">
        <v>5.0000000000000001E-3</v>
      </c>
      <c r="I393" s="17">
        <v>43746</v>
      </c>
      <c r="J393" s="17">
        <v>43769</v>
      </c>
      <c r="K393" s="3">
        <f>J393-I393+1</f>
        <v>24</v>
      </c>
      <c r="L393" s="3">
        <f>ROUND(G393*H393*K393/365,0)</f>
        <v>290</v>
      </c>
      <c r="M393" s="3">
        <v>880979</v>
      </c>
    </row>
    <row r="394" spans="1:13" s="16" customFormat="1" outlineLevel="2">
      <c r="A394" s="17" t="s">
        <v>29</v>
      </c>
      <c r="B394" s="18" t="s">
        <v>306</v>
      </c>
      <c r="C394" s="19" t="s">
        <v>150</v>
      </c>
      <c r="D394" s="18" t="s">
        <v>149</v>
      </c>
      <c r="E394" s="3">
        <v>3046985</v>
      </c>
      <c r="F394" s="17">
        <v>43747</v>
      </c>
      <c r="G394" s="3">
        <v>3046985</v>
      </c>
      <c r="H394" s="2">
        <v>5.0000000000000001E-3</v>
      </c>
      <c r="I394" s="17">
        <v>43747</v>
      </c>
      <c r="J394" s="17">
        <v>43769</v>
      </c>
      <c r="K394" s="3">
        <f>J394-I394+1</f>
        <v>23</v>
      </c>
      <c r="L394" s="3">
        <f>ROUND(G394*H394*K394/365,0)</f>
        <v>960</v>
      </c>
      <c r="M394" s="3">
        <v>3046985</v>
      </c>
    </row>
    <row r="395" spans="1:13" s="16" customFormat="1" outlineLevel="2">
      <c r="A395" s="17" t="s">
        <v>29</v>
      </c>
      <c r="B395" s="18" t="s">
        <v>305</v>
      </c>
      <c r="C395" s="19" t="s">
        <v>150</v>
      </c>
      <c r="D395" s="18" t="s">
        <v>149</v>
      </c>
      <c r="E395" s="3">
        <v>4665228</v>
      </c>
      <c r="F395" s="17">
        <v>43752</v>
      </c>
      <c r="G395" s="3">
        <v>4665228</v>
      </c>
      <c r="H395" s="2">
        <v>5.0000000000000001E-3</v>
      </c>
      <c r="I395" s="17">
        <v>43752</v>
      </c>
      <c r="J395" s="17">
        <v>43769</v>
      </c>
      <c r="K395" s="3">
        <f>J395-I395+1</f>
        <v>18</v>
      </c>
      <c r="L395" s="3">
        <f>ROUND(G395*H395*K395/365,0)</f>
        <v>1150</v>
      </c>
      <c r="M395" s="3">
        <v>4665228</v>
      </c>
    </row>
    <row r="396" spans="1:13" s="16" customFormat="1" outlineLevel="2">
      <c r="A396" s="17" t="s">
        <v>29</v>
      </c>
      <c r="B396" s="18" t="s">
        <v>304</v>
      </c>
      <c r="C396" s="19" t="s">
        <v>150</v>
      </c>
      <c r="D396" s="18" t="s">
        <v>149</v>
      </c>
      <c r="E396" s="3">
        <v>1742820</v>
      </c>
      <c r="F396" s="17">
        <v>43754</v>
      </c>
      <c r="G396" s="3">
        <v>1742820</v>
      </c>
      <c r="H396" s="2">
        <v>5.0000000000000001E-3</v>
      </c>
      <c r="I396" s="17">
        <v>43754</v>
      </c>
      <c r="J396" s="17">
        <v>43769</v>
      </c>
      <c r="K396" s="3">
        <f>J396-I396+1</f>
        <v>16</v>
      </c>
      <c r="L396" s="3">
        <f>ROUND(G396*H396*K396/365,0)</f>
        <v>382</v>
      </c>
      <c r="M396" s="3">
        <v>1742820</v>
      </c>
    </row>
    <row r="397" spans="1:13" s="16" customFormat="1" outlineLevel="2">
      <c r="A397" s="17" t="s">
        <v>29</v>
      </c>
      <c r="B397" s="18" t="s">
        <v>303</v>
      </c>
      <c r="C397" s="19" t="s">
        <v>150</v>
      </c>
      <c r="D397" s="18" t="s">
        <v>149</v>
      </c>
      <c r="E397" s="3">
        <v>41073224</v>
      </c>
      <c r="F397" s="17">
        <v>43755</v>
      </c>
      <c r="G397" s="3">
        <v>41073224</v>
      </c>
      <c r="H397" s="2">
        <v>5.0000000000000001E-3</v>
      </c>
      <c r="I397" s="17">
        <v>43755</v>
      </c>
      <c r="J397" s="17">
        <v>43769</v>
      </c>
      <c r="K397" s="3">
        <f>J397-I397+1</f>
        <v>15</v>
      </c>
      <c r="L397" s="3">
        <f>ROUND(G397*H397*K397/365,0)</f>
        <v>8440</v>
      </c>
      <c r="M397" s="3">
        <v>41073224</v>
      </c>
    </row>
    <row r="398" spans="1:13" s="16" customFormat="1" outlineLevel="2">
      <c r="A398" s="17" t="s">
        <v>29</v>
      </c>
      <c r="B398" s="18" t="s">
        <v>46</v>
      </c>
      <c r="C398" s="19" t="s">
        <v>43</v>
      </c>
      <c r="D398" s="18" t="s">
        <v>26</v>
      </c>
      <c r="E398" s="3">
        <v>8620798</v>
      </c>
      <c r="F398" s="17">
        <v>43644</v>
      </c>
      <c r="G398" s="3">
        <v>8620798</v>
      </c>
      <c r="H398" s="2">
        <v>1.4999999999999999E-2</v>
      </c>
      <c r="I398" s="17">
        <v>43739</v>
      </c>
      <c r="J398" s="17">
        <v>43769</v>
      </c>
      <c r="K398" s="3">
        <f>J398-I398+1</f>
        <v>31</v>
      </c>
      <c r="L398" s="3">
        <f>ROUND(G398*H398*K398/365,0)</f>
        <v>10983</v>
      </c>
      <c r="M398" s="3">
        <v>8620798</v>
      </c>
    </row>
    <row r="399" spans="1:13" s="16" customFormat="1" outlineLevel="2">
      <c r="A399" s="17" t="s">
        <v>29</v>
      </c>
      <c r="B399" s="18" t="s">
        <v>302</v>
      </c>
      <c r="C399" s="19" t="s">
        <v>150</v>
      </c>
      <c r="D399" s="18" t="s">
        <v>149</v>
      </c>
      <c r="E399" s="3">
        <v>141684878</v>
      </c>
      <c r="F399" s="17">
        <v>43759</v>
      </c>
      <c r="G399" s="3">
        <v>141684878</v>
      </c>
      <c r="H399" s="2">
        <v>5.0000000000000001E-3</v>
      </c>
      <c r="I399" s="17">
        <v>43759</v>
      </c>
      <c r="J399" s="17">
        <v>43769</v>
      </c>
      <c r="K399" s="3">
        <f>J399-I399+1</f>
        <v>11</v>
      </c>
      <c r="L399" s="3">
        <f>ROUND(G399*H399*K399/365,0)</f>
        <v>21350</v>
      </c>
      <c r="M399" s="3">
        <v>141684878</v>
      </c>
    </row>
    <row r="400" spans="1:13" s="16" customFormat="1" outlineLevel="2">
      <c r="A400" s="17" t="s">
        <v>29</v>
      </c>
      <c r="B400" s="18" t="s">
        <v>301</v>
      </c>
      <c r="C400" s="19" t="s">
        <v>150</v>
      </c>
      <c r="D400" s="18" t="s">
        <v>149</v>
      </c>
      <c r="E400" s="3">
        <v>1574288</v>
      </c>
      <c r="F400" s="17">
        <v>43761</v>
      </c>
      <c r="G400" s="3">
        <v>1574288</v>
      </c>
      <c r="H400" s="2">
        <v>5.0000000000000001E-3</v>
      </c>
      <c r="I400" s="17">
        <v>43761</v>
      </c>
      <c r="J400" s="17">
        <v>43769</v>
      </c>
      <c r="K400" s="3">
        <f>J400-I400+1</f>
        <v>9</v>
      </c>
      <c r="L400" s="3">
        <f>ROUND(G400*H400*K400/365,0)</f>
        <v>194</v>
      </c>
      <c r="M400" s="3">
        <v>1574288</v>
      </c>
    </row>
    <row r="401" spans="1:13" s="16" customFormat="1" outlineLevel="2">
      <c r="A401" s="17" t="s">
        <v>29</v>
      </c>
      <c r="B401" s="18" t="s">
        <v>300</v>
      </c>
      <c r="C401" s="19" t="s">
        <v>150</v>
      </c>
      <c r="D401" s="18" t="s">
        <v>149</v>
      </c>
      <c r="E401" s="3">
        <v>40272013</v>
      </c>
      <c r="F401" s="17">
        <v>43768</v>
      </c>
      <c r="G401" s="3">
        <v>40272013</v>
      </c>
      <c r="H401" s="2">
        <v>5.0000000000000001E-3</v>
      </c>
      <c r="I401" s="17">
        <v>43768</v>
      </c>
      <c r="J401" s="17">
        <v>43769</v>
      </c>
      <c r="K401" s="3">
        <f>J401-I401+1</f>
        <v>2</v>
      </c>
      <c r="L401" s="3">
        <f>ROUND(G401*H401*K401/365,0)</f>
        <v>1103</v>
      </c>
      <c r="M401" s="3">
        <v>40272013</v>
      </c>
    </row>
    <row r="402" spans="1:13" s="16" customFormat="1" outlineLevel="2">
      <c r="A402" s="17" t="s">
        <v>29</v>
      </c>
      <c r="B402" s="18" t="s">
        <v>299</v>
      </c>
      <c r="C402" s="19" t="s">
        <v>150</v>
      </c>
      <c r="D402" s="18" t="s">
        <v>149</v>
      </c>
      <c r="E402" s="3">
        <v>3821153</v>
      </c>
      <c r="F402" s="17">
        <v>43768</v>
      </c>
      <c r="G402" s="3">
        <v>3821153</v>
      </c>
      <c r="H402" s="2">
        <v>5.0000000000000001E-3</v>
      </c>
      <c r="I402" s="17">
        <v>43768</v>
      </c>
      <c r="J402" s="17">
        <v>43769</v>
      </c>
      <c r="K402" s="3">
        <f>J402-I402+1</f>
        <v>2</v>
      </c>
      <c r="L402" s="3">
        <f>ROUND(G402*H402*K402/365,0)</f>
        <v>105</v>
      </c>
      <c r="M402" s="3">
        <v>3821153</v>
      </c>
    </row>
    <row r="403" spans="1:13" s="16" customFormat="1" outlineLevel="2">
      <c r="A403" s="17" t="s">
        <v>29</v>
      </c>
      <c r="B403" s="18" t="s">
        <v>298</v>
      </c>
      <c r="C403" s="19" t="s">
        <v>150</v>
      </c>
      <c r="D403" s="18" t="s">
        <v>149</v>
      </c>
      <c r="E403" s="3">
        <v>9008189</v>
      </c>
      <c r="F403" s="17">
        <v>43753</v>
      </c>
      <c r="G403" s="3">
        <v>9008189</v>
      </c>
      <c r="H403" s="2">
        <v>3.0000000000000001E-3</v>
      </c>
      <c r="I403" s="17">
        <v>43753</v>
      </c>
      <c r="J403" s="17">
        <v>43769</v>
      </c>
      <c r="K403" s="3">
        <f>J403-I403+1</f>
        <v>17</v>
      </c>
      <c r="L403" s="3">
        <f>ROUND(G403*H403*K403/365,0)</f>
        <v>1259</v>
      </c>
      <c r="M403" s="3">
        <v>9008189</v>
      </c>
    </row>
    <row r="404" spans="1:13" s="16" customFormat="1" outlineLevel="2">
      <c r="A404" s="17" t="s">
        <v>29</v>
      </c>
      <c r="B404" s="18" t="s">
        <v>297</v>
      </c>
      <c r="C404" s="19" t="s">
        <v>150</v>
      </c>
      <c r="D404" s="18" t="s">
        <v>149</v>
      </c>
      <c r="E404" s="3">
        <v>32340000</v>
      </c>
      <c r="F404" s="17">
        <v>43754</v>
      </c>
      <c r="G404" s="3">
        <v>32340000</v>
      </c>
      <c r="H404" s="2">
        <v>3.0000000000000001E-3</v>
      </c>
      <c r="I404" s="17">
        <v>43754</v>
      </c>
      <c r="J404" s="17">
        <v>43769</v>
      </c>
      <c r="K404" s="3">
        <f>J404-I404+1</f>
        <v>16</v>
      </c>
      <c r="L404" s="3">
        <f>ROUND(G404*H404*K404/365,0)</f>
        <v>4253</v>
      </c>
      <c r="M404" s="3">
        <v>32340000</v>
      </c>
    </row>
    <row r="405" spans="1:13" s="16" customFormat="1" outlineLevel="2">
      <c r="A405" s="17" t="s">
        <v>29</v>
      </c>
      <c r="B405" s="18" t="s">
        <v>296</v>
      </c>
      <c r="C405" s="19" t="s">
        <v>150</v>
      </c>
      <c r="D405" s="18" t="s">
        <v>149</v>
      </c>
      <c r="E405" s="3">
        <v>23254893</v>
      </c>
      <c r="F405" s="17">
        <v>43755</v>
      </c>
      <c r="G405" s="3">
        <v>23254893</v>
      </c>
      <c r="H405" s="2">
        <v>3.0000000000000001E-3</v>
      </c>
      <c r="I405" s="17">
        <v>43755</v>
      </c>
      <c r="J405" s="17">
        <v>43769</v>
      </c>
      <c r="K405" s="3">
        <f>J405-I405+1</f>
        <v>15</v>
      </c>
      <c r="L405" s="3">
        <f>ROUND(G405*H405*K405/365,0)</f>
        <v>2867</v>
      </c>
      <c r="M405" s="3">
        <v>23254893</v>
      </c>
    </row>
    <row r="406" spans="1:13" s="16" customFormat="1" outlineLevel="2">
      <c r="A406" s="17" t="s">
        <v>29</v>
      </c>
      <c r="B406" s="18" t="s">
        <v>295</v>
      </c>
      <c r="C406" s="19" t="s">
        <v>150</v>
      </c>
      <c r="D406" s="18" t="s">
        <v>149</v>
      </c>
      <c r="E406" s="3">
        <v>21377001</v>
      </c>
      <c r="F406" s="17">
        <v>43759</v>
      </c>
      <c r="G406" s="3">
        <v>21377001</v>
      </c>
      <c r="H406" s="2">
        <v>3.0000000000000001E-3</v>
      </c>
      <c r="I406" s="17">
        <v>43759</v>
      </c>
      <c r="J406" s="17">
        <v>43769</v>
      </c>
      <c r="K406" s="3">
        <f>J406-I406+1</f>
        <v>11</v>
      </c>
      <c r="L406" s="3">
        <f>ROUND(G406*H406*K406/365,0)</f>
        <v>1933</v>
      </c>
      <c r="M406" s="3">
        <v>21377001</v>
      </c>
    </row>
    <row r="407" spans="1:13" s="16" customFormat="1" outlineLevel="2">
      <c r="A407" s="17" t="s">
        <v>29</v>
      </c>
      <c r="B407" s="18" t="s">
        <v>294</v>
      </c>
      <c r="C407" s="19" t="s">
        <v>150</v>
      </c>
      <c r="D407" s="18" t="s">
        <v>149</v>
      </c>
      <c r="E407" s="3">
        <v>19682212</v>
      </c>
      <c r="F407" s="17">
        <v>43766</v>
      </c>
      <c r="G407" s="3">
        <v>19682212</v>
      </c>
      <c r="H407" s="2">
        <v>3.0000000000000001E-3</v>
      </c>
      <c r="I407" s="17">
        <v>43766</v>
      </c>
      <c r="J407" s="17">
        <v>43769</v>
      </c>
      <c r="K407" s="3">
        <f>J407-I407+1</f>
        <v>4</v>
      </c>
      <c r="L407" s="3">
        <f>ROUND(G407*H407*K407/365,0)</f>
        <v>647</v>
      </c>
      <c r="M407" s="3">
        <v>19682212</v>
      </c>
    </row>
    <row r="408" spans="1:13" s="16" customFormat="1" outlineLevel="2">
      <c r="A408" s="17" t="s">
        <v>29</v>
      </c>
      <c r="B408" s="18" t="s">
        <v>293</v>
      </c>
      <c r="C408" s="19" t="s">
        <v>276</v>
      </c>
      <c r="D408" s="18" t="s">
        <v>275</v>
      </c>
      <c r="E408" s="3">
        <v>2760000</v>
      </c>
      <c r="F408" s="17">
        <v>43742</v>
      </c>
      <c r="G408" s="3">
        <v>2760000</v>
      </c>
      <c r="H408" s="2">
        <v>5.0000000000000001E-3</v>
      </c>
      <c r="I408" s="17">
        <v>43742</v>
      </c>
      <c r="J408" s="17">
        <v>43769</v>
      </c>
      <c r="K408" s="3">
        <f>J408-I408+1</f>
        <v>28</v>
      </c>
      <c r="L408" s="3">
        <f>ROUND(G408*H408*K408/365,0)</f>
        <v>1059</v>
      </c>
      <c r="M408" s="3">
        <v>2760000</v>
      </c>
    </row>
    <row r="409" spans="1:13" s="16" customFormat="1" outlineLevel="2">
      <c r="A409" s="17" t="s">
        <v>29</v>
      </c>
      <c r="B409" s="18" t="s">
        <v>45</v>
      </c>
      <c r="C409" s="19" t="s">
        <v>43</v>
      </c>
      <c r="D409" s="18" t="s">
        <v>26</v>
      </c>
      <c r="E409" s="3">
        <v>14180723</v>
      </c>
      <c r="F409" s="17">
        <v>43626</v>
      </c>
      <c r="G409" s="3">
        <v>14180723</v>
      </c>
      <c r="H409" s="2">
        <v>1.4999999999999999E-2</v>
      </c>
      <c r="I409" s="17">
        <v>43739</v>
      </c>
      <c r="J409" s="17">
        <v>43769</v>
      </c>
      <c r="K409" s="3">
        <f>J409-I409+1</f>
        <v>31</v>
      </c>
      <c r="L409" s="3">
        <f>ROUND(G409*H409*K409/365,0)</f>
        <v>18066</v>
      </c>
      <c r="M409" s="3">
        <v>14180723</v>
      </c>
    </row>
    <row r="410" spans="1:13" s="16" customFormat="1" outlineLevel="2">
      <c r="A410" s="17" t="s">
        <v>29</v>
      </c>
      <c r="B410" s="18" t="s">
        <v>292</v>
      </c>
      <c r="C410" s="19" t="s">
        <v>253</v>
      </c>
      <c r="D410" s="18" t="s">
        <v>252</v>
      </c>
      <c r="E410" s="3">
        <v>6500000</v>
      </c>
      <c r="F410" s="17">
        <v>43763</v>
      </c>
      <c r="G410" s="3">
        <v>6500000</v>
      </c>
      <c r="H410" s="2">
        <v>5.0000000000000001E-3</v>
      </c>
      <c r="I410" s="17">
        <v>43763</v>
      </c>
      <c r="J410" s="17">
        <v>43769</v>
      </c>
      <c r="K410" s="3">
        <f>J410-I410+1</f>
        <v>7</v>
      </c>
      <c r="L410" s="3">
        <f>ROUND(G410*H410*K410/365,0)</f>
        <v>623</v>
      </c>
      <c r="M410" s="3">
        <v>6500000</v>
      </c>
    </row>
    <row r="411" spans="1:13" s="16" customFormat="1" outlineLevel="2">
      <c r="A411" s="17" t="s">
        <v>29</v>
      </c>
      <c r="B411" s="18" t="s">
        <v>291</v>
      </c>
      <c r="C411" s="19" t="s">
        <v>233</v>
      </c>
      <c r="D411" s="18" t="s">
        <v>232</v>
      </c>
      <c r="E411" s="3">
        <v>269474</v>
      </c>
      <c r="F411" s="17">
        <v>43739</v>
      </c>
      <c r="G411" s="3">
        <v>269474</v>
      </c>
      <c r="H411" s="2">
        <v>1.4999999999999999E-2</v>
      </c>
      <c r="I411" s="17">
        <v>43739</v>
      </c>
      <c r="J411" s="17">
        <v>43769</v>
      </c>
      <c r="K411" s="3">
        <f>J411-I411+1</f>
        <v>31</v>
      </c>
      <c r="L411" s="3">
        <f>ROUND(G411*H411*K411/365,0)</f>
        <v>343</v>
      </c>
      <c r="M411" s="3">
        <v>269474</v>
      </c>
    </row>
    <row r="412" spans="1:13" s="16" customFormat="1" outlineLevel="2">
      <c r="A412" s="17" t="s">
        <v>29</v>
      </c>
      <c r="B412" s="18" t="s">
        <v>290</v>
      </c>
      <c r="C412" s="19" t="s">
        <v>233</v>
      </c>
      <c r="D412" s="18" t="s">
        <v>232</v>
      </c>
      <c r="E412" s="3">
        <v>6182097</v>
      </c>
      <c r="F412" s="17">
        <v>43739</v>
      </c>
      <c r="G412" s="3">
        <v>6182097</v>
      </c>
      <c r="H412" s="2">
        <v>1.4999999999999999E-2</v>
      </c>
      <c r="I412" s="17">
        <v>43739</v>
      </c>
      <c r="J412" s="17">
        <v>43769</v>
      </c>
      <c r="K412" s="3">
        <f>J412-I412+1</f>
        <v>31</v>
      </c>
      <c r="L412" s="3">
        <f>ROUND(G412*H412*K412/365,0)</f>
        <v>7876</v>
      </c>
      <c r="M412" s="3">
        <v>6182097</v>
      </c>
    </row>
    <row r="413" spans="1:13" s="16" customFormat="1" outlineLevel="2">
      <c r="A413" s="17" t="s">
        <v>29</v>
      </c>
      <c r="B413" s="18" t="s">
        <v>289</v>
      </c>
      <c r="C413" s="19" t="s">
        <v>233</v>
      </c>
      <c r="D413" s="18" t="s">
        <v>232</v>
      </c>
      <c r="E413" s="3">
        <v>41714962</v>
      </c>
      <c r="F413" s="17">
        <v>43754</v>
      </c>
      <c r="G413" s="3">
        <v>41714962</v>
      </c>
      <c r="H413" s="2">
        <v>1.4999999999999999E-2</v>
      </c>
      <c r="I413" s="17">
        <v>43754</v>
      </c>
      <c r="J413" s="17">
        <v>43769</v>
      </c>
      <c r="K413" s="3">
        <f>J413-I413+1</f>
        <v>16</v>
      </c>
      <c r="L413" s="3">
        <f>ROUND(G413*H413*K413/365,0)</f>
        <v>27429</v>
      </c>
      <c r="M413" s="3">
        <v>41714962</v>
      </c>
    </row>
    <row r="414" spans="1:13" s="16" customFormat="1" outlineLevel="2">
      <c r="A414" s="17" t="s">
        <v>29</v>
      </c>
      <c r="B414" s="18" t="s">
        <v>44</v>
      </c>
      <c r="C414" s="19" t="s">
        <v>43</v>
      </c>
      <c r="D414" s="18" t="s">
        <v>26</v>
      </c>
      <c r="E414" s="3">
        <v>10848433</v>
      </c>
      <c r="F414" s="17">
        <v>43634</v>
      </c>
      <c r="G414" s="3">
        <v>10848433</v>
      </c>
      <c r="H414" s="2">
        <v>1.4999999999999999E-2</v>
      </c>
      <c r="I414" s="17">
        <v>43739</v>
      </c>
      <c r="J414" s="17">
        <v>43769</v>
      </c>
      <c r="K414" s="3">
        <f>J414-I414+1</f>
        <v>31</v>
      </c>
      <c r="L414" s="3">
        <f>ROUND(G414*H414*K414/365,0)</f>
        <v>13821</v>
      </c>
      <c r="M414" s="3">
        <v>10848433</v>
      </c>
    </row>
    <row r="415" spans="1:13" s="16" customFormat="1" outlineLevel="1">
      <c r="A415" s="28" t="s">
        <v>25</v>
      </c>
      <c r="B415" s="43"/>
      <c r="C415" s="44"/>
      <c r="D415" s="43"/>
      <c r="E415" s="45">
        <f>SUBTOTAL(9,E332:E414)</f>
        <v>4562368799</v>
      </c>
      <c r="F415" s="46"/>
      <c r="G415" s="45"/>
      <c r="H415" s="47"/>
      <c r="I415" s="46"/>
      <c r="J415" s="46"/>
      <c r="K415" s="45"/>
      <c r="L415" s="45">
        <f>SUBTOTAL(9,L332:L414)</f>
        <v>4729468</v>
      </c>
      <c r="M415" s="45">
        <f>SUBTOTAL(9,M332:M414)</f>
        <v>4562368799</v>
      </c>
    </row>
    <row r="416" spans="1:13" s="35" customFormat="1" outlineLevel="1">
      <c r="A416" s="29"/>
      <c r="B416" s="48"/>
      <c r="C416" s="49"/>
      <c r="D416" s="48"/>
      <c r="E416" s="50"/>
      <c r="F416" s="51"/>
      <c r="G416" s="50"/>
      <c r="H416" s="52"/>
      <c r="I416" s="51"/>
      <c r="J416" s="51"/>
      <c r="K416" s="50"/>
      <c r="L416" s="50"/>
      <c r="M416" s="50"/>
    </row>
    <row r="417" spans="1:13" s="16" customFormat="1">
      <c r="A417" s="20" t="s">
        <v>24</v>
      </c>
      <c r="B417" s="43"/>
      <c r="C417" s="44"/>
      <c r="D417" s="43"/>
      <c r="E417" s="45">
        <f>SUBTOTAL(9,E4:E414)</f>
        <v>26333841783</v>
      </c>
      <c r="F417" s="46"/>
      <c r="G417" s="45"/>
      <c r="H417" s="47"/>
      <c r="I417" s="46"/>
      <c r="J417" s="46"/>
      <c r="K417" s="45"/>
      <c r="L417" s="45">
        <f>SUBTOTAL(9,L4:L414)</f>
        <v>22778769</v>
      </c>
      <c r="M417" s="45">
        <f>SUBTOTAL(9,M4:M414)</f>
        <v>26313819927</v>
      </c>
    </row>
    <row r="419" spans="1:13">
      <c r="A419" s="25" t="s">
        <v>22</v>
      </c>
      <c r="B419" s="25"/>
      <c r="E419" s="26" t="s">
        <v>23</v>
      </c>
      <c r="G419" s="5"/>
      <c r="I419" s="27" t="s">
        <v>21</v>
      </c>
    </row>
  </sheetData>
  <autoFilter ref="A3:M415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090F-658D-4D73-9E17-399BA2411FF6}">
  <dimension ref="A1:M547"/>
  <sheetViews>
    <sheetView zoomScaleNormal="100" workbookViewId="0">
      <selection activeCell="E13" sqref="E13"/>
    </sheetView>
  </sheetViews>
  <sheetFormatPr defaultColWidth="5.375" defaultRowHeight="13.5" outlineLevelRow="2"/>
  <cols>
    <col min="1" max="1" width="17" style="5" bestFit="1" customWidth="1"/>
    <col min="2" max="2" width="8.875" style="5" bestFit="1" customWidth="1"/>
    <col min="3" max="3" width="22.875" style="5" bestFit="1" customWidth="1"/>
    <col min="4" max="4" width="13.25" style="5" bestFit="1" customWidth="1"/>
    <col min="5" max="5" width="16.25" style="8" bestFit="1" customWidth="1"/>
    <col min="6" max="6" width="13.25" style="9" bestFit="1" customWidth="1"/>
    <col min="7" max="7" width="13.5" style="8" bestFit="1" customWidth="1"/>
    <col min="8" max="8" width="11.625" style="10" bestFit="1" customWidth="1"/>
    <col min="9" max="10" width="9.875" style="5" bestFit="1" customWidth="1"/>
    <col min="11" max="11" width="11.625" style="5" bestFit="1" customWidth="1"/>
    <col min="12" max="12" width="12" style="8" bestFit="1" customWidth="1"/>
    <col min="13" max="13" width="16.25" style="5" bestFit="1" customWidth="1"/>
    <col min="14" max="14" width="5.375" style="5"/>
    <col min="15" max="15" width="25.875" style="5" customWidth="1"/>
    <col min="16" max="16384" width="5.375" style="5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6" t="s">
        <v>1</v>
      </c>
      <c r="C2" s="7">
        <v>43799</v>
      </c>
      <c r="D2" s="53"/>
      <c r="L2" s="8" t="s">
        <v>2</v>
      </c>
    </row>
    <row r="3" spans="1:13" s="16" customFormat="1" ht="27.75" thickBot="1">
      <c r="A3" s="1" t="s">
        <v>3</v>
      </c>
      <c r="B3" s="11" t="s">
        <v>4</v>
      </c>
      <c r="C3" s="12" t="s">
        <v>5</v>
      </c>
      <c r="D3" s="12" t="s">
        <v>6</v>
      </c>
      <c r="E3" s="13" t="s">
        <v>7</v>
      </c>
      <c r="F3" s="12" t="s">
        <v>8</v>
      </c>
      <c r="G3" s="14" t="s">
        <v>9</v>
      </c>
      <c r="H3" s="15" t="s">
        <v>10</v>
      </c>
      <c r="I3" s="1" t="s">
        <v>11</v>
      </c>
      <c r="J3" s="1" t="s">
        <v>12</v>
      </c>
      <c r="K3" s="1" t="s">
        <v>13</v>
      </c>
      <c r="L3" s="13" t="s">
        <v>14</v>
      </c>
      <c r="M3" s="1" t="s">
        <v>359</v>
      </c>
    </row>
    <row r="4" spans="1:13" s="16" customFormat="1" outlineLevel="2">
      <c r="A4" s="17" t="s">
        <v>42</v>
      </c>
      <c r="B4" s="18" t="s">
        <v>17</v>
      </c>
      <c r="C4" s="19" t="s">
        <v>54</v>
      </c>
      <c r="D4" s="18" t="s">
        <v>34</v>
      </c>
      <c r="E4" s="3">
        <v>14900000</v>
      </c>
      <c r="F4" s="17">
        <v>43591</v>
      </c>
      <c r="G4" s="3">
        <v>14900000</v>
      </c>
      <c r="H4" s="2">
        <v>1.4999999999999999E-2</v>
      </c>
      <c r="I4" s="17">
        <v>43770</v>
      </c>
      <c r="J4" s="17">
        <v>43799</v>
      </c>
      <c r="K4" s="3">
        <f>J4-I4+1</f>
        <v>30</v>
      </c>
      <c r="L4" s="3">
        <f>ROUND(G4*H4*K4/365,0)</f>
        <v>18370</v>
      </c>
      <c r="M4" s="3">
        <v>14900000</v>
      </c>
    </row>
    <row r="5" spans="1:13" s="16" customFormat="1" outlineLevel="2">
      <c r="A5" s="17" t="s">
        <v>42</v>
      </c>
      <c r="B5" s="18" t="s">
        <v>181</v>
      </c>
      <c r="C5" s="19" t="s">
        <v>225</v>
      </c>
      <c r="D5" s="18" t="s">
        <v>224</v>
      </c>
      <c r="E5" s="3">
        <v>180000000</v>
      </c>
      <c r="F5" s="17">
        <v>43700</v>
      </c>
      <c r="G5" s="3">
        <v>180000000</v>
      </c>
      <c r="H5" s="2">
        <v>5.0000000000000001E-3</v>
      </c>
      <c r="I5" s="17">
        <v>43770</v>
      </c>
      <c r="J5" s="17">
        <v>43799</v>
      </c>
      <c r="K5" s="3">
        <f>J5-I5+1</f>
        <v>30</v>
      </c>
      <c r="L5" s="3">
        <f>ROUND(G5*H5*K5/365,0)</f>
        <v>73973</v>
      </c>
      <c r="M5" s="3">
        <v>180000000</v>
      </c>
    </row>
    <row r="6" spans="1:13" s="16" customFormat="1" outlineLevel="2">
      <c r="A6" s="17" t="s">
        <v>42</v>
      </c>
      <c r="B6" s="18" t="s">
        <v>180</v>
      </c>
      <c r="C6" s="19" t="s">
        <v>163</v>
      </c>
      <c r="D6" s="18" t="s">
        <v>162</v>
      </c>
      <c r="E6" s="3">
        <v>5500000</v>
      </c>
      <c r="F6" s="17">
        <v>43692</v>
      </c>
      <c r="G6" s="3">
        <v>5500000</v>
      </c>
      <c r="H6" s="2">
        <v>5.0000000000000001E-3</v>
      </c>
      <c r="I6" s="17">
        <v>43770</v>
      </c>
      <c r="J6" s="17">
        <v>43799</v>
      </c>
      <c r="K6" s="3">
        <f>J6-I6+1</f>
        <v>30</v>
      </c>
      <c r="L6" s="3">
        <f>ROUND(G6*H6*K6/365,0)</f>
        <v>2260</v>
      </c>
      <c r="M6" s="3">
        <v>5500000</v>
      </c>
    </row>
    <row r="7" spans="1:13" s="16" customFormat="1" outlineLevel="2">
      <c r="A7" s="17" t="s">
        <v>42</v>
      </c>
      <c r="B7" s="18" t="s">
        <v>179</v>
      </c>
      <c r="C7" s="19" t="s">
        <v>54</v>
      </c>
      <c r="D7" s="18" t="s">
        <v>34</v>
      </c>
      <c r="E7" s="3">
        <v>1924000</v>
      </c>
      <c r="F7" s="17">
        <v>43713</v>
      </c>
      <c r="G7" s="3">
        <v>1924000</v>
      </c>
      <c r="H7" s="2">
        <v>1.4999999999999999E-2</v>
      </c>
      <c r="I7" s="17">
        <v>43770</v>
      </c>
      <c r="J7" s="17">
        <v>43799</v>
      </c>
      <c r="K7" s="3">
        <f>J7-I7+1</f>
        <v>30</v>
      </c>
      <c r="L7" s="3">
        <f>ROUND(G7*H7*K7/365,0)</f>
        <v>2372</v>
      </c>
      <c r="M7" s="3">
        <v>1924000</v>
      </c>
    </row>
    <row r="8" spans="1:13" s="16" customFormat="1" outlineLevel="2">
      <c r="A8" s="17" t="s">
        <v>42</v>
      </c>
      <c r="B8" s="18" t="s">
        <v>178</v>
      </c>
      <c r="C8" s="19" t="s">
        <v>54</v>
      </c>
      <c r="D8" s="18" t="s">
        <v>34</v>
      </c>
      <c r="E8" s="3">
        <v>1955000</v>
      </c>
      <c r="F8" s="17">
        <v>43733</v>
      </c>
      <c r="G8" s="3">
        <v>1955000</v>
      </c>
      <c r="H8" s="2">
        <v>1.4999999999999999E-2</v>
      </c>
      <c r="I8" s="17">
        <v>43770</v>
      </c>
      <c r="J8" s="17">
        <v>43799</v>
      </c>
      <c r="K8" s="3">
        <f>J8-I8+1</f>
        <v>30</v>
      </c>
      <c r="L8" s="3">
        <f>ROUND(G8*H8*K8/365,0)</f>
        <v>2410</v>
      </c>
      <c r="M8" s="3">
        <v>1955000</v>
      </c>
    </row>
    <row r="9" spans="1:13" s="16" customFormat="1" outlineLevel="2">
      <c r="A9" s="17" t="s">
        <v>42</v>
      </c>
      <c r="B9" s="18" t="s">
        <v>177</v>
      </c>
      <c r="C9" s="19" t="s">
        <v>163</v>
      </c>
      <c r="D9" s="18" t="s">
        <v>162</v>
      </c>
      <c r="E9" s="3">
        <v>23700000</v>
      </c>
      <c r="F9" s="17">
        <v>43714</v>
      </c>
      <c r="G9" s="3">
        <v>23700000</v>
      </c>
      <c r="H9" s="2">
        <v>5.0000000000000001E-3</v>
      </c>
      <c r="I9" s="17">
        <v>43770</v>
      </c>
      <c r="J9" s="17">
        <v>43799</v>
      </c>
      <c r="K9" s="3">
        <f>J9-I9+1</f>
        <v>30</v>
      </c>
      <c r="L9" s="3">
        <f>ROUND(G9*H9*K9/365,0)</f>
        <v>9740</v>
      </c>
      <c r="M9" s="3">
        <v>23700000</v>
      </c>
    </row>
    <row r="10" spans="1:13" s="16" customFormat="1" outlineLevel="2">
      <c r="A10" s="17" t="s">
        <v>42</v>
      </c>
      <c r="B10" s="18" t="s">
        <v>176</v>
      </c>
      <c r="C10" s="19" t="s">
        <v>163</v>
      </c>
      <c r="D10" s="18" t="s">
        <v>162</v>
      </c>
      <c r="E10" s="3">
        <v>48000000</v>
      </c>
      <c r="F10" s="17">
        <v>43717</v>
      </c>
      <c r="G10" s="3">
        <v>48000000</v>
      </c>
      <c r="H10" s="2">
        <v>5.0000000000000001E-3</v>
      </c>
      <c r="I10" s="17">
        <v>43770</v>
      </c>
      <c r="J10" s="17">
        <v>43799</v>
      </c>
      <c r="K10" s="3">
        <f>J10-I10+1</f>
        <v>30</v>
      </c>
      <c r="L10" s="3">
        <f>ROUND(G10*H10*K10/365,0)</f>
        <v>19726</v>
      </c>
      <c r="M10" s="3">
        <v>48000000</v>
      </c>
    </row>
    <row r="11" spans="1:13" s="16" customFormat="1" outlineLevel="2">
      <c r="A11" s="17" t="s">
        <v>42</v>
      </c>
      <c r="B11" s="18" t="s">
        <v>175</v>
      </c>
      <c r="C11" s="19" t="s">
        <v>163</v>
      </c>
      <c r="D11" s="18" t="s">
        <v>162</v>
      </c>
      <c r="E11" s="3">
        <v>30000000</v>
      </c>
      <c r="F11" s="17">
        <v>43734</v>
      </c>
      <c r="G11" s="3">
        <v>30000000</v>
      </c>
      <c r="H11" s="2">
        <v>5.0000000000000001E-3</v>
      </c>
      <c r="I11" s="17">
        <v>43770</v>
      </c>
      <c r="J11" s="17">
        <v>43799</v>
      </c>
      <c r="K11" s="3">
        <f>J11-I11+1</f>
        <v>30</v>
      </c>
      <c r="L11" s="3">
        <f>ROUND(G11*H11*K11/365,0)</f>
        <v>12329</v>
      </c>
      <c r="M11" s="3">
        <v>30000000</v>
      </c>
    </row>
    <row r="12" spans="1:13" s="16" customFormat="1" outlineLevel="2">
      <c r="A12" s="17" t="s">
        <v>42</v>
      </c>
      <c r="B12" s="18" t="s">
        <v>174</v>
      </c>
      <c r="C12" s="19" t="s">
        <v>288</v>
      </c>
      <c r="D12" s="18" t="s">
        <v>287</v>
      </c>
      <c r="E12" s="3">
        <v>176000000</v>
      </c>
      <c r="F12" s="17">
        <v>43723</v>
      </c>
      <c r="G12" s="3">
        <v>176000000</v>
      </c>
      <c r="H12" s="2">
        <v>1.4999999999999999E-2</v>
      </c>
      <c r="I12" s="17">
        <v>43770</v>
      </c>
      <c r="J12" s="17">
        <v>43799</v>
      </c>
      <c r="K12" s="3">
        <f>J12-I12+1</f>
        <v>30</v>
      </c>
      <c r="L12" s="3">
        <f>ROUND(G12*H12*K12/365,0)</f>
        <v>216986</v>
      </c>
      <c r="M12" s="3">
        <v>176000000</v>
      </c>
    </row>
    <row r="13" spans="1:13" s="16" customFormat="1" outlineLevel="2">
      <c r="A13" s="17" t="s">
        <v>42</v>
      </c>
      <c r="B13" s="18" t="s">
        <v>171</v>
      </c>
      <c r="C13" s="19" t="s">
        <v>185</v>
      </c>
      <c r="D13" s="18" t="s">
        <v>184</v>
      </c>
      <c r="E13" s="3">
        <v>100000000</v>
      </c>
      <c r="F13" s="17">
        <v>43753</v>
      </c>
      <c r="G13" s="3">
        <v>100000000</v>
      </c>
      <c r="H13" s="2">
        <v>5.0000000000000001E-3</v>
      </c>
      <c r="I13" s="17">
        <v>43770</v>
      </c>
      <c r="J13" s="17">
        <v>43799</v>
      </c>
      <c r="K13" s="3">
        <f>J13-I13+1</f>
        <v>30</v>
      </c>
      <c r="L13" s="3">
        <f>ROUND(G13*H13*K13/365,0)</f>
        <v>41096</v>
      </c>
      <c r="M13" s="3">
        <v>100000000</v>
      </c>
    </row>
    <row r="14" spans="1:13" s="16" customFormat="1" outlineLevel="2">
      <c r="A14" s="17" t="s">
        <v>42</v>
      </c>
      <c r="B14" s="18" t="s">
        <v>170</v>
      </c>
      <c r="C14" s="19" t="s">
        <v>54</v>
      </c>
      <c r="D14" s="18" t="s">
        <v>34</v>
      </c>
      <c r="E14" s="3">
        <v>28738000</v>
      </c>
      <c r="F14" s="17">
        <v>43763</v>
      </c>
      <c r="G14" s="3">
        <v>28738000</v>
      </c>
      <c r="H14" s="2">
        <v>1.4999999999999999E-2</v>
      </c>
      <c r="I14" s="17">
        <v>43770</v>
      </c>
      <c r="J14" s="17">
        <v>43799</v>
      </c>
      <c r="K14" s="3">
        <f>J14-I14+1</f>
        <v>30</v>
      </c>
      <c r="L14" s="3">
        <f>ROUND(G14*H14*K14/365,0)</f>
        <v>35430</v>
      </c>
      <c r="M14" s="3">
        <v>28738000</v>
      </c>
    </row>
    <row r="15" spans="1:13" s="16" customFormat="1" outlineLevel="2">
      <c r="A15" s="17" t="s">
        <v>42</v>
      </c>
      <c r="B15" s="18" t="s">
        <v>31</v>
      </c>
      <c r="C15" s="19" t="s">
        <v>54</v>
      </c>
      <c r="D15" s="18" t="s">
        <v>34</v>
      </c>
      <c r="E15" s="3">
        <v>3080000</v>
      </c>
      <c r="F15" s="17">
        <v>43612</v>
      </c>
      <c r="G15" s="3">
        <v>3080000</v>
      </c>
      <c r="H15" s="2">
        <v>1.4999999999999999E-2</v>
      </c>
      <c r="I15" s="17">
        <v>43770</v>
      </c>
      <c r="J15" s="17">
        <v>43799</v>
      </c>
      <c r="K15" s="3">
        <f>J15-I15+1</f>
        <v>30</v>
      </c>
      <c r="L15" s="3">
        <f>ROUND(G15*H15*K15/365,0)</f>
        <v>3797</v>
      </c>
      <c r="M15" s="3">
        <v>3080000</v>
      </c>
    </row>
    <row r="16" spans="1:13" s="16" customFormat="1" outlineLevel="2">
      <c r="A16" s="17" t="s">
        <v>42</v>
      </c>
      <c r="B16" s="18" t="s">
        <v>169</v>
      </c>
      <c r="C16" s="19" t="s">
        <v>308</v>
      </c>
      <c r="D16" s="18" t="s">
        <v>307</v>
      </c>
      <c r="E16" s="3">
        <v>400000000</v>
      </c>
      <c r="F16" s="17">
        <v>43753</v>
      </c>
      <c r="G16" s="3">
        <v>400000000</v>
      </c>
      <c r="H16" s="2">
        <v>5.0000000000000001E-3</v>
      </c>
      <c r="I16" s="17">
        <v>43770</v>
      </c>
      <c r="J16" s="17">
        <v>43799</v>
      </c>
      <c r="K16" s="3">
        <f>J16-I16+1</f>
        <v>30</v>
      </c>
      <c r="L16" s="3">
        <f>ROUND(G16*H16*K16/365,0)</f>
        <v>164384</v>
      </c>
      <c r="M16" s="3">
        <v>400000000</v>
      </c>
    </row>
    <row r="17" spans="1:13" s="16" customFormat="1" outlineLevel="2">
      <c r="A17" s="17" t="s">
        <v>42</v>
      </c>
      <c r="B17" s="18" t="s">
        <v>168</v>
      </c>
      <c r="C17" s="19" t="s">
        <v>308</v>
      </c>
      <c r="D17" s="18" t="s">
        <v>307</v>
      </c>
      <c r="E17" s="3">
        <v>38300000</v>
      </c>
      <c r="F17" s="17">
        <v>43753</v>
      </c>
      <c r="G17" s="3">
        <v>38300000</v>
      </c>
      <c r="H17" s="2">
        <v>5.0000000000000001E-3</v>
      </c>
      <c r="I17" s="17">
        <v>43770</v>
      </c>
      <c r="J17" s="17">
        <v>43799</v>
      </c>
      <c r="K17" s="3">
        <f>J17-I17+1</f>
        <v>30</v>
      </c>
      <c r="L17" s="3">
        <f>ROUND(G17*H17*K17/365,0)</f>
        <v>15740</v>
      </c>
      <c r="M17" s="3">
        <v>38300000</v>
      </c>
    </row>
    <row r="18" spans="1:13" s="16" customFormat="1" outlineLevel="2">
      <c r="A18" s="17" t="s">
        <v>42</v>
      </c>
      <c r="B18" s="18" t="s">
        <v>167</v>
      </c>
      <c r="C18" s="19" t="s">
        <v>308</v>
      </c>
      <c r="D18" s="18" t="s">
        <v>307</v>
      </c>
      <c r="E18" s="3">
        <v>3700000</v>
      </c>
      <c r="F18" s="17">
        <v>43753</v>
      </c>
      <c r="G18" s="3">
        <v>3700000</v>
      </c>
      <c r="H18" s="2">
        <v>5.0000000000000001E-3</v>
      </c>
      <c r="I18" s="17">
        <v>43770</v>
      </c>
      <c r="J18" s="17">
        <v>43799</v>
      </c>
      <c r="K18" s="3">
        <f>J18-I18+1</f>
        <v>30</v>
      </c>
      <c r="L18" s="3">
        <f>ROUND(G18*H18*K18/365,0)</f>
        <v>1521</v>
      </c>
      <c r="M18" s="3">
        <v>3700000</v>
      </c>
    </row>
    <row r="19" spans="1:13" s="16" customFormat="1" outlineLevel="2">
      <c r="A19" s="17" t="s">
        <v>42</v>
      </c>
      <c r="B19" s="18" t="s">
        <v>166</v>
      </c>
      <c r="C19" s="19" t="s">
        <v>358</v>
      </c>
      <c r="D19" s="18" t="s">
        <v>357</v>
      </c>
      <c r="E19" s="3">
        <v>10000000</v>
      </c>
      <c r="F19" s="17">
        <v>43753</v>
      </c>
      <c r="G19" s="3">
        <v>10000000</v>
      </c>
      <c r="H19" s="2">
        <v>5.0000000000000001E-3</v>
      </c>
      <c r="I19" s="17">
        <v>43770</v>
      </c>
      <c r="J19" s="17">
        <v>43799</v>
      </c>
      <c r="K19" s="3">
        <f>J19-I19+1</f>
        <v>30</v>
      </c>
      <c r="L19" s="3">
        <f>ROUND(G19*H19*K19/365,0)</f>
        <v>4110</v>
      </c>
      <c r="M19" s="3">
        <v>10000000</v>
      </c>
    </row>
    <row r="20" spans="1:13" s="16" customFormat="1" outlineLevel="2">
      <c r="A20" s="17" t="s">
        <v>42</v>
      </c>
      <c r="B20" s="18" t="s">
        <v>165</v>
      </c>
      <c r="C20" s="19" t="s">
        <v>310</v>
      </c>
      <c r="D20" s="18" t="s">
        <v>309</v>
      </c>
      <c r="E20" s="3">
        <v>144800000</v>
      </c>
      <c r="F20" s="17">
        <v>43753</v>
      </c>
      <c r="G20" s="3">
        <v>144800000</v>
      </c>
      <c r="H20" s="2">
        <v>5.0000000000000001E-3</v>
      </c>
      <c r="I20" s="17">
        <v>43770</v>
      </c>
      <c r="J20" s="17">
        <v>43799</v>
      </c>
      <c r="K20" s="3">
        <f>J20-I20+1</f>
        <v>30</v>
      </c>
      <c r="L20" s="3">
        <f>ROUND(G20*H20*K20/365,0)</f>
        <v>59507</v>
      </c>
      <c r="M20" s="3">
        <v>144800000</v>
      </c>
    </row>
    <row r="21" spans="1:13" s="16" customFormat="1" outlineLevel="2">
      <c r="A21" s="17" t="s">
        <v>42</v>
      </c>
      <c r="B21" s="18" t="s">
        <v>164</v>
      </c>
      <c r="C21" s="19" t="s">
        <v>310</v>
      </c>
      <c r="D21" s="18" t="s">
        <v>309</v>
      </c>
      <c r="E21" s="3">
        <v>57012868</v>
      </c>
      <c r="F21" s="17">
        <v>43753</v>
      </c>
      <c r="G21" s="3">
        <v>57012868</v>
      </c>
      <c r="H21" s="2">
        <v>5.0000000000000001E-3</v>
      </c>
      <c r="I21" s="17">
        <v>43770</v>
      </c>
      <c r="J21" s="17">
        <v>43799</v>
      </c>
      <c r="K21" s="3">
        <f>J21-I21+1</f>
        <v>30</v>
      </c>
      <c r="L21" s="3">
        <f>ROUND(G21*H21*K21/365,0)</f>
        <v>23430</v>
      </c>
      <c r="M21" s="3">
        <v>57012868</v>
      </c>
    </row>
    <row r="22" spans="1:13" s="16" customFormat="1" outlineLevel="2">
      <c r="A22" s="17" t="s">
        <v>42</v>
      </c>
      <c r="B22" s="18" t="s">
        <v>161</v>
      </c>
      <c r="C22" s="19" t="s">
        <v>356</v>
      </c>
      <c r="D22" s="18" t="s">
        <v>355</v>
      </c>
      <c r="E22" s="3">
        <v>14000000</v>
      </c>
      <c r="F22" s="17">
        <v>43739</v>
      </c>
      <c r="G22" s="3">
        <v>14000000</v>
      </c>
      <c r="H22" s="2">
        <v>5.0000000000000001E-3</v>
      </c>
      <c r="I22" s="17">
        <v>43770</v>
      </c>
      <c r="J22" s="17">
        <v>43799</v>
      </c>
      <c r="K22" s="3">
        <f>J22-I22+1</f>
        <v>30</v>
      </c>
      <c r="L22" s="3">
        <f>ROUND(G22*H22*K22/365,0)</f>
        <v>5753</v>
      </c>
      <c r="M22" s="3">
        <v>14000000</v>
      </c>
    </row>
    <row r="23" spans="1:13" s="16" customFormat="1" outlineLevel="2">
      <c r="A23" s="17" t="s">
        <v>42</v>
      </c>
      <c r="B23" s="18" t="s">
        <v>160</v>
      </c>
      <c r="C23" s="19" t="s">
        <v>356</v>
      </c>
      <c r="D23" s="18" t="s">
        <v>355</v>
      </c>
      <c r="E23" s="3">
        <v>28000000</v>
      </c>
      <c r="F23" s="17">
        <v>43766</v>
      </c>
      <c r="G23" s="3">
        <v>28000000</v>
      </c>
      <c r="H23" s="2">
        <v>5.0000000000000001E-3</v>
      </c>
      <c r="I23" s="17">
        <v>43770</v>
      </c>
      <c r="J23" s="17">
        <v>43799</v>
      </c>
      <c r="K23" s="3">
        <f>J23-I23+1</f>
        <v>30</v>
      </c>
      <c r="L23" s="3">
        <f>ROUND(G23*H23*K23/365,0)</f>
        <v>11507</v>
      </c>
      <c r="M23" s="3">
        <v>28000000</v>
      </c>
    </row>
    <row r="24" spans="1:13" s="16" customFormat="1" outlineLevel="2">
      <c r="A24" s="17" t="s">
        <v>42</v>
      </c>
      <c r="B24" s="18" t="s">
        <v>157</v>
      </c>
      <c r="C24" s="19" t="s">
        <v>163</v>
      </c>
      <c r="D24" s="18" t="s">
        <v>162</v>
      </c>
      <c r="E24" s="3">
        <v>50000000</v>
      </c>
      <c r="F24" s="17">
        <v>43747</v>
      </c>
      <c r="G24" s="3">
        <v>50000000</v>
      </c>
      <c r="H24" s="2">
        <v>5.0000000000000001E-3</v>
      </c>
      <c r="I24" s="17">
        <v>43770</v>
      </c>
      <c r="J24" s="17">
        <v>43799</v>
      </c>
      <c r="K24" s="3">
        <f>J24-I24+1</f>
        <v>30</v>
      </c>
      <c r="L24" s="3">
        <f>ROUND(G24*H24*K24/365,0)</f>
        <v>20548</v>
      </c>
      <c r="M24" s="3">
        <v>50000000</v>
      </c>
    </row>
    <row r="25" spans="1:13" s="16" customFormat="1" outlineLevel="2">
      <c r="A25" s="17" t="s">
        <v>42</v>
      </c>
      <c r="B25" s="18" t="s">
        <v>156</v>
      </c>
      <c r="C25" s="19" t="s">
        <v>163</v>
      </c>
      <c r="D25" s="18" t="s">
        <v>162</v>
      </c>
      <c r="E25" s="3">
        <v>12200000</v>
      </c>
      <c r="F25" s="17">
        <v>43756</v>
      </c>
      <c r="G25" s="3">
        <v>12200000</v>
      </c>
      <c r="H25" s="2">
        <v>5.0000000000000001E-3</v>
      </c>
      <c r="I25" s="17">
        <v>43770</v>
      </c>
      <c r="J25" s="17">
        <v>43799</v>
      </c>
      <c r="K25" s="3">
        <f>J25-I25+1</f>
        <v>30</v>
      </c>
      <c r="L25" s="3">
        <f>ROUND(G25*H25*K25/365,0)</f>
        <v>5014</v>
      </c>
      <c r="M25" s="3">
        <v>12200000</v>
      </c>
    </row>
    <row r="26" spans="1:13" s="16" customFormat="1" outlineLevel="2">
      <c r="A26" s="17" t="s">
        <v>42</v>
      </c>
      <c r="B26" s="18" t="s">
        <v>30</v>
      </c>
      <c r="C26" s="19" t="s">
        <v>54</v>
      </c>
      <c r="D26" s="18" t="s">
        <v>34</v>
      </c>
      <c r="E26" s="3">
        <v>29720000</v>
      </c>
      <c r="F26" s="17">
        <v>43621</v>
      </c>
      <c r="G26" s="3">
        <v>29720000</v>
      </c>
      <c r="H26" s="2">
        <v>1.4999999999999999E-2</v>
      </c>
      <c r="I26" s="17">
        <v>43770</v>
      </c>
      <c r="J26" s="17">
        <v>43799</v>
      </c>
      <c r="K26" s="3">
        <f>J26-I26+1</f>
        <v>30</v>
      </c>
      <c r="L26" s="3">
        <f>ROUND(G26*H26*K26/365,0)</f>
        <v>36641</v>
      </c>
      <c r="M26" s="3">
        <v>29720000</v>
      </c>
    </row>
    <row r="27" spans="1:13" s="16" customFormat="1" outlineLevel="2">
      <c r="A27" s="17" t="s">
        <v>42</v>
      </c>
      <c r="B27" s="18" t="s">
        <v>155</v>
      </c>
      <c r="C27" s="19" t="s">
        <v>183</v>
      </c>
      <c r="D27" s="18" t="s">
        <v>182</v>
      </c>
      <c r="E27" s="3">
        <v>10266476</v>
      </c>
      <c r="F27" s="17">
        <v>43754</v>
      </c>
      <c r="G27" s="3">
        <v>10266476</v>
      </c>
      <c r="H27" s="2">
        <v>5.0000000000000001E-3</v>
      </c>
      <c r="I27" s="17">
        <v>43770</v>
      </c>
      <c r="J27" s="17">
        <v>43799</v>
      </c>
      <c r="K27" s="3">
        <f>J27-I27+1</f>
        <v>30</v>
      </c>
      <c r="L27" s="3">
        <f>ROUND(G27*H27*K27/365,0)</f>
        <v>4219</v>
      </c>
      <c r="M27" s="3">
        <v>10266476</v>
      </c>
    </row>
    <row r="28" spans="1:13" s="16" customFormat="1" outlineLevel="2">
      <c r="A28" s="17" t="s">
        <v>42</v>
      </c>
      <c r="B28" s="18" t="s">
        <v>154</v>
      </c>
      <c r="C28" s="19" t="s">
        <v>183</v>
      </c>
      <c r="D28" s="18" t="s">
        <v>182</v>
      </c>
      <c r="E28" s="3">
        <v>10034223</v>
      </c>
      <c r="F28" s="17">
        <v>43760</v>
      </c>
      <c r="G28" s="3">
        <v>10034223</v>
      </c>
      <c r="H28" s="2">
        <v>5.0000000000000001E-3</v>
      </c>
      <c r="I28" s="17">
        <v>43770</v>
      </c>
      <c r="J28" s="17">
        <v>43799</v>
      </c>
      <c r="K28" s="3">
        <f>J28-I28+1</f>
        <v>30</v>
      </c>
      <c r="L28" s="3">
        <f>ROUND(G28*H28*K28/365,0)</f>
        <v>4124</v>
      </c>
      <c r="M28" s="3">
        <v>10034223</v>
      </c>
    </row>
    <row r="29" spans="1:13" s="16" customFormat="1" outlineLevel="2">
      <c r="A29" s="17" t="s">
        <v>42</v>
      </c>
      <c r="B29" s="18" t="s">
        <v>153</v>
      </c>
      <c r="C29" s="19" t="s">
        <v>183</v>
      </c>
      <c r="D29" s="18" t="s">
        <v>182</v>
      </c>
      <c r="E29" s="3">
        <v>9645735</v>
      </c>
      <c r="F29" s="17">
        <v>43762</v>
      </c>
      <c r="G29" s="3">
        <v>9645735</v>
      </c>
      <c r="H29" s="2">
        <v>5.0000000000000001E-3</v>
      </c>
      <c r="I29" s="17">
        <v>43770</v>
      </c>
      <c r="J29" s="17">
        <v>43799</v>
      </c>
      <c r="K29" s="3">
        <f>J29-I29+1</f>
        <v>30</v>
      </c>
      <c r="L29" s="3">
        <f>ROUND(G29*H29*K29/365,0)</f>
        <v>3964</v>
      </c>
      <c r="M29" s="3">
        <v>9645735</v>
      </c>
    </row>
    <row r="30" spans="1:13" s="16" customFormat="1" outlineLevel="2">
      <c r="A30" s="17" t="s">
        <v>42</v>
      </c>
      <c r="B30" s="18" t="s">
        <v>152</v>
      </c>
      <c r="C30" s="19" t="s">
        <v>183</v>
      </c>
      <c r="D30" s="18" t="s">
        <v>182</v>
      </c>
      <c r="E30" s="3">
        <v>7520000</v>
      </c>
      <c r="F30" s="17">
        <v>43741</v>
      </c>
      <c r="G30" s="3">
        <v>7520000</v>
      </c>
      <c r="H30" s="2">
        <v>5.0000000000000001E-3</v>
      </c>
      <c r="I30" s="17">
        <v>43770</v>
      </c>
      <c r="J30" s="17">
        <v>43799</v>
      </c>
      <c r="K30" s="3">
        <f>J30-I30+1</f>
        <v>30</v>
      </c>
      <c r="L30" s="3">
        <f>ROUND(G30*H30*K30/365,0)</f>
        <v>3090</v>
      </c>
      <c r="M30" s="3">
        <v>7520000</v>
      </c>
    </row>
    <row r="31" spans="1:13" s="16" customFormat="1" outlineLevel="2">
      <c r="A31" s="17" t="s">
        <v>42</v>
      </c>
      <c r="B31" s="18" t="s">
        <v>151</v>
      </c>
      <c r="C31" s="19" t="s">
        <v>185</v>
      </c>
      <c r="D31" s="18" t="s">
        <v>184</v>
      </c>
      <c r="E31" s="3">
        <v>4000000</v>
      </c>
      <c r="F31" s="17">
        <v>43780</v>
      </c>
      <c r="G31" s="3">
        <v>4000000</v>
      </c>
      <c r="H31" s="2">
        <v>5.0000000000000001E-3</v>
      </c>
      <c r="I31" s="17">
        <v>43780</v>
      </c>
      <c r="J31" s="17">
        <v>43799</v>
      </c>
      <c r="K31" s="3">
        <f>J31-I31+1</f>
        <v>20</v>
      </c>
      <c r="L31" s="3">
        <f>ROUND(G31*H31*K31/365,0)</f>
        <v>1096</v>
      </c>
      <c r="M31" s="3">
        <v>4000000</v>
      </c>
    </row>
    <row r="32" spans="1:13" s="16" customFormat="1" outlineLevel="2">
      <c r="A32" s="17" t="s">
        <v>42</v>
      </c>
      <c r="B32" s="18" t="s">
        <v>196</v>
      </c>
      <c r="C32" s="19" t="s">
        <v>54</v>
      </c>
      <c r="D32" s="18" t="s">
        <v>34</v>
      </c>
      <c r="E32" s="3">
        <v>16220000</v>
      </c>
      <c r="F32" s="17">
        <v>43774</v>
      </c>
      <c r="G32" s="3">
        <v>16220000</v>
      </c>
      <c r="H32" s="2">
        <v>1.4999999999999999E-2</v>
      </c>
      <c r="I32" s="17">
        <v>43774</v>
      </c>
      <c r="J32" s="17">
        <v>43799</v>
      </c>
      <c r="K32" s="3">
        <f>J32-I32+1</f>
        <v>26</v>
      </c>
      <c r="L32" s="3">
        <f>ROUND(G32*H32*K32/365,0)</f>
        <v>17331</v>
      </c>
      <c r="M32" s="3">
        <v>16220000</v>
      </c>
    </row>
    <row r="33" spans="1:13" s="16" customFormat="1" outlineLevel="2">
      <c r="A33" s="17" t="s">
        <v>42</v>
      </c>
      <c r="B33" s="18" t="s">
        <v>195</v>
      </c>
      <c r="C33" s="19" t="s">
        <v>54</v>
      </c>
      <c r="D33" s="18" t="s">
        <v>34</v>
      </c>
      <c r="E33" s="3">
        <v>3502000</v>
      </c>
      <c r="F33" s="17">
        <v>43784</v>
      </c>
      <c r="G33" s="3">
        <v>3502000</v>
      </c>
      <c r="H33" s="2">
        <v>1.4999999999999999E-2</v>
      </c>
      <c r="I33" s="17">
        <v>43784</v>
      </c>
      <c r="J33" s="17">
        <v>43799</v>
      </c>
      <c r="K33" s="3">
        <f>J33-I33+1</f>
        <v>16</v>
      </c>
      <c r="L33" s="3">
        <f>ROUND(G33*H33*K33/365,0)</f>
        <v>2303</v>
      </c>
      <c r="M33" s="3">
        <v>3502000</v>
      </c>
    </row>
    <row r="34" spans="1:13" s="16" customFormat="1" outlineLevel="2">
      <c r="A34" s="17" t="s">
        <v>42</v>
      </c>
      <c r="B34" s="18" t="s">
        <v>194</v>
      </c>
      <c r="C34" s="19" t="s">
        <v>308</v>
      </c>
      <c r="D34" s="18" t="s">
        <v>307</v>
      </c>
      <c r="E34" s="3">
        <v>2900000</v>
      </c>
      <c r="F34" s="17">
        <v>43794</v>
      </c>
      <c r="G34" s="3">
        <v>2900000</v>
      </c>
      <c r="H34" s="2">
        <v>5.0000000000000001E-3</v>
      </c>
      <c r="I34" s="17">
        <v>43794</v>
      </c>
      <c r="J34" s="17">
        <v>43799</v>
      </c>
      <c r="K34" s="3">
        <f>J34-I34+1</f>
        <v>6</v>
      </c>
      <c r="L34" s="3">
        <f>ROUND(G34*H34*K34/365,0)</f>
        <v>238</v>
      </c>
      <c r="M34" s="3">
        <v>2900000</v>
      </c>
    </row>
    <row r="35" spans="1:13" s="16" customFormat="1" outlineLevel="2">
      <c r="A35" s="17" t="s">
        <v>42</v>
      </c>
      <c r="B35" s="18" t="s">
        <v>193</v>
      </c>
      <c r="C35" s="19" t="s">
        <v>308</v>
      </c>
      <c r="D35" s="18" t="s">
        <v>307</v>
      </c>
      <c r="E35" s="3">
        <v>2400000</v>
      </c>
      <c r="F35" s="17">
        <v>43794</v>
      </c>
      <c r="G35" s="3">
        <v>2400000</v>
      </c>
      <c r="H35" s="2">
        <v>5.0000000000000001E-3</v>
      </c>
      <c r="I35" s="17">
        <v>43794</v>
      </c>
      <c r="J35" s="17">
        <v>43799</v>
      </c>
      <c r="K35" s="3">
        <f>J35-I35+1</f>
        <v>6</v>
      </c>
      <c r="L35" s="3">
        <f>ROUND(G35*H35*K35/365,0)</f>
        <v>197</v>
      </c>
      <c r="M35" s="3">
        <v>2400000</v>
      </c>
    </row>
    <row r="36" spans="1:13" s="16" customFormat="1" outlineLevel="2">
      <c r="A36" s="17" t="s">
        <v>42</v>
      </c>
      <c r="B36" s="18" t="s">
        <v>192</v>
      </c>
      <c r="C36" s="19" t="s">
        <v>402</v>
      </c>
      <c r="D36" s="18" t="s">
        <v>401</v>
      </c>
      <c r="E36" s="3">
        <v>320000000</v>
      </c>
      <c r="F36" s="17">
        <v>43773</v>
      </c>
      <c r="G36" s="3">
        <v>320000000</v>
      </c>
      <c r="H36" s="2">
        <v>5.0000000000000001E-3</v>
      </c>
      <c r="I36" s="17">
        <v>43773</v>
      </c>
      <c r="J36" s="17">
        <v>43799</v>
      </c>
      <c r="K36" s="3">
        <f>J36-I36+1</f>
        <v>27</v>
      </c>
      <c r="L36" s="3">
        <f>ROUND(G36*H36*K36/365,0)</f>
        <v>118356</v>
      </c>
      <c r="M36" s="3">
        <v>320000000</v>
      </c>
    </row>
    <row r="37" spans="1:13" s="16" customFormat="1" outlineLevel="2">
      <c r="A37" s="17" t="s">
        <v>42</v>
      </c>
      <c r="B37" s="18" t="s">
        <v>28</v>
      </c>
      <c r="C37" s="19" t="s">
        <v>54</v>
      </c>
      <c r="D37" s="18" t="s">
        <v>34</v>
      </c>
      <c r="E37" s="3">
        <v>42908000</v>
      </c>
      <c r="F37" s="17">
        <v>43633</v>
      </c>
      <c r="G37" s="3">
        <v>42908000</v>
      </c>
      <c r="H37" s="2">
        <v>1.4999999999999999E-2</v>
      </c>
      <c r="I37" s="17">
        <v>43770</v>
      </c>
      <c r="J37" s="17">
        <v>43799</v>
      </c>
      <c r="K37" s="3">
        <f>J37-I37+1</f>
        <v>30</v>
      </c>
      <c r="L37" s="3">
        <f>ROUND(G37*H37*K37/365,0)</f>
        <v>52900</v>
      </c>
      <c r="M37" s="3">
        <v>42908000</v>
      </c>
    </row>
    <row r="38" spans="1:13" s="16" customFormat="1" outlineLevel="2">
      <c r="A38" s="17" t="s">
        <v>42</v>
      </c>
      <c r="B38" s="18" t="s">
        <v>191</v>
      </c>
      <c r="C38" s="19" t="s">
        <v>163</v>
      </c>
      <c r="D38" s="18" t="s">
        <v>162</v>
      </c>
      <c r="E38" s="3">
        <v>17200000</v>
      </c>
      <c r="F38" s="17">
        <v>43770</v>
      </c>
      <c r="G38" s="3">
        <v>17200000</v>
      </c>
      <c r="H38" s="2">
        <v>5.0000000000000001E-3</v>
      </c>
      <c r="I38" s="17">
        <v>43770</v>
      </c>
      <c r="J38" s="17">
        <v>43799</v>
      </c>
      <c r="K38" s="3">
        <f>J38-I38+1</f>
        <v>30</v>
      </c>
      <c r="L38" s="3">
        <f>ROUND(G38*H38*K38/365,0)</f>
        <v>7068</v>
      </c>
      <c r="M38" s="3">
        <v>17200000</v>
      </c>
    </row>
    <row r="39" spans="1:13" s="16" customFormat="1" outlineLevel="2">
      <c r="A39" s="17" t="s">
        <v>42</v>
      </c>
      <c r="B39" s="18" t="s">
        <v>190</v>
      </c>
      <c r="C39" s="19" t="s">
        <v>163</v>
      </c>
      <c r="D39" s="18" t="s">
        <v>162</v>
      </c>
      <c r="E39" s="3">
        <v>49000000</v>
      </c>
      <c r="F39" s="17">
        <v>43777</v>
      </c>
      <c r="G39" s="3">
        <v>49000000</v>
      </c>
      <c r="H39" s="2">
        <v>5.0000000000000001E-3</v>
      </c>
      <c r="I39" s="17">
        <v>43777</v>
      </c>
      <c r="J39" s="17">
        <v>43799</v>
      </c>
      <c r="K39" s="3">
        <f>J39-I39+1</f>
        <v>23</v>
      </c>
      <c r="L39" s="3">
        <f>ROUND(G39*H39*K39/365,0)</f>
        <v>15438</v>
      </c>
      <c r="M39" s="3">
        <v>49000000</v>
      </c>
    </row>
    <row r="40" spans="1:13" s="16" customFormat="1" outlineLevel="2">
      <c r="A40" s="17" t="s">
        <v>42</v>
      </c>
      <c r="B40" s="18" t="s">
        <v>189</v>
      </c>
      <c r="C40" s="19" t="s">
        <v>183</v>
      </c>
      <c r="D40" s="18" t="s">
        <v>182</v>
      </c>
      <c r="E40" s="3">
        <v>6785067</v>
      </c>
      <c r="F40" s="17">
        <v>43773</v>
      </c>
      <c r="G40" s="3">
        <v>6785067</v>
      </c>
      <c r="H40" s="2">
        <v>5.0000000000000001E-3</v>
      </c>
      <c r="I40" s="17">
        <v>43773</v>
      </c>
      <c r="J40" s="17">
        <v>43799</v>
      </c>
      <c r="K40" s="3">
        <f>J40-I40+1</f>
        <v>27</v>
      </c>
      <c r="L40" s="3">
        <f>ROUND(G40*H40*K40/365,0)</f>
        <v>2510</v>
      </c>
      <c r="M40" s="3">
        <v>6785067</v>
      </c>
    </row>
    <row r="41" spans="1:13" s="16" customFormat="1" outlineLevel="2">
      <c r="A41" s="17" t="s">
        <v>42</v>
      </c>
      <c r="B41" s="18" t="s">
        <v>186</v>
      </c>
      <c r="C41" s="19" t="s">
        <v>183</v>
      </c>
      <c r="D41" s="18" t="s">
        <v>182</v>
      </c>
      <c r="E41" s="3">
        <v>10025250</v>
      </c>
      <c r="F41" s="17">
        <v>43784</v>
      </c>
      <c r="G41" s="3">
        <v>10025250</v>
      </c>
      <c r="H41" s="2">
        <v>5.0000000000000001E-3</v>
      </c>
      <c r="I41" s="17">
        <v>43784</v>
      </c>
      <c r="J41" s="17">
        <v>43799</v>
      </c>
      <c r="K41" s="3">
        <f>J41-I41+1</f>
        <v>16</v>
      </c>
      <c r="L41" s="3">
        <f>ROUND(G41*H41*K41/365,0)</f>
        <v>2197</v>
      </c>
      <c r="M41" s="3">
        <v>10025250</v>
      </c>
    </row>
    <row r="42" spans="1:13" s="16" customFormat="1" outlineLevel="2">
      <c r="A42" s="17" t="s">
        <v>42</v>
      </c>
      <c r="B42" s="18" t="s">
        <v>228</v>
      </c>
      <c r="C42" s="19" t="s">
        <v>278</v>
      </c>
      <c r="D42" s="18" t="s">
        <v>277</v>
      </c>
      <c r="E42" s="3">
        <v>6000000</v>
      </c>
      <c r="F42" s="17">
        <v>43784</v>
      </c>
      <c r="G42" s="3">
        <v>6000000</v>
      </c>
      <c r="H42" s="2">
        <v>5.0000000000000001E-3</v>
      </c>
      <c r="I42" s="17">
        <v>43784</v>
      </c>
      <c r="J42" s="17">
        <v>43799</v>
      </c>
      <c r="K42" s="3">
        <f>J42-I42+1</f>
        <v>16</v>
      </c>
      <c r="L42" s="3">
        <f>ROUND(G42*H42*K42/365,0)</f>
        <v>1315</v>
      </c>
      <c r="M42" s="3">
        <v>6000000</v>
      </c>
    </row>
    <row r="43" spans="1:13" s="16" customFormat="1" outlineLevel="2">
      <c r="A43" s="17" t="s">
        <v>42</v>
      </c>
      <c r="B43" s="18" t="s">
        <v>48</v>
      </c>
      <c r="C43" s="19" t="s">
        <v>69</v>
      </c>
      <c r="D43" s="18" t="s">
        <v>68</v>
      </c>
      <c r="E43" s="3">
        <v>315000</v>
      </c>
      <c r="F43" s="17">
        <v>43644</v>
      </c>
      <c r="G43" s="3">
        <v>315000</v>
      </c>
      <c r="H43" s="2">
        <v>1.4999999999999999E-2</v>
      </c>
      <c r="I43" s="17">
        <v>43770</v>
      </c>
      <c r="J43" s="17">
        <v>43799</v>
      </c>
      <c r="K43" s="3">
        <f>J43-I43+1</f>
        <v>30</v>
      </c>
      <c r="L43" s="3">
        <f>ROUND(G43*H43*K43/365,0)</f>
        <v>388</v>
      </c>
      <c r="M43" s="3">
        <v>315000</v>
      </c>
    </row>
    <row r="44" spans="1:13" s="16" customFormat="1" outlineLevel="2">
      <c r="A44" s="17" t="s">
        <v>42</v>
      </c>
      <c r="B44" s="18" t="s">
        <v>47</v>
      </c>
      <c r="C44" s="19" t="s">
        <v>54</v>
      </c>
      <c r="D44" s="18" t="s">
        <v>34</v>
      </c>
      <c r="E44" s="3">
        <v>21895000</v>
      </c>
      <c r="F44" s="17">
        <v>43661</v>
      </c>
      <c r="G44" s="3">
        <v>21895000</v>
      </c>
      <c r="H44" s="2">
        <v>1.4999999999999999E-2</v>
      </c>
      <c r="I44" s="17">
        <v>43770</v>
      </c>
      <c r="J44" s="17">
        <v>43799</v>
      </c>
      <c r="K44" s="3">
        <f>J44-I44+1</f>
        <v>30</v>
      </c>
      <c r="L44" s="3">
        <f>ROUND(G44*H44*K44/365,0)</f>
        <v>26994</v>
      </c>
      <c r="M44" s="3">
        <v>21895000</v>
      </c>
    </row>
    <row r="45" spans="1:13" s="16" customFormat="1" outlineLevel="2">
      <c r="A45" s="17" t="s">
        <v>42</v>
      </c>
      <c r="B45" s="18" t="s">
        <v>46</v>
      </c>
      <c r="C45" s="19" t="s">
        <v>221</v>
      </c>
      <c r="D45" s="18" t="s">
        <v>222</v>
      </c>
      <c r="E45" s="3">
        <v>865657</v>
      </c>
      <c r="F45" s="17">
        <v>43661</v>
      </c>
      <c r="G45" s="3">
        <v>822373</v>
      </c>
      <c r="H45" s="2">
        <v>1.4999999999999999E-2</v>
      </c>
      <c r="I45" s="17">
        <v>43770</v>
      </c>
      <c r="J45" s="17">
        <v>43783</v>
      </c>
      <c r="K45" s="3">
        <f>J45-I45+1</f>
        <v>14</v>
      </c>
      <c r="L45" s="3">
        <f>ROUND(G45*H45*K45/365,0)</f>
        <v>473</v>
      </c>
      <c r="M45" s="3">
        <v>807945</v>
      </c>
    </row>
    <row r="46" spans="1:13" s="16" customFormat="1" outlineLevel="2">
      <c r="A46" s="17" t="s">
        <v>42</v>
      </c>
      <c r="B46" s="18" t="s">
        <v>46</v>
      </c>
      <c r="C46" s="19" t="s">
        <v>221</v>
      </c>
      <c r="D46" s="18"/>
      <c r="E46" s="3"/>
      <c r="F46" s="17"/>
      <c r="G46" s="3">
        <v>807945</v>
      </c>
      <c r="H46" s="2">
        <v>1.4999999999999999E-2</v>
      </c>
      <c r="I46" s="17">
        <v>43784</v>
      </c>
      <c r="J46" s="17">
        <v>43799</v>
      </c>
      <c r="K46" s="3">
        <f>J46-I46+1</f>
        <v>16</v>
      </c>
      <c r="L46" s="3">
        <f>ROUND(G46*H46*K46/365,0)</f>
        <v>531</v>
      </c>
      <c r="M46" s="3"/>
    </row>
    <row r="47" spans="1:13" s="16" customFormat="1" outlineLevel="2">
      <c r="A47" s="17" t="s">
        <v>42</v>
      </c>
      <c r="B47" s="18" t="s">
        <v>45</v>
      </c>
      <c r="C47" s="19" t="s">
        <v>54</v>
      </c>
      <c r="D47" s="18" t="s">
        <v>34</v>
      </c>
      <c r="E47" s="3">
        <v>4116000</v>
      </c>
      <c r="F47" s="17">
        <v>43692</v>
      </c>
      <c r="G47" s="3">
        <v>4116000</v>
      </c>
      <c r="H47" s="2">
        <v>1.4999999999999999E-2</v>
      </c>
      <c r="I47" s="17">
        <v>43770</v>
      </c>
      <c r="J47" s="17">
        <v>43799</v>
      </c>
      <c r="K47" s="3">
        <f>J47-I47+1</f>
        <v>30</v>
      </c>
      <c r="L47" s="3">
        <f>ROUND(G47*H47*K47/365,0)</f>
        <v>5075</v>
      </c>
      <c r="M47" s="3">
        <v>4116000</v>
      </c>
    </row>
    <row r="48" spans="1:13" s="16" customFormat="1" outlineLevel="2">
      <c r="A48" s="17" t="s">
        <v>42</v>
      </c>
      <c r="B48" s="18" t="s">
        <v>44</v>
      </c>
      <c r="C48" s="19" t="s">
        <v>225</v>
      </c>
      <c r="D48" s="18" t="s">
        <v>224</v>
      </c>
      <c r="E48" s="3">
        <v>20000000</v>
      </c>
      <c r="F48" s="17">
        <v>43692</v>
      </c>
      <c r="G48" s="3">
        <v>20000000</v>
      </c>
      <c r="H48" s="2">
        <v>5.0000000000000001E-3</v>
      </c>
      <c r="I48" s="17">
        <v>43770</v>
      </c>
      <c r="J48" s="17">
        <v>43799</v>
      </c>
      <c r="K48" s="3">
        <f>J48-I48+1</f>
        <v>30</v>
      </c>
      <c r="L48" s="3">
        <f>ROUND(G48*H48*K48/365,0)</f>
        <v>8219</v>
      </c>
      <c r="M48" s="3">
        <v>20000000</v>
      </c>
    </row>
    <row r="49" spans="1:13" s="16" customFormat="1" outlineLevel="1">
      <c r="A49" s="28" t="s">
        <v>41</v>
      </c>
      <c r="B49" s="21"/>
      <c r="C49" s="22"/>
      <c r="D49" s="21"/>
      <c r="E49" s="23">
        <f>SUBTOTAL(9,E4:E48)</f>
        <v>1967128276</v>
      </c>
      <c r="F49" s="20"/>
      <c r="G49" s="23"/>
      <c r="H49" s="24"/>
      <c r="I49" s="20"/>
      <c r="J49" s="20"/>
      <c r="K49" s="23"/>
      <c r="L49" s="23">
        <f>SUBTOTAL(9,L4:L48)</f>
        <v>1064670</v>
      </c>
      <c r="M49" s="23">
        <f>SUBTOTAL(9,M4:M48)</f>
        <v>1967070564</v>
      </c>
    </row>
    <row r="50" spans="1:13" s="16" customFormat="1" outlineLevel="2">
      <c r="A50" s="17" t="s">
        <v>354</v>
      </c>
      <c r="B50" s="18" t="s">
        <v>17</v>
      </c>
      <c r="C50" s="19" t="s">
        <v>218</v>
      </c>
      <c r="D50" s="18" t="s">
        <v>219</v>
      </c>
      <c r="E50" s="3">
        <v>87650000</v>
      </c>
      <c r="F50" s="17">
        <v>43489</v>
      </c>
      <c r="G50" s="3">
        <v>87650000</v>
      </c>
      <c r="H50" s="2">
        <v>1.4999999999999999E-2</v>
      </c>
      <c r="I50" s="17">
        <v>43770</v>
      </c>
      <c r="J50" s="17">
        <v>43799</v>
      </c>
      <c r="K50" s="3">
        <f>J50-I50+1</f>
        <v>30</v>
      </c>
      <c r="L50" s="3">
        <f>ROUND(G50*H50*K50/365,0)</f>
        <v>108062</v>
      </c>
      <c r="M50" s="3">
        <v>87650000</v>
      </c>
    </row>
    <row r="51" spans="1:13" s="16" customFormat="1" outlineLevel="2">
      <c r="A51" s="17" t="s">
        <v>354</v>
      </c>
      <c r="B51" s="18" t="s">
        <v>181</v>
      </c>
      <c r="C51" s="19" t="s">
        <v>218</v>
      </c>
      <c r="D51" s="18" t="s">
        <v>219</v>
      </c>
      <c r="E51" s="3">
        <v>25000000</v>
      </c>
      <c r="F51" s="17">
        <v>43712</v>
      </c>
      <c r="G51" s="3">
        <v>25000000</v>
      </c>
      <c r="H51" s="2">
        <v>1.4999999999999999E-2</v>
      </c>
      <c r="I51" s="17">
        <v>43770</v>
      </c>
      <c r="J51" s="17">
        <v>43799</v>
      </c>
      <c r="K51" s="3">
        <f>J51-I51+1</f>
        <v>30</v>
      </c>
      <c r="L51" s="3">
        <f>ROUND(G51*H51*K51/365,0)</f>
        <v>30822</v>
      </c>
      <c r="M51" s="3">
        <v>25000000</v>
      </c>
    </row>
    <row r="52" spans="1:13" s="16" customFormat="1" outlineLevel="2">
      <c r="A52" s="17" t="s">
        <v>354</v>
      </c>
      <c r="B52" s="18" t="s">
        <v>180</v>
      </c>
      <c r="C52" s="19" t="s">
        <v>218</v>
      </c>
      <c r="D52" s="18" t="s">
        <v>219</v>
      </c>
      <c r="E52" s="3">
        <v>21000000</v>
      </c>
      <c r="F52" s="17">
        <v>43731</v>
      </c>
      <c r="G52" s="3">
        <v>21000000</v>
      </c>
      <c r="H52" s="2">
        <v>1.4999999999999999E-2</v>
      </c>
      <c r="I52" s="17">
        <v>43770</v>
      </c>
      <c r="J52" s="17">
        <v>43799</v>
      </c>
      <c r="K52" s="3">
        <f>J52-I52+1</f>
        <v>30</v>
      </c>
      <c r="L52" s="3">
        <f>ROUND(G52*H52*K52/365,0)</f>
        <v>25890</v>
      </c>
      <c r="M52" s="3">
        <v>21000000</v>
      </c>
    </row>
    <row r="53" spans="1:13" s="16" customFormat="1" outlineLevel="2">
      <c r="A53" s="17" t="s">
        <v>354</v>
      </c>
      <c r="B53" s="18" t="s">
        <v>179</v>
      </c>
      <c r="C53" s="19" t="s">
        <v>218</v>
      </c>
      <c r="D53" s="18" t="s">
        <v>219</v>
      </c>
      <c r="E53" s="3">
        <v>36000000</v>
      </c>
      <c r="F53" s="17">
        <v>43735</v>
      </c>
      <c r="G53" s="3">
        <v>36000000</v>
      </c>
      <c r="H53" s="2">
        <v>1.4999999999999999E-2</v>
      </c>
      <c r="I53" s="17">
        <v>43770</v>
      </c>
      <c r="J53" s="17">
        <v>43799</v>
      </c>
      <c r="K53" s="3">
        <f>J53-I53+1</f>
        <v>30</v>
      </c>
      <c r="L53" s="3">
        <f>ROUND(G53*H53*K53/365,0)</f>
        <v>44384</v>
      </c>
      <c r="M53" s="3">
        <v>36000000</v>
      </c>
    </row>
    <row r="54" spans="1:13" s="16" customFormat="1" outlineLevel="2">
      <c r="A54" s="17" t="s">
        <v>354</v>
      </c>
      <c r="B54" s="18" t="s">
        <v>178</v>
      </c>
      <c r="C54" s="19" t="s">
        <v>218</v>
      </c>
      <c r="D54" s="18" t="s">
        <v>219</v>
      </c>
      <c r="E54" s="3">
        <v>20000000</v>
      </c>
      <c r="F54" s="17">
        <v>43761</v>
      </c>
      <c r="G54" s="3">
        <v>20000000</v>
      </c>
      <c r="H54" s="2">
        <v>1.4999999999999999E-2</v>
      </c>
      <c r="I54" s="17">
        <v>43770</v>
      </c>
      <c r="J54" s="17">
        <v>43799</v>
      </c>
      <c r="K54" s="3">
        <f>J54-I54+1</f>
        <v>30</v>
      </c>
      <c r="L54" s="3">
        <f>ROUND(G54*H54*K54/365,0)</f>
        <v>24658</v>
      </c>
      <c r="M54" s="3">
        <v>20000000</v>
      </c>
    </row>
    <row r="55" spans="1:13" s="16" customFormat="1" outlineLevel="2">
      <c r="A55" s="17" t="s">
        <v>354</v>
      </c>
      <c r="B55" s="18" t="s">
        <v>177</v>
      </c>
      <c r="C55" s="19" t="s">
        <v>218</v>
      </c>
      <c r="D55" s="18" t="s">
        <v>219</v>
      </c>
      <c r="E55" s="3">
        <v>46000000</v>
      </c>
      <c r="F55" s="17">
        <v>43787</v>
      </c>
      <c r="G55" s="3">
        <v>46000000</v>
      </c>
      <c r="H55" s="2">
        <v>1.4999999999999999E-2</v>
      </c>
      <c r="I55" s="17">
        <v>43787</v>
      </c>
      <c r="J55" s="17">
        <v>43799</v>
      </c>
      <c r="K55" s="3">
        <f>J55-I55+1</f>
        <v>13</v>
      </c>
      <c r="L55" s="3">
        <f>ROUND(G55*H55*K55/365,0)</f>
        <v>24575</v>
      </c>
      <c r="M55" s="3">
        <v>46000000</v>
      </c>
    </row>
    <row r="56" spans="1:13" s="16" customFormat="1" outlineLevel="2">
      <c r="A56" s="17" t="s">
        <v>354</v>
      </c>
      <c r="B56" s="18" t="s">
        <v>176</v>
      </c>
      <c r="C56" s="19" t="s">
        <v>400</v>
      </c>
      <c r="D56" s="18" t="s">
        <v>399</v>
      </c>
      <c r="E56" s="3">
        <v>600000000</v>
      </c>
      <c r="F56" s="17">
        <v>43798</v>
      </c>
      <c r="G56" s="3">
        <v>600000000</v>
      </c>
      <c r="H56" s="2">
        <v>1E-3</v>
      </c>
      <c r="I56" s="17">
        <v>43798</v>
      </c>
      <c r="J56" s="17">
        <v>43799</v>
      </c>
      <c r="K56" s="3">
        <f>J56-I56+1</f>
        <v>2</v>
      </c>
      <c r="L56" s="3">
        <f>ROUND(G56*H56*K56/365,0)</f>
        <v>3288</v>
      </c>
      <c r="M56" s="3">
        <v>600000000</v>
      </c>
    </row>
    <row r="57" spans="1:13" s="16" customFormat="1" outlineLevel="2">
      <c r="A57" s="17" t="s">
        <v>354</v>
      </c>
      <c r="B57" s="18" t="s">
        <v>31</v>
      </c>
      <c r="C57" s="19" t="s">
        <v>218</v>
      </c>
      <c r="D57" s="18" t="s">
        <v>219</v>
      </c>
      <c r="E57" s="3">
        <v>39730000</v>
      </c>
      <c r="F57" s="17">
        <v>43543</v>
      </c>
      <c r="G57" s="3">
        <v>39730000</v>
      </c>
      <c r="H57" s="2">
        <v>1.4999999999999999E-2</v>
      </c>
      <c r="I57" s="17">
        <v>43770</v>
      </c>
      <c r="J57" s="17">
        <v>43799</v>
      </c>
      <c r="K57" s="3">
        <f>J57-I57+1</f>
        <v>30</v>
      </c>
      <c r="L57" s="3">
        <f>ROUND(G57*H57*K57/365,0)</f>
        <v>48982</v>
      </c>
      <c r="M57" s="3">
        <v>39730000</v>
      </c>
    </row>
    <row r="58" spans="1:13" s="16" customFormat="1" outlineLevel="2">
      <c r="A58" s="17" t="s">
        <v>354</v>
      </c>
      <c r="B58" s="18" t="s">
        <v>30</v>
      </c>
      <c r="C58" s="19" t="s">
        <v>218</v>
      </c>
      <c r="D58" s="18" t="s">
        <v>219</v>
      </c>
      <c r="E58" s="3">
        <v>54420000</v>
      </c>
      <c r="F58" s="17">
        <v>43553</v>
      </c>
      <c r="G58" s="3">
        <v>54420000</v>
      </c>
      <c r="H58" s="2">
        <v>1.4999999999999999E-2</v>
      </c>
      <c r="I58" s="17">
        <v>43770</v>
      </c>
      <c r="J58" s="17">
        <v>43799</v>
      </c>
      <c r="K58" s="3">
        <f>J58-I58+1</f>
        <v>30</v>
      </c>
      <c r="L58" s="3">
        <f>ROUND(G58*H58*K58/365,0)</f>
        <v>67093</v>
      </c>
      <c r="M58" s="3">
        <v>54420000</v>
      </c>
    </row>
    <row r="59" spans="1:13" s="16" customFormat="1" outlineLevel="2">
      <c r="A59" s="17" t="s">
        <v>354</v>
      </c>
      <c r="B59" s="18" t="s">
        <v>28</v>
      </c>
      <c r="C59" s="19" t="s">
        <v>218</v>
      </c>
      <c r="D59" s="18" t="s">
        <v>219</v>
      </c>
      <c r="E59" s="3">
        <v>29000000</v>
      </c>
      <c r="F59" s="17">
        <v>43602</v>
      </c>
      <c r="G59" s="3">
        <v>29000000</v>
      </c>
      <c r="H59" s="2">
        <v>1.4999999999999999E-2</v>
      </c>
      <c r="I59" s="17">
        <v>43770</v>
      </c>
      <c r="J59" s="17">
        <v>43799</v>
      </c>
      <c r="K59" s="3">
        <f>J59-I59+1</f>
        <v>30</v>
      </c>
      <c r="L59" s="3">
        <f>ROUND(G59*H59*K59/365,0)</f>
        <v>35753</v>
      </c>
      <c r="M59" s="3">
        <v>29000000</v>
      </c>
    </row>
    <row r="60" spans="1:13" s="16" customFormat="1" outlineLevel="2">
      <c r="A60" s="17" t="s">
        <v>354</v>
      </c>
      <c r="B60" s="18" t="s">
        <v>48</v>
      </c>
      <c r="C60" s="19" t="s">
        <v>218</v>
      </c>
      <c r="D60" s="18" t="s">
        <v>219</v>
      </c>
      <c r="E60" s="3">
        <v>22340000</v>
      </c>
      <c r="F60" s="17">
        <v>43612</v>
      </c>
      <c r="G60" s="3">
        <v>22340000</v>
      </c>
      <c r="H60" s="2">
        <v>1.4999999999999999E-2</v>
      </c>
      <c r="I60" s="17">
        <v>43770</v>
      </c>
      <c r="J60" s="17">
        <v>43799</v>
      </c>
      <c r="K60" s="3">
        <f>J60-I60+1</f>
        <v>30</v>
      </c>
      <c r="L60" s="3">
        <f>ROUND(G60*H60*K60/365,0)</f>
        <v>27542</v>
      </c>
      <c r="M60" s="3">
        <v>22340000</v>
      </c>
    </row>
    <row r="61" spans="1:13" s="16" customFormat="1" outlineLevel="2">
      <c r="A61" s="17" t="s">
        <v>354</v>
      </c>
      <c r="B61" s="18" t="s">
        <v>47</v>
      </c>
      <c r="C61" s="19" t="s">
        <v>218</v>
      </c>
      <c r="D61" s="18" t="s">
        <v>219</v>
      </c>
      <c r="E61" s="3">
        <v>20000000</v>
      </c>
      <c r="F61" s="17">
        <v>43627</v>
      </c>
      <c r="G61" s="3">
        <v>20000000</v>
      </c>
      <c r="H61" s="2">
        <v>1.4999999999999999E-2</v>
      </c>
      <c r="I61" s="17">
        <v>43770</v>
      </c>
      <c r="J61" s="17">
        <v>43799</v>
      </c>
      <c r="K61" s="3">
        <f>J61-I61+1</f>
        <v>30</v>
      </c>
      <c r="L61" s="3">
        <f>ROUND(G61*H61*K61/365,0)</f>
        <v>24658</v>
      </c>
      <c r="M61" s="3">
        <v>20000000</v>
      </c>
    </row>
    <row r="62" spans="1:13" s="16" customFormat="1" outlineLevel="2">
      <c r="A62" s="17" t="s">
        <v>354</v>
      </c>
      <c r="B62" s="18" t="s">
        <v>46</v>
      </c>
      <c r="C62" s="19" t="s">
        <v>218</v>
      </c>
      <c r="D62" s="18" t="s">
        <v>219</v>
      </c>
      <c r="E62" s="3">
        <v>36000000</v>
      </c>
      <c r="F62" s="17">
        <v>43642</v>
      </c>
      <c r="G62" s="3">
        <v>36000000</v>
      </c>
      <c r="H62" s="2">
        <v>1.4999999999999999E-2</v>
      </c>
      <c r="I62" s="17">
        <v>43770</v>
      </c>
      <c r="J62" s="17">
        <v>43799</v>
      </c>
      <c r="K62" s="3">
        <f>J62-I62+1</f>
        <v>30</v>
      </c>
      <c r="L62" s="3">
        <f>ROUND(G62*H62*K62/365,0)</f>
        <v>44384</v>
      </c>
      <c r="M62" s="3">
        <v>36000000</v>
      </c>
    </row>
    <row r="63" spans="1:13" s="16" customFormat="1" outlineLevel="2">
      <c r="A63" s="17" t="s">
        <v>354</v>
      </c>
      <c r="B63" s="18" t="s">
        <v>45</v>
      </c>
      <c r="C63" s="19" t="s">
        <v>218</v>
      </c>
      <c r="D63" s="18" t="s">
        <v>219</v>
      </c>
      <c r="E63" s="3">
        <v>16040000</v>
      </c>
      <c r="F63" s="17">
        <v>43663</v>
      </c>
      <c r="G63" s="3">
        <v>16040000</v>
      </c>
      <c r="H63" s="2">
        <v>1.4999999999999999E-2</v>
      </c>
      <c r="I63" s="17">
        <v>43770</v>
      </c>
      <c r="J63" s="17">
        <v>43799</v>
      </c>
      <c r="K63" s="3">
        <f>J63-I63+1</f>
        <v>30</v>
      </c>
      <c r="L63" s="3">
        <f>ROUND(G63*H63*K63/365,0)</f>
        <v>19775</v>
      </c>
      <c r="M63" s="3">
        <v>16040000</v>
      </c>
    </row>
    <row r="64" spans="1:13" s="16" customFormat="1" outlineLevel="2">
      <c r="A64" s="17" t="s">
        <v>354</v>
      </c>
      <c r="B64" s="18" t="s">
        <v>44</v>
      </c>
      <c r="C64" s="19" t="s">
        <v>218</v>
      </c>
      <c r="D64" s="18" t="s">
        <v>219</v>
      </c>
      <c r="E64" s="3">
        <v>15590000</v>
      </c>
      <c r="F64" s="17">
        <v>43678</v>
      </c>
      <c r="G64" s="3">
        <v>15590000</v>
      </c>
      <c r="H64" s="2">
        <v>1.4999999999999999E-2</v>
      </c>
      <c r="I64" s="17">
        <v>43770</v>
      </c>
      <c r="J64" s="17">
        <v>43799</v>
      </c>
      <c r="K64" s="3">
        <f>J64-I64+1</f>
        <v>30</v>
      </c>
      <c r="L64" s="3">
        <f>ROUND(G64*H64*K64/365,0)</f>
        <v>19221</v>
      </c>
      <c r="M64" s="3">
        <v>15590000</v>
      </c>
    </row>
    <row r="65" spans="1:13" s="16" customFormat="1" outlineLevel="1">
      <c r="A65" s="28" t="s">
        <v>353</v>
      </c>
      <c r="B65" s="21"/>
      <c r="C65" s="22"/>
      <c r="D65" s="21"/>
      <c r="E65" s="23">
        <f>SUBTOTAL(9,E50:E64)</f>
        <v>1068770000</v>
      </c>
      <c r="F65" s="20"/>
      <c r="G65" s="23"/>
      <c r="H65" s="24"/>
      <c r="I65" s="20"/>
      <c r="J65" s="20"/>
      <c r="K65" s="23"/>
      <c r="L65" s="23">
        <f>SUBTOTAL(9,L50:L64)</f>
        <v>549087</v>
      </c>
      <c r="M65" s="23">
        <f>SUBTOTAL(9,M50:M64)</f>
        <v>1068770000</v>
      </c>
    </row>
    <row r="66" spans="1:13" s="16" customFormat="1" outlineLevel="2">
      <c r="A66" s="17" t="s">
        <v>217</v>
      </c>
      <c r="B66" s="18" t="s">
        <v>17</v>
      </c>
      <c r="C66" s="19" t="s">
        <v>218</v>
      </c>
      <c r="D66" s="18" t="s">
        <v>219</v>
      </c>
      <c r="E66" s="3">
        <v>144000000</v>
      </c>
      <c r="F66" s="17">
        <v>43675</v>
      </c>
      <c r="G66" s="3">
        <v>138857142</v>
      </c>
      <c r="H66" s="2">
        <v>5.0000000000000001E-3</v>
      </c>
      <c r="I66" s="17">
        <v>43770</v>
      </c>
      <c r="J66" s="17">
        <v>43783</v>
      </c>
      <c r="K66" s="3">
        <f>J66-I66+1</f>
        <v>14</v>
      </c>
      <c r="L66" s="3">
        <f>ROUND(G66*H66*K66/365,0)</f>
        <v>26630</v>
      </c>
      <c r="M66" s="3">
        <v>137142856</v>
      </c>
    </row>
    <row r="67" spans="1:13" s="16" customFormat="1" outlineLevel="2">
      <c r="A67" s="17" t="s">
        <v>217</v>
      </c>
      <c r="B67" s="18" t="s">
        <v>17</v>
      </c>
      <c r="C67" s="19" t="s">
        <v>218</v>
      </c>
      <c r="D67" s="18"/>
      <c r="E67" s="3"/>
      <c r="F67" s="17"/>
      <c r="G67" s="3">
        <v>137142856</v>
      </c>
      <c r="H67" s="2">
        <v>5.0000000000000001E-3</v>
      </c>
      <c r="I67" s="17">
        <v>43784</v>
      </c>
      <c r="J67" s="17">
        <v>43799</v>
      </c>
      <c r="K67" s="3">
        <f>J67-I67+1</f>
        <v>16</v>
      </c>
      <c r="L67" s="3">
        <f>ROUND(G67*H67*K67/365,0)</f>
        <v>30059</v>
      </c>
      <c r="M67" s="3"/>
    </row>
    <row r="68" spans="1:13" s="16" customFormat="1" outlineLevel="2">
      <c r="A68" s="17" t="s">
        <v>217</v>
      </c>
      <c r="B68" s="18" t="s">
        <v>31</v>
      </c>
      <c r="C68" s="19" t="s">
        <v>58</v>
      </c>
      <c r="D68" s="18" t="s">
        <v>57</v>
      </c>
      <c r="E68" s="3">
        <v>140000000</v>
      </c>
      <c r="F68" s="17">
        <v>43692</v>
      </c>
      <c r="G68" s="3">
        <v>136666666</v>
      </c>
      <c r="H68" s="2">
        <v>5.0000000000000001E-3</v>
      </c>
      <c r="I68" s="17">
        <v>43770</v>
      </c>
      <c r="J68" s="17">
        <v>43783</v>
      </c>
      <c r="K68" s="3">
        <f>J68-I68+1</f>
        <v>14</v>
      </c>
      <c r="L68" s="3">
        <f>ROUND(G68*H68*K68/365,0)</f>
        <v>26210</v>
      </c>
      <c r="M68" s="3">
        <v>134999999</v>
      </c>
    </row>
    <row r="69" spans="1:13" s="16" customFormat="1" outlineLevel="2">
      <c r="A69" s="17" t="s">
        <v>217</v>
      </c>
      <c r="B69" s="18" t="s">
        <v>31</v>
      </c>
      <c r="C69" s="19" t="s">
        <v>58</v>
      </c>
      <c r="D69" s="18"/>
      <c r="E69" s="3"/>
      <c r="F69" s="17"/>
      <c r="G69" s="3">
        <v>134999999</v>
      </c>
      <c r="H69" s="2">
        <v>5.0000000000000001E-3</v>
      </c>
      <c r="I69" s="17">
        <v>43784</v>
      </c>
      <c r="J69" s="17">
        <v>43799</v>
      </c>
      <c r="K69" s="3">
        <f>J69-I69+1</f>
        <v>16</v>
      </c>
      <c r="L69" s="3">
        <f>ROUND(G69*H69*K69/365,0)</f>
        <v>29589</v>
      </c>
      <c r="M69" s="3"/>
    </row>
    <row r="70" spans="1:13" s="16" customFormat="1" outlineLevel="2">
      <c r="A70" s="17" t="s">
        <v>217</v>
      </c>
      <c r="B70" s="18" t="s">
        <v>30</v>
      </c>
      <c r="C70" s="19" t="s">
        <v>58</v>
      </c>
      <c r="D70" s="18" t="s">
        <v>57</v>
      </c>
      <c r="E70" s="3">
        <v>148848000</v>
      </c>
      <c r="F70" s="17">
        <v>43710</v>
      </c>
      <c r="G70" s="3">
        <v>148848000</v>
      </c>
      <c r="H70" s="2">
        <v>5.0000000000000001E-3</v>
      </c>
      <c r="I70" s="17">
        <v>43770</v>
      </c>
      <c r="J70" s="17">
        <v>43799</v>
      </c>
      <c r="K70" s="3">
        <f>J70-I70+1</f>
        <v>30</v>
      </c>
      <c r="L70" s="3">
        <f>ROUND(G70*H70*K70/365,0)</f>
        <v>61170</v>
      </c>
      <c r="M70" s="3">
        <v>148848000</v>
      </c>
    </row>
    <row r="71" spans="1:13" s="16" customFormat="1" outlineLevel="2">
      <c r="A71" s="17" t="s">
        <v>217</v>
      </c>
      <c r="B71" s="18" t="s">
        <v>28</v>
      </c>
      <c r="C71" s="19" t="s">
        <v>58</v>
      </c>
      <c r="D71" s="18" t="s">
        <v>57</v>
      </c>
      <c r="E71" s="3">
        <v>74400000</v>
      </c>
      <c r="F71" s="17">
        <v>43753</v>
      </c>
      <c r="G71" s="3">
        <v>74400000</v>
      </c>
      <c r="H71" s="2">
        <v>5.0000000000000001E-3</v>
      </c>
      <c r="I71" s="17">
        <v>43770</v>
      </c>
      <c r="J71" s="17">
        <v>43799</v>
      </c>
      <c r="K71" s="3">
        <f>J71-I71+1</f>
        <v>30</v>
      </c>
      <c r="L71" s="3">
        <f>ROUND(G71*H71*K71/365,0)</f>
        <v>30575</v>
      </c>
      <c r="M71" s="3">
        <v>74400000</v>
      </c>
    </row>
    <row r="72" spans="1:13" s="16" customFormat="1" outlineLevel="2">
      <c r="A72" s="17" t="s">
        <v>217</v>
      </c>
      <c r="B72" s="18" t="s">
        <v>48</v>
      </c>
      <c r="C72" s="19" t="s">
        <v>210</v>
      </c>
      <c r="D72" s="18" t="s">
        <v>209</v>
      </c>
      <c r="E72" s="3">
        <v>20000000</v>
      </c>
      <c r="F72" s="17">
        <v>43739</v>
      </c>
      <c r="G72" s="3">
        <v>19761904</v>
      </c>
      <c r="H72" s="2">
        <v>5.0000000000000001E-3</v>
      </c>
      <c r="I72" s="17">
        <v>43770</v>
      </c>
      <c r="J72" s="17">
        <v>43783</v>
      </c>
      <c r="K72" s="3">
        <f>J72-I72+1</f>
        <v>14</v>
      </c>
      <c r="L72" s="3">
        <f>ROUND(G72*H72*K72/365,0)</f>
        <v>3790</v>
      </c>
      <c r="M72" s="3">
        <v>19523808</v>
      </c>
    </row>
    <row r="73" spans="1:13" s="16" customFormat="1" outlineLevel="2">
      <c r="A73" s="17" t="s">
        <v>217</v>
      </c>
      <c r="B73" s="18" t="s">
        <v>48</v>
      </c>
      <c r="C73" s="19" t="s">
        <v>210</v>
      </c>
      <c r="D73" s="18"/>
      <c r="E73" s="3"/>
      <c r="F73" s="17"/>
      <c r="G73" s="3">
        <v>19523808</v>
      </c>
      <c r="H73" s="2">
        <v>5.0000000000000001E-3</v>
      </c>
      <c r="I73" s="17">
        <v>43784</v>
      </c>
      <c r="J73" s="17">
        <v>43799</v>
      </c>
      <c r="K73" s="3">
        <f>J73-I73+1</f>
        <v>16</v>
      </c>
      <c r="L73" s="3">
        <f>ROUND(G73*H73*K73/365,0)</f>
        <v>4279</v>
      </c>
      <c r="M73" s="3"/>
    </row>
    <row r="74" spans="1:13" s="16" customFormat="1" outlineLevel="2">
      <c r="A74" s="17" t="s">
        <v>217</v>
      </c>
      <c r="B74" s="18" t="s">
        <v>47</v>
      </c>
      <c r="C74" s="19" t="s">
        <v>210</v>
      </c>
      <c r="D74" s="18" t="s">
        <v>209</v>
      </c>
      <c r="E74" s="3">
        <v>10400000</v>
      </c>
      <c r="F74" s="17">
        <v>43762</v>
      </c>
      <c r="G74" s="3">
        <v>10400000</v>
      </c>
      <c r="H74" s="2">
        <v>5.0000000000000001E-3</v>
      </c>
      <c r="I74" s="17">
        <v>43770</v>
      </c>
      <c r="J74" s="17">
        <v>43783</v>
      </c>
      <c r="K74" s="3">
        <f>J74-I74+1</f>
        <v>14</v>
      </c>
      <c r="L74" s="3">
        <f>ROUND(G74*H74*K74/365,0)</f>
        <v>1995</v>
      </c>
      <c r="M74" s="3">
        <v>10274699</v>
      </c>
    </row>
    <row r="75" spans="1:13" s="16" customFormat="1" outlineLevel="2">
      <c r="A75" s="17" t="s">
        <v>217</v>
      </c>
      <c r="B75" s="18" t="s">
        <v>47</v>
      </c>
      <c r="C75" s="19" t="s">
        <v>210</v>
      </c>
      <c r="D75" s="18"/>
      <c r="E75" s="3"/>
      <c r="F75" s="17"/>
      <c r="G75" s="3">
        <v>10274699</v>
      </c>
      <c r="H75" s="2">
        <v>5.0000000000000001E-3</v>
      </c>
      <c r="I75" s="17">
        <v>43784</v>
      </c>
      <c r="J75" s="17">
        <v>43799</v>
      </c>
      <c r="K75" s="3">
        <f>J75-I75+1</f>
        <v>16</v>
      </c>
      <c r="L75" s="3">
        <f>ROUND(G75*H75*K75/365,0)</f>
        <v>2252</v>
      </c>
      <c r="M75" s="3"/>
    </row>
    <row r="76" spans="1:13" s="16" customFormat="1" outlineLevel="2">
      <c r="A76" s="17" t="s">
        <v>217</v>
      </c>
      <c r="B76" s="18" t="s">
        <v>46</v>
      </c>
      <c r="C76" s="19" t="s">
        <v>398</v>
      </c>
      <c r="D76" s="18" t="s">
        <v>397</v>
      </c>
      <c r="E76" s="3">
        <v>143000000</v>
      </c>
      <c r="F76" s="17">
        <v>43797</v>
      </c>
      <c r="G76" s="3">
        <v>143000000</v>
      </c>
      <c r="H76" s="2">
        <v>5.0000000000000001E-3</v>
      </c>
      <c r="I76" s="17">
        <v>43797</v>
      </c>
      <c r="J76" s="17">
        <v>43799</v>
      </c>
      <c r="K76" s="3">
        <f>J76-I76+1</f>
        <v>3</v>
      </c>
      <c r="L76" s="3">
        <f>ROUND(G76*H76*K76/365,0)</f>
        <v>5877</v>
      </c>
      <c r="M76" s="3">
        <v>143000000</v>
      </c>
    </row>
    <row r="77" spans="1:13" s="16" customFormat="1" outlineLevel="2">
      <c r="A77" s="17" t="s">
        <v>217</v>
      </c>
      <c r="B77" s="18" t="s">
        <v>45</v>
      </c>
      <c r="C77" s="19" t="s">
        <v>356</v>
      </c>
      <c r="D77" s="18" t="s">
        <v>355</v>
      </c>
      <c r="E77" s="3">
        <v>25000000</v>
      </c>
      <c r="F77" s="17">
        <v>43797</v>
      </c>
      <c r="G77" s="3">
        <v>25000000</v>
      </c>
      <c r="H77" s="2">
        <v>5.0000000000000001E-3</v>
      </c>
      <c r="I77" s="17">
        <v>43797</v>
      </c>
      <c r="J77" s="17">
        <v>43799</v>
      </c>
      <c r="K77" s="3">
        <f>J77-I77+1</f>
        <v>3</v>
      </c>
      <c r="L77" s="3">
        <f>ROUND(G77*H77*K77/365,0)</f>
        <v>1027</v>
      </c>
      <c r="M77" s="3">
        <v>25000000</v>
      </c>
    </row>
    <row r="78" spans="1:13" s="16" customFormat="1" outlineLevel="2">
      <c r="A78" s="17" t="s">
        <v>217</v>
      </c>
      <c r="B78" s="18" t="s">
        <v>44</v>
      </c>
      <c r="C78" s="19" t="s">
        <v>210</v>
      </c>
      <c r="D78" s="18" t="s">
        <v>209</v>
      </c>
      <c r="E78" s="3">
        <v>20000000</v>
      </c>
      <c r="F78" s="17">
        <v>43774</v>
      </c>
      <c r="G78" s="3">
        <v>20000000</v>
      </c>
      <c r="H78" s="2">
        <v>5.0000000000000001E-3</v>
      </c>
      <c r="I78" s="17">
        <v>43774</v>
      </c>
      <c r="J78" s="17">
        <v>43783</v>
      </c>
      <c r="K78" s="3">
        <f>J78-I78+1</f>
        <v>10</v>
      </c>
      <c r="L78" s="3">
        <f>ROUND(G78*H78*K78/365,0)</f>
        <v>2740</v>
      </c>
      <c r="M78" s="3">
        <v>19759036</v>
      </c>
    </row>
    <row r="79" spans="1:13" s="16" customFormat="1" outlineLevel="2">
      <c r="A79" s="17" t="s">
        <v>217</v>
      </c>
      <c r="B79" s="18" t="s">
        <v>44</v>
      </c>
      <c r="C79" s="19" t="s">
        <v>210</v>
      </c>
      <c r="D79" s="18"/>
      <c r="E79" s="3"/>
      <c r="F79" s="17"/>
      <c r="G79" s="3">
        <v>19759036</v>
      </c>
      <c r="H79" s="2">
        <v>5.0000000000000001E-3</v>
      </c>
      <c r="I79" s="17">
        <v>43784</v>
      </c>
      <c r="J79" s="17">
        <v>43799</v>
      </c>
      <c r="K79" s="3">
        <f>J79-I79+1</f>
        <v>16</v>
      </c>
      <c r="L79" s="3">
        <f>ROUND(G79*H79*K79/365,0)</f>
        <v>4331</v>
      </c>
      <c r="M79" s="3"/>
    </row>
    <row r="80" spans="1:13" s="16" customFormat="1" outlineLevel="1">
      <c r="A80" s="28" t="s">
        <v>137</v>
      </c>
      <c r="B80" s="21"/>
      <c r="C80" s="22"/>
      <c r="D80" s="21"/>
      <c r="E80" s="23">
        <f>SUBTOTAL(9,E66:E79)</f>
        <v>725648000</v>
      </c>
      <c r="F80" s="20"/>
      <c r="G80" s="23"/>
      <c r="H80" s="24"/>
      <c r="I80" s="20"/>
      <c r="J80" s="20"/>
      <c r="K80" s="23"/>
      <c r="L80" s="23">
        <f>SUBTOTAL(9,L66:L79)</f>
        <v>230524</v>
      </c>
      <c r="M80" s="23">
        <f>SUBTOTAL(9,M66:M79)</f>
        <v>712948398</v>
      </c>
    </row>
    <row r="81" spans="1:13" s="16" customFormat="1" outlineLevel="2">
      <c r="A81" s="17" t="s">
        <v>213</v>
      </c>
      <c r="B81" s="18" t="s">
        <v>17</v>
      </c>
      <c r="C81" s="19" t="s">
        <v>58</v>
      </c>
      <c r="D81" s="18" t="s">
        <v>57</v>
      </c>
      <c r="E81" s="3">
        <v>200000000</v>
      </c>
      <c r="F81" s="17">
        <v>43664</v>
      </c>
      <c r="G81" s="3">
        <v>192857144</v>
      </c>
      <c r="H81" s="2">
        <v>1.4999999999999999E-2</v>
      </c>
      <c r="I81" s="17">
        <v>43770</v>
      </c>
      <c r="J81" s="17">
        <v>43783</v>
      </c>
      <c r="K81" s="3">
        <f>J81-I81+1</f>
        <v>14</v>
      </c>
      <c r="L81" s="3">
        <f>ROUND(G81*H81*K81/365,0)</f>
        <v>110959</v>
      </c>
      <c r="M81" s="3">
        <v>190476192</v>
      </c>
    </row>
    <row r="82" spans="1:13" s="16" customFormat="1" outlineLevel="2">
      <c r="A82" s="17" t="s">
        <v>213</v>
      </c>
      <c r="B82" s="18" t="s">
        <v>17</v>
      </c>
      <c r="C82" s="19" t="s">
        <v>58</v>
      </c>
      <c r="D82" s="18"/>
      <c r="E82" s="3"/>
      <c r="F82" s="17"/>
      <c r="G82" s="3">
        <v>190476192</v>
      </c>
      <c r="H82" s="2">
        <v>1.4999999999999999E-2</v>
      </c>
      <c r="I82" s="17">
        <v>43784</v>
      </c>
      <c r="J82" s="17">
        <v>43799</v>
      </c>
      <c r="K82" s="3">
        <f>J82-I82+1</f>
        <v>16</v>
      </c>
      <c r="L82" s="3">
        <f>ROUND(G82*H82*K82/365,0)</f>
        <v>125245</v>
      </c>
      <c r="M82" s="3"/>
    </row>
    <row r="83" spans="1:13" s="16" customFormat="1" outlineLevel="2">
      <c r="A83" s="17" t="s">
        <v>213</v>
      </c>
      <c r="B83" s="18" t="s">
        <v>181</v>
      </c>
      <c r="C83" s="19" t="s">
        <v>284</v>
      </c>
      <c r="D83" s="18" t="s">
        <v>283</v>
      </c>
      <c r="E83" s="3">
        <v>267200</v>
      </c>
      <c r="F83" s="17">
        <v>43714</v>
      </c>
      <c r="G83" s="3">
        <v>267200</v>
      </c>
      <c r="H83" s="2">
        <v>5.0000000000000001E-3</v>
      </c>
      <c r="I83" s="17">
        <v>43770</v>
      </c>
      <c r="J83" s="17">
        <v>43799</v>
      </c>
      <c r="K83" s="3">
        <f>J83-I83+1</f>
        <v>30</v>
      </c>
      <c r="L83" s="3">
        <f>ROUND(G83*H83*K83/365,0)</f>
        <v>110</v>
      </c>
      <c r="M83" s="3">
        <v>267200</v>
      </c>
    </row>
    <row r="84" spans="1:13" s="16" customFormat="1" outlineLevel="2">
      <c r="A84" s="17" t="s">
        <v>213</v>
      </c>
      <c r="B84" s="18" t="s">
        <v>180</v>
      </c>
      <c r="C84" s="19" t="s">
        <v>280</v>
      </c>
      <c r="D84" s="18" t="s">
        <v>279</v>
      </c>
      <c r="E84" s="3">
        <v>40000000</v>
      </c>
      <c r="F84" s="17">
        <v>43734</v>
      </c>
      <c r="G84" s="3">
        <v>40000000</v>
      </c>
      <c r="H84" s="2">
        <v>5.0000000000000001E-3</v>
      </c>
      <c r="I84" s="17">
        <v>43770</v>
      </c>
      <c r="J84" s="17">
        <v>43799</v>
      </c>
      <c r="K84" s="3">
        <f>J84-I84+1</f>
        <v>30</v>
      </c>
      <c r="L84" s="3">
        <f>ROUND(G84*H84*K84/365,0)</f>
        <v>16438</v>
      </c>
      <c r="M84" s="3">
        <v>40000000</v>
      </c>
    </row>
    <row r="85" spans="1:13" s="16" customFormat="1" outlineLevel="2">
      <c r="A85" s="17" t="s">
        <v>213</v>
      </c>
      <c r="B85" s="18" t="s">
        <v>179</v>
      </c>
      <c r="C85" s="19" t="s">
        <v>253</v>
      </c>
      <c r="D85" s="18" t="s">
        <v>252</v>
      </c>
      <c r="E85" s="3">
        <v>90000000</v>
      </c>
      <c r="F85" s="17">
        <v>43735</v>
      </c>
      <c r="G85" s="3">
        <v>90000000</v>
      </c>
      <c r="H85" s="2">
        <v>5.0000000000000001E-3</v>
      </c>
      <c r="I85" s="17">
        <v>43770</v>
      </c>
      <c r="J85" s="17">
        <v>43799</v>
      </c>
      <c r="K85" s="3">
        <f>J85-I85+1</f>
        <v>30</v>
      </c>
      <c r="L85" s="3">
        <f>ROUND(G85*H85*K85/365,0)</f>
        <v>36986</v>
      </c>
      <c r="M85" s="3">
        <v>90000000</v>
      </c>
    </row>
    <row r="86" spans="1:13" s="16" customFormat="1" outlineLevel="2">
      <c r="A86" s="17" t="s">
        <v>213</v>
      </c>
      <c r="B86" s="18" t="s">
        <v>178</v>
      </c>
      <c r="C86" s="19" t="s">
        <v>253</v>
      </c>
      <c r="D86" s="18" t="s">
        <v>252</v>
      </c>
      <c r="E86" s="3">
        <v>30000000</v>
      </c>
      <c r="F86" s="17">
        <v>43735</v>
      </c>
      <c r="G86" s="3">
        <v>30000000</v>
      </c>
      <c r="H86" s="2">
        <v>5.0000000000000001E-3</v>
      </c>
      <c r="I86" s="17">
        <v>43770</v>
      </c>
      <c r="J86" s="17">
        <v>43799</v>
      </c>
      <c r="K86" s="3">
        <f>J86-I86+1</f>
        <v>30</v>
      </c>
      <c r="L86" s="3">
        <f>ROUND(G86*H86*K86/365,0)</f>
        <v>12329</v>
      </c>
      <c r="M86" s="3">
        <v>30000000</v>
      </c>
    </row>
    <row r="87" spans="1:13" s="16" customFormat="1" outlineLevel="2">
      <c r="A87" s="17" t="s">
        <v>213</v>
      </c>
      <c r="B87" s="18" t="s">
        <v>177</v>
      </c>
      <c r="C87" s="19" t="s">
        <v>280</v>
      </c>
      <c r="D87" s="18" t="s">
        <v>279</v>
      </c>
      <c r="E87" s="3">
        <v>300000000</v>
      </c>
      <c r="F87" s="17">
        <v>43742</v>
      </c>
      <c r="G87" s="3">
        <v>300000000</v>
      </c>
      <c r="H87" s="2">
        <v>5.0000000000000001E-3</v>
      </c>
      <c r="I87" s="17">
        <v>43770</v>
      </c>
      <c r="J87" s="17">
        <v>43799</v>
      </c>
      <c r="K87" s="3">
        <f>J87-I87+1</f>
        <v>30</v>
      </c>
      <c r="L87" s="3">
        <f>ROUND(G87*H87*K87/365,0)</f>
        <v>123288</v>
      </c>
      <c r="M87" s="3">
        <v>300000000</v>
      </c>
    </row>
    <row r="88" spans="1:13" s="16" customFormat="1" outlineLevel="2">
      <c r="A88" s="17" t="s">
        <v>213</v>
      </c>
      <c r="B88" s="18" t="s">
        <v>176</v>
      </c>
      <c r="C88" s="19" t="s">
        <v>280</v>
      </c>
      <c r="D88" s="18" t="s">
        <v>279</v>
      </c>
      <c r="E88" s="3">
        <v>36000000</v>
      </c>
      <c r="F88" s="17">
        <v>43763</v>
      </c>
      <c r="G88" s="3">
        <v>36000000</v>
      </c>
      <c r="H88" s="2">
        <v>5.0000000000000001E-3</v>
      </c>
      <c r="I88" s="17">
        <v>43770</v>
      </c>
      <c r="J88" s="17">
        <v>43799</v>
      </c>
      <c r="K88" s="3">
        <f>J88-I88+1</f>
        <v>30</v>
      </c>
      <c r="L88" s="3">
        <f>ROUND(G88*H88*K88/365,0)</f>
        <v>14795</v>
      </c>
      <c r="M88" s="3">
        <v>36000000</v>
      </c>
    </row>
    <row r="89" spans="1:13" s="16" customFormat="1" outlineLevel="2">
      <c r="A89" s="17" t="s">
        <v>213</v>
      </c>
      <c r="B89" s="18" t="s">
        <v>175</v>
      </c>
      <c r="C89" s="19" t="s">
        <v>286</v>
      </c>
      <c r="D89" s="18" t="s">
        <v>285</v>
      </c>
      <c r="E89" s="3">
        <v>50000000</v>
      </c>
      <c r="F89" s="17">
        <v>43742</v>
      </c>
      <c r="G89" s="3">
        <v>50000000</v>
      </c>
      <c r="H89" s="2">
        <v>5.0000000000000001E-3</v>
      </c>
      <c r="I89" s="17">
        <v>43770</v>
      </c>
      <c r="J89" s="17">
        <v>43799</v>
      </c>
      <c r="K89" s="3">
        <f>J89-I89+1</f>
        <v>30</v>
      </c>
      <c r="L89" s="3">
        <f>ROUND(G89*H89*K89/365,0)</f>
        <v>20548</v>
      </c>
      <c r="M89" s="3">
        <v>50000000</v>
      </c>
    </row>
    <row r="90" spans="1:13" s="16" customFormat="1" outlineLevel="2">
      <c r="A90" s="17" t="s">
        <v>213</v>
      </c>
      <c r="B90" s="18" t="s">
        <v>174</v>
      </c>
      <c r="C90" s="19" t="s">
        <v>352</v>
      </c>
      <c r="D90" s="18" t="s">
        <v>351</v>
      </c>
      <c r="E90" s="3">
        <v>21800000</v>
      </c>
      <c r="F90" s="17">
        <v>43742</v>
      </c>
      <c r="G90" s="3">
        <v>21800000</v>
      </c>
      <c r="H90" s="2">
        <v>1.4999999999999999E-2</v>
      </c>
      <c r="I90" s="17">
        <v>43770</v>
      </c>
      <c r="J90" s="17">
        <v>43799</v>
      </c>
      <c r="K90" s="3">
        <f>J90-I90+1</f>
        <v>30</v>
      </c>
      <c r="L90" s="3">
        <f>ROUND(G90*H90*K90/365,0)</f>
        <v>26877</v>
      </c>
      <c r="M90" s="3">
        <v>21800000</v>
      </c>
    </row>
    <row r="91" spans="1:13" s="16" customFormat="1" outlineLevel="2">
      <c r="A91" s="17" t="s">
        <v>213</v>
      </c>
      <c r="B91" s="18" t="s">
        <v>171</v>
      </c>
      <c r="C91" s="19" t="s">
        <v>352</v>
      </c>
      <c r="D91" s="18" t="s">
        <v>351</v>
      </c>
      <c r="E91" s="3">
        <v>5500000</v>
      </c>
      <c r="F91" s="17">
        <v>43742</v>
      </c>
      <c r="G91" s="3">
        <v>5500000</v>
      </c>
      <c r="H91" s="2">
        <v>1.4999999999999999E-2</v>
      </c>
      <c r="I91" s="17">
        <v>43770</v>
      </c>
      <c r="J91" s="17">
        <v>43799</v>
      </c>
      <c r="K91" s="3">
        <f>J91-I91+1</f>
        <v>30</v>
      </c>
      <c r="L91" s="3">
        <f>ROUND(G91*H91*K91/365,0)</f>
        <v>6781</v>
      </c>
      <c r="M91" s="3">
        <v>5500000</v>
      </c>
    </row>
    <row r="92" spans="1:13" s="16" customFormat="1" outlineLevel="2">
      <c r="A92" s="17" t="s">
        <v>213</v>
      </c>
      <c r="B92" s="18" t="s">
        <v>170</v>
      </c>
      <c r="C92" s="19" t="s">
        <v>344</v>
      </c>
      <c r="D92" s="18" t="s">
        <v>343</v>
      </c>
      <c r="E92" s="3">
        <v>42000000</v>
      </c>
      <c r="F92" s="17">
        <v>43767</v>
      </c>
      <c r="G92" s="3">
        <v>42000000</v>
      </c>
      <c r="H92" s="2">
        <v>5.0000000000000001E-3</v>
      </c>
      <c r="I92" s="17">
        <v>43770</v>
      </c>
      <c r="J92" s="17">
        <v>43799</v>
      </c>
      <c r="K92" s="3">
        <f>J92-I92+1</f>
        <v>30</v>
      </c>
      <c r="L92" s="3">
        <f>ROUND(G92*H92*K92/365,0)</f>
        <v>17260</v>
      </c>
      <c r="M92" s="3">
        <v>42000000</v>
      </c>
    </row>
    <row r="93" spans="1:13" s="16" customFormat="1" outlineLevel="2">
      <c r="A93" s="17" t="s">
        <v>213</v>
      </c>
      <c r="B93" s="18" t="s">
        <v>31</v>
      </c>
      <c r="C93" s="19" t="s">
        <v>58</v>
      </c>
      <c r="D93" s="18" t="s">
        <v>57</v>
      </c>
      <c r="E93" s="3">
        <v>100000000</v>
      </c>
      <c r="F93" s="17">
        <v>43683</v>
      </c>
      <c r="G93" s="3">
        <v>96428572</v>
      </c>
      <c r="H93" s="2">
        <v>1.4999999999999999E-2</v>
      </c>
      <c r="I93" s="17">
        <v>43770</v>
      </c>
      <c r="J93" s="17">
        <v>43783</v>
      </c>
      <c r="K93" s="3">
        <f>J93-I93+1</f>
        <v>14</v>
      </c>
      <c r="L93" s="3">
        <f>ROUND(G93*H93*K93/365,0)</f>
        <v>55479</v>
      </c>
      <c r="M93" s="3">
        <v>95238096</v>
      </c>
    </row>
    <row r="94" spans="1:13" s="16" customFormat="1" outlineLevel="2">
      <c r="A94" s="17" t="s">
        <v>213</v>
      </c>
      <c r="B94" s="18" t="s">
        <v>31</v>
      </c>
      <c r="C94" s="19" t="s">
        <v>58</v>
      </c>
      <c r="D94" s="18"/>
      <c r="E94" s="3"/>
      <c r="F94" s="17"/>
      <c r="G94" s="3">
        <v>95238096</v>
      </c>
      <c r="H94" s="2">
        <v>1.4999999999999999E-2</v>
      </c>
      <c r="I94" s="17">
        <v>43784</v>
      </c>
      <c r="J94" s="17">
        <v>43799</v>
      </c>
      <c r="K94" s="3">
        <f>J94-I94+1</f>
        <v>16</v>
      </c>
      <c r="L94" s="3">
        <f>ROUND(G94*H94*K94/365,0)</f>
        <v>62622</v>
      </c>
      <c r="M94" s="3"/>
    </row>
    <row r="95" spans="1:13" s="16" customFormat="1" outlineLevel="2">
      <c r="A95" s="17" t="s">
        <v>213</v>
      </c>
      <c r="B95" s="18" t="s">
        <v>169</v>
      </c>
      <c r="C95" s="19" t="s">
        <v>284</v>
      </c>
      <c r="D95" s="18" t="s">
        <v>283</v>
      </c>
      <c r="E95" s="3">
        <v>39400000</v>
      </c>
      <c r="F95" s="17">
        <v>43739</v>
      </c>
      <c r="G95" s="3">
        <v>39400000</v>
      </c>
      <c r="H95" s="2">
        <v>5.0000000000000001E-3</v>
      </c>
      <c r="I95" s="17">
        <v>43770</v>
      </c>
      <c r="J95" s="17">
        <v>43799</v>
      </c>
      <c r="K95" s="3">
        <f>J95-I95+1</f>
        <v>30</v>
      </c>
      <c r="L95" s="3">
        <f>ROUND(G95*H95*K95/365,0)</f>
        <v>16192</v>
      </c>
      <c r="M95" s="3">
        <v>39400000</v>
      </c>
    </row>
    <row r="96" spans="1:13" s="16" customFormat="1" outlineLevel="2">
      <c r="A96" s="17" t="s">
        <v>213</v>
      </c>
      <c r="B96" s="18" t="s">
        <v>168</v>
      </c>
      <c r="C96" s="19" t="s">
        <v>284</v>
      </c>
      <c r="D96" s="18" t="s">
        <v>283</v>
      </c>
      <c r="E96" s="3">
        <v>4902778</v>
      </c>
      <c r="F96" s="17">
        <v>43739</v>
      </c>
      <c r="G96" s="3">
        <v>4902778</v>
      </c>
      <c r="H96" s="2">
        <v>5.0000000000000001E-3</v>
      </c>
      <c r="I96" s="17">
        <v>43770</v>
      </c>
      <c r="J96" s="17">
        <v>43799</v>
      </c>
      <c r="K96" s="3">
        <f>J96-I96+1</f>
        <v>30</v>
      </c>
      <c r="L96" s="3">
        <f>ROUND(G96*H96*K96/365,0)</f>
        <v>2015</v>
      </c>
      <c r="M96" s="3">
        <v>4902778</v>
      </c>
    </row>
    <row r="97" spans="1:13" s="16" customFormat="1" outlineLevel="2">
      <c r="A97" s="17" t="s">
        <v>213</v>
      </c>
      <c r="B97" s="18" t="s">
        <v>167</v>
      </c>
      <c r="C97" s="19" t="s">
        <v>286</v>
      </c>
      <c r="D97" s="18" t="s">
        <v>285</v>
      </c>
      <c r="E97" s="3">
        <v>40000000</v>
      </c>
      <c r="F97" s="17">
        <v>43770</v>
      </c>
      <c r="G97" s="3">
        <v>40000000</v>
      </c>
      <c r="H97" s="2">
        <v>5.0000000000000001E-3</v>
      </c>
      <c r="I97" s="17">
        <v>43770</v>
      </c>
      <c r="J97" s="17">
        <v>43799</v>
      </c>
      <c r="K97" s="3">
        <f>J97-I97+1</f>
        <v>30</v>
      </c>
      <c r="L97" s="3">
        <f>ROUND(G97*H97*K97/365,0)</f>
        <v>16438</v>
      </c>
      <c r="M97" s="3">
        <v>40000000</v>
      </c>
    </row>
    <row r="98" spans="1:13" s="16" customFormat="1" outlineLevel="2">
      <c r="A98" s="17" t="s">
        <v>213</v>
      </c>
      <c r="B98" s="18" t="s">
        <v>166</v>
      </c>
      <c r="C98" s="19" t="s">
        <v>253</v>
      </c>
      <c r="D98" s="18" t="s">
        <v>252</v>
      </c>
      <c r="E98" s="3">
        <v>11000000</v>
      </c>
      <c r="F98" s="17">
        <v>43773</v>
      </c>
      <c r="G98" s="3">
        <v>11000000</v>
      </c>
      <c r="H98" s="2">
        <v>5.0000000000000001E-3</v>
      </c>
      <c r="I98" s="17">
        <v>43773</v>
      </c>
      <c r="J98" s="17">
        <v>43799</v>
      </c>
      <c r="K98" s="3">
        <f>J98-I98+1</f>
        <v>27</v>
      </c>
      <c r="L98" s="3">
        <f>ROUND(G98*H98*K98/365,0)</f>
        <v>4068</v>
      </c>
      <c r="M98" s="3">
        <v>11000000</v>
      </c>
    </row>
    <row r="99" spans="1:13" s="16" customFormat="1" outlineLevel="2">
      <c r="A99" s="17" t="s">
        <v>213</v>
      </c>
      <c r="B99" s="18" t="s">
        <v>165</v>
      </c>
      <c r="C99" s="19" t="s">
        <v>253</v>
      </c>
      <c r="D99" s="18" t="s">
        <v>252</v>
      </c>
      <c r="E99" s="3">
        <v>43000000</v>
      </c>
      <c r="F99" s="17">
        <v>43773</v>
      </c>
      <c r="G99" s="3">
        <v>43000000</v>
      </c>
      <c r="H99" s="2">
        <v>5.0000000000000001E-3</v>
      </c>
      <c r="I99" s="17">
        <v>43773</v>
      </c>
      <c r="J99" s="17">
        <v>43799</v>
      </c>
      <c r="K99" s="3">
        <f>J99-I99+1</f>
        <v>27</v>
      </c>
      <c r="L99" s="3">
        <f>ROUND(G99*H99*K99/365,0)</f>
        <v>15904</v>
      </c>
      <c r="M99" s="3">
        <v>43000000</v>
      </c>
    </row>
    <row r="100" spans="1:13" s="16" customFormat="1" outlineLevel="2">
      <c r="A100" s="17" t="s">
        <v>213</v>
      </c>
      <c r="B100" s="18" t="s">
        <v>164</v>
      </c>
      <c r="C100" s="19" t="s">
        <v>280</v>
      </c>
      <c r="D100" s="18" t="s">
        <v>279</v>
      </c>
      <c r="E100" s="3">
        <v>350000000</v>
      </c>
      <c r="F100" s="17">
        <v>43775</v>
      </c>
      <c r="G100" s="3">
        <v>350000000</v>
      </c>
      <c r="H100" s="2">
        <v>5.0000000000000001E-3</v>
      </c>
      <c r="I100" s="17">
        <v>43775</v>
      </c>
      <c r="J100" s="17">
        <v>43799</v>
      </c>
      <c r="K100" s="3">
        <f>J100-I100+1</f>
        <v>25</v>
      </c>
      <c r="L100" s="3">
        <f>ROUND(G100*H100*K100/365,0)</f>
        <v>119863</v>
      </c>
      <c r="M100" s="3">
        <v>350000000</v>
      </c>
    </row>
    <row r="101" spans="1:13" s="16" customFormat="1" outlineLevel="2">
      <c r="A101" s="17" t="s">
        <v>213</v>
      </c>
      <c r="B101" s="18" t="s">
        <v>161</v>
      </c>
      <c r="C101" s="19" t="s">
        <v>245</v>
      </c>
      <c r="D101" s="18" t="s">
        <v>244</v>
      </c>
      <c r="E101" s="3">
        <v>100000000</v>
      </c>
      <c r="F101" s="17">
        <v>43776</v>
      </c>
      <c r="G101" s="3">
        <v>100000000</v>
      </c>
      <c r="H101" s="2">
        <v>5.0000000000000001E-3</v>
      </c>
      <c r="I101" s="17">
        <v>43776</v>
      </c>
      <c r="J101" s="17">
        <v>43799</v>
      </c>
      <c r="K101" s="3">
        <f>J101-I101+1</f>
        <v>24</v>
      </c>
      <c r="L101" s="3">
        <f>ROUND(G101*H101*K101/365,0)</f>
        <v>32877</v>
      </c>
      <c r="M101" s="3">
        <v>100000000</v>
      </c>
    </row>
    <row r="102" spans="1:13" s="16" customFormat="1" outlineLevel="2">
      <c r="A102" s="17" t="s">
        <v>213</v>
      </c>
      <c r="B102" s="18" t="s">
        <v>160</v>
      </c>
      <c r="C102" s="19" t="s">
        <v>352</v>
      </c>
      <c r="D102" s="18" t="s">
        <v>351</v>
      </c>
      <c r="E102" s="3">
        <v>22000000</v>
      </c>
      <c r="F102" s="17">
        <v>43773</v>
      </c>
      <c r="G102" s="3">
        <v>22000000</v>
      </c>
      <c r="H102" s="2">
        <v>1.4999999999999999E-2</v>
      </c>
      <c r="I102" s="17">
        <v>43773</v>
      </c>
      <c r="J102" s="17">
        <v>43799</v>
      </c>
      <c r="K102" s="3">
        <f>J102-I102+1</f>
        <v>27</v>
      </c>
      <c r="L102" s="3">
        <f>ROUND(G102*H102*K102/365,0)</f>
        <v>24411</v>
      </c>
      <c r="M102" s="3">
        <v>22000000</v>
      </c>
    </row>
    <row r="103" spans="1:13" s="16" customFormat="1" outlineLevel="2">
      <c r="A103" s="17" t="s">
        <v>213</v>
      </c>
      <c r="B103" s="18" t="s">
        <v>157</v>
      </c>
      <c r="C103" s="19" t="s">
        <v>352</v>
      </c>
      <c r="D103" s="18" t="s">
        <v>351</v>
      </c>
      <c r="E103" s="3">
        <v>5500000</v>
      </c>
      <c r="F103" s="17">
        <v>43776</v>
      </c>
      <c r="G103" s="3">
        <v>5500000</v>
      </c>
      <c r="H103" s="2">
        <v>1.4999999999999999E-2</v>
      </c>
      <c r="I103" s="17">
        <v>43776</v>
      </c>
      <c r="J103" s="17">
        <v>43799</v>
      </c>
      <c r="K103" s="3">
        <f>J103-I103+1</f>
        <v>24</v>
      </c>
      <c r="L103" s="3">
        <f>ROUND(G103*H103*K103/365,0)</f>
        <v>5425</v>
      </c>
      <c r="M103" s="3">
        <v>5500000</v>
      </c>
    </row>
    <row r="104" spans="1:13" s="16" customFormat="1" outlineLevel="2">
      <c r="A104" s="17" t="s">
        <v>213</v>
      </c>
      <c r="B104" s="18" t="s">
        <v>156</v>
      </c>
      <c r="C104" s="19" t="s">
        <v>329</v>
      </c>
      <c r="D104" s="18" t="s">
        <v>328</v>
      </c>
      <c r="E104" s="3">
        <v>140000000</v>
      </c>
      <c r="F104" s="17">
        <v>43784</v>
      </c>
      <c r="G104" s="3">
        <v>140000000</v>
      </c>
      <c r="H104" s="2">
        <v>5.0000000000000001E-3</v>
      </c>
      <c r="I104" s="17">
        <v>43784</v>
      </c>
      <c r="J104" s="17">
        <v>43799</v>
      </c>
      <c r="K104" s="3">
        <f>J104-I104+1</f>
        <v>16</v>
      </c>
      <c r="L104" s="3">
        <f>ROUND(G104*H104*K104/365,0)</f>
        <v>30685</v>
      </c>
      <c r="M104" s="3">
        <v>140000000</v>
      </c>
    </row>
    <row r="105" spans="1:13" s="16" customFormat="1" outlineLevel="2">
      <c r="A105" s="17" t="s">
        <v>213</v>
      </c>
      <c r="B105" s="18" t="s">
        <v>30</v>
      </c>
      <c r="C105" s="19" t="s">
        <v>214</v>
      </c>
      <c r="D105" s="18" t="s">
        <v>215</v>
      </c>
      <c r="E105" s="3">
        <v>16000000</v>
      </c>
      <c r="F105" s="17">
        <v>43671</v>
      </c>
      <c r="G105" s="3">
        <v>16000000</v>
      </c>
      <c r="H105" s="2">
        <v>1.4999999999999999E-2</v>
      </c>
      <c r="I105" s="17">
        <v>43770</v>
      </c>
      <c r="J105" s="17">
        <v>43799</v>
      </c>
      <c r="K105" s="3">
        <f>J105-I105+1</f>
        <v>30</v>
      </c>
      <c r="L105" s="3">
        <f>ROUND(G105*H105*K105/365,0)</f>
        <v>19726</v>
      </c>
      <c r="M105" s="3">
        <v>16000000</v>
      </c>
    </row>
    <row r="106" spans="1:13" s="16" customFormat="1" outlineLevel="2">
      <c r="A106" s="17" t="s">
        <v>213</v>
      </c>
      <c r="B106" s="18" t="s">
        <v>155</v>
      </c>
      <c r="C106" s="19" t="s">
        <v>329</v>
      </c>
      <c r="D106" s="18" t="s">
        <v>328</v>
      </c>
      <c r="E106" s="3">
        <v>300000000</v>
      </c>
      <c r="F106" s="17">
        <v>43784</v>
      </c>
      <c r="G106" s="3">
        <v>300000000</v>
      </c>
      <c r="H106" s="2">
        <v>3.0000000000000001E-3</v>
      </c>
      <c r="I106" s="17">
        <v>43784</v>
      </c>
      <c r="J106" s="17">
        <v>43799</v>
      </c>
      <c r="K106" s="3">
        <f>J106-I106+1</f>
        <v>16</v>
      </c>
      <c r="L106" s="3">
        <f>ROUND(G106*H106*K106/365,0)</f>
        <v>39452</v>
      </c>
      <c r="M106" s="3">
        <v>300000000</v>
      </c>
    </row>
    <row r="107" spans="1:13" s="16" customFormat="1" outlineLevel="2">
      <c r="A107" s="17" t="s">
        <v>213</v>
      </c>
      <c r="B107" s="18" t="s">
        <v>154</v>
      </c>
      <c r="C107" s="19" t="s">
        <v>344</v>
      </c>
      <c r="D107" s="18" t="s">
        <v>343</v>
      </c>
      <c r="E107" s="3">
        <v>19000000</v>
      </c>
      <c r="F107" s="17">
        <v>43791</v>
      </c>
      <c r="G107" s="3">
        <v>19000000</v>
      </c>
      <c r="H107" s="2">
        <v>5.0000000000000001E-3</v>
      </c>
      <c r="I107" s="17">
        <v>43791</v>
      </c>
      <c r="J107" s="17">
        <v>43799</v>
      </c>
      <c r="K107" s="3">
        <f>J107-I107+1</f>
        <v>9</v>
      </c>
      <c r="L107" s="3">
        <f>ROUND(G107*H107*K107/365,0)</f>
        <v>2342</v>
      </c>
      <c r="M107" s="3">
        <v>19000000</v>
      </c>
    </row>
    <row r="108" spans="1:13" s="16" customFormat="1" outlineLevel="2">
      <c r="A108" s="17" t="s">
        <v>213</v>
      </c>
      <c r="B108" s="18" t="s">
        <v>153</v>
      </c>
      <c r="C108" s="19" t="s">
        <v>183</v>
      </c>
      <c r="D108" s="18" t="s">
        <v>182</v>
      </c>
      <c r="E108" s="3">
        <v>9562777</v>
      </c>
      <c r="F108" s="17">
        <v>43795</v>
      </c>
      <c r="G108" s="3">
        <v>9562777</v>
      </c>
      <c r="H108" s="2">
        <v>5.0000000000000001E-3</v>
      </c>
      <c r="I108" s="17">
        <v>43795</v>
      </c>
      <c r="J108" s="17">
        <v>43799</v>
      </c>
      <c r="K108" s="3">
        <f>J108-I108+1</f>
        <v>5</v>
      </c>
      <c r="L108" s="3">
        <f>ROUND(G108*H108*K108/365,0)</f>
        <v>655</v>
      </c>
      <c r="M108" s="3">
        <v>9562777</v>
      </c>
    </row>
    <row r="109" spans="1:13" s="16" customFormat="1" outlineLevel="2">
      <c r="A109" s="17" t="s">
        <v>213</v>
      </c>
      <c r="B109" s="18" t="s">
        <v>152</v>
      </c>
      <c r="C109" s="19" t="s">
        <v>396</v>
      </c>
      <c r="D109" s="18" t="s">
        <v>395</v>
      </c>
      <c r="E109" s="3">
        <v>33973800</v>
      </c>
      <c r="F109" s="17">
        <v>43796</v>
      </c>
      <c r="G109" s="3">
        <v>33973800</v>
      </c>
      <c r="H109" s="2">
        <v>5.0000000000000001E-3</v>
      </c>
      <c r="I109" s="17">
        <v>43796</v>
      </c>
      <c r="J109" s="17">
        <v>43799</v>
      </c>
      <c r="K109" s="3">
        <f>J109-I109+1</f>
        <v>4</v>
      </c>
      <c r="L109" s="3">
        <f>ROUND(G109*H109*K109/365,0)</f>
        <v>1862</v>
      </c>
      <c r="M109" s="3">
        <v>33973800</v>
      </c>
    </row>
    <row r="110" spans="1:13" s="16" customFormat="1" outlineLevel="2">
      <c r="A110" s="17" t="s">
        <v>213</v>
      </c>
      <c r="B110" s="18" t="s">
        <v>28</v>
      </c>
      <c r="C110" s="19" t="s">
        <v>163</v>
      </c>
      <c r="D110" s="18" t="s">
        <v>162</v>
      </c>
      <c r="E110" s="3">
        <v>36447000</v>
      </c>
      <c r="F110" s="17">
        <v>43704</v>
      </c>
      <c r="G110" s="3">
        <v>36447000</v>
      </c>
      <c r="H110" s="2">
        <v>5.0000000000000001E-3</v>
      </c>
      <c r="I110" s="17">
        <v>43770</v>
      </c>
      <c r="J110" s="17">
        <v>43799</v>
      </c>
      <c r="K110" s="3">
        <f>J110-I110+1</f>
        <v>30</v>
      </c>
      <c r="L110" s="3">
        <f>ROUND(G110*H110*K110/365,0)</f>
        <v>14978</v>
      </c>
      <c r="M110" s="3">
        <v>36447000</v>
      </c>
    </row>
    <row r="111" spans="1:13" s="16" customFormat="1" outlineLevel="2">
      <c r="A111" s="17" t="s">
        <v>213</v>
      </c>
      <c r="B111" s="18" t="s">
        <v>48</v>
      </c>
      <c r="C111" s="19" t="s">
        <v>163</v>
      </c>
      <c r="D111" s="18" t="s">
        <v>162</v>
      </c>
      <c r="E111" s="3">
        <v>45553000</v>
      </c>
      <c r="F111" s="17">
        <v>43704</v>
      </c>
      <c r="G111" s="3">
        <v>45553000</v>
      </c>
      <c r="H111" s="2">
        <v>5.0000000000000001E-3</v>
      </c>
      <c r="I111" s="17">
        <v>43770</v>
      </c>
      <c r="J111" s="17">
        <v>43799</v>
      </c>
      <c r="K111" s="3">
        <f>J111-I111+1</f>
        <v>30</v>
      </c>
      <c r="L111" s="3">
        <f>ROUND(G111*H111*K111/365,0)</f>
        <v>18720</v>
      </c>
      <c r="M111" s="3">
        <v>45553000</v>
      </c>
    </row>
    <row r="112" spans="1:13" s="16" customFormat="1" outlineLevel="2">
      <c r="A112" s="17" t="s">
        <v>213</v>
      </c>
      <c r="B112" s="18" t="s">
        <v>47</v>
      </c>
      <c r="C112" s="19" t="s">
        <v>286</v>
      </c>
      <c r="D112" s="18" t="s">
        <v>285</v>
      </c>
      <c r="E112" s="3">
        <v>50000000</v>
      </c>
      <c r="F112" s="17">
        <v>43710</v>
      </c>
      <c r="G112" s="3">
        <v>50000000</v>
      </c>
      <c r="H112" s="2">
        <v>5.0000000000000001E-3</v>
      </c>
      <c r="I112" s="17">
        <v>43770</v>
      </c>
      <c r="J112" s="17">
        <v>43799</v>
      </c>
      <c r="K112" s="3">
        <f>J112-I112+1</f>
        <v>30</v>
      </c>
      <c r="L112" s="3">
        <f>ROUND(G112*H112*K112/365,0)</f>
        <v>20548</v>
      </c>
      <c r="M112" s="3">
        <v>50000000</v>
      </c>
    </row>
    <row r="113" spans="1:13" s="16" customFormat="1" outlineLevel="2">
      <c r="A113" s="17" t="s">
        <v>213</v>
      </c>
      <c r="B113" s="18" t="s">
        <v>46</v>
      </c>
      <c r="C113" s="19" t="s">
        <v>245</v>
      </c>
      <c r="D113" s="18" t="s">
        <v>244</v>
      </c>
      <c r="E113" s="3">
        <v>100000000</v>
      </c>
      <c r="F113" s="17">
        <v>43714</v>
      </c>
      <c r="G113" s="3">
        <v>100000000</v>
      </c>
      <c r="H113" s="2">
        <v>5.0000000000000001E-3</v>
      </c>
      <c r="I113" s="17">
        <v>43770</v>
      </c>
      <c r="J113" s="17">
        <v>43799</v>
      </c>
      <c r="K113" s="3">
        <f>J113-I113+1</f>
        <v>30</v>
      </c>
      <c r="L113" s="3">
        <f>ROUND(G113*H113*K113/365,0)</f>
        <v>41096</v>
      </c>
      <c r="M113" s="3">
        <v>100000000</v>
      </c>
    </row>
    <row r="114" spans="1:13" s="16" customFormat="1" outlineLevel="2">
      <c r="A114" s="17" t="s">
        <v>213</v>
      </c>
      <c r="B114" s="18" t="s">
        <v>45</v>
      </c>
      <c r="C114" s="19" t="s">
        <v>245</v>
      </c>
      <c r="D114" s="18" t="s">
        <v>244</v>
      </c>
      <c r="E114" s="3">
        <v>200000000</v>
      </c>
      <c r="F114" s="17">
        <v>43735</v>
      </c>
      <c r="G114" s="3">
        <v>200000000</v>
      </c>
      <c r="H114" s="2">
        <v>5.0000000000000001E-3</v>
      </c>
      <c r="I114" s="17">
        <v>43770</v>
      </c>
      <c r="J114" s="17">
        <v>43799</v>
      </c>
      <c r="K114" s="3">
        <f>J114-I114+1</f>
        <v>30</v>
      </c>
      <c r="L114" s="3">
        <f>ROUND(G114*H114*K114/365,0)</f>
        <v>82192</v>
      </c>
      <c r="M114" s="3">
        <v>200000000</v>
      </c>
    </row>
    <row r="115" spans="1:13" s="16" customFormat="1" outlineLevel="2">
      <c r="A115" s="17" t="s">
        <v>213</v>
      </c>
      <c r="B115" s="18" t="s">
        <v>44</v>
      </c>
      <c r="C115" s="19" t="s">
        <v>284</v>
      </c>
      <c r="D115" s="18" t="s">
        <v>283</v>
      </c>
      <c r="E115" s="3">
        <v>79000000</v>
      </c>
      <c r="F115" s="17">
        <v>43714</v>
      </c>
      <c r="G115" s="3">
        <v>79000000</v>
      </c>
      <c r="H115" s="2">
        <v>5.0000000000000001E-3</v>
      </c>
      <c r="I115" s="17">
        <v>43770</v>
      </c>
      <c r="J115" s="17">
        <v>43799</v>
      </c>
      <c r="K115" s="3">
        <f>J115-I115+1</f>
        <v>30</v>
      </c>
      <c r="L115" s="3">
        <f>ROUND(G115*H115*K115/365,0)</f>
        <v>32466</v>
      </c>
      <c r="M115" s="3">
        <v>79000000</v>
      </c>
    </row>
    <row r="116" spans="1:13" s="16" customFormat="1" outlineLevel="1">
      <c r="A116" s="28" t="s">
        <v>135</v>
      </c>
      <c r="B116" s="21"/>
      <c r="C116" s="22"/>
      <c r="D116" s="21"/>
      <c r="E116" s="23">
        <f>SUBTOTAL(9,E81:E115)</f>
        <v>2560906555</v>
      </c>
      <c r="F116" s="20"/>
      <c r="G116" s="23"/>
      <c r="H116" s="24"/>
      <c r="I116" s="20"/>
      <c r="J116" s="20"/>
      <c r="K116" s="23"/>
      <c r="L116" s="23">
        <f>SUBTOTAL(9,L81:L115)</f>
        <v>1171632</v>
      </c>
      <c r="M116" s="23">
        <f>SUBTOTAL(9,M81:M115)</f>
        <v>2546620843</v>
      </c>
    </row>
    <row r="117" spans="1:13" s="16" customFormat="1" outlineLevel="2">
      <c r="A117" s="17" t="s">
        <v>350</v>
      </c>
      <c r="B117" s="18" t="s">
        <v>17</v>
      </c>
      <c r="C117" s="19" t="s">
        <v>63</v>
      </c>
      <c r="D117" s="18" t="s">
        <v>62</v>
      </c>
      <c r="E117" s="3">
        <v>25000000</v>
      </c>
      <c r="F117" s="17">
        <v>43697</v>
      </c>
      <c r="G117" s="3">
        <v>25000000</v>
      </c>
      <c r="H117" s="2">
        <v>5.0000000000000001E-3</v>
      </c>
      <c r="I117" s="17">
        <v>43770</v>
      </c>
      <c r="J117" s="17">
        <v>43799</v>
      </c>
      <c r="K117" s="3">
        <f>J117-I117+1</f>
        <v>30</v>
      </c>
      <c r="L117" s="3">
        <f>ROUND(G117*H117*K117/365,0)</f>
        <v>10274</v>
      </c>
      <c r="M117" s="3">
        <v>25000000</v>
      </c>
    </row>
    <row r="118" spans="1:13" s="16" customFormat="1" outlineLevel="2">
      <c r="A118" s="17" t="s">
        <v>350</v>
      </c>
      <c r="B118" s="18" t="s">
        <v>181</v>
      </c>
      <c r="C118" s="19" t="s">
        <v>63</v>
      </c>
      <c r="D118" s="18" t="s">
        <v>62</v>
      </c>
      <c r="E118" s="3">
        <v>500000</v>
      </c>
      <c r="F118" s="17">
        <v>43781</v>
      </c>
      <c r="G118" s="3">
        <v>500000</v>
      </c>
      <c r="H118" s="2">
        <v>5.0000000000000001E-3</v>
      </c>
      <c r="I118" s="17">
        <v>43781</v>
      </c>
      <c r="J118" s="17">
        <v>43799</v>
      </c>
      <c r="K118" s="3">
        <f>J118-I118+1</f>
        <v>19</v>
      </c>
      <c r="L118" s="3">
        <f>ROUND(G118*H118*K118/365,0)</f>
        <v>130</v>
      </c>
      <c r="M118" s="3">
        <v>500000</v>
      </c>
    </row>
    <row r="119" spans="1:13" s="16" customFormat="1" outlineLevel="2">
      <c r="A119" s="17" t="s">
        <v>350</v>
      </c>
      <c r="B119" s="18" t="s">
        <v>31</v>
      </c>
      <c r="C119" s="19" t="s">
        <v>63</v>
      </c>
      <c r="D119" s="18" t="s">
        <v>62</v>
      </c>
      <c r="E119" s="3">
        <v>48000000</v>
      </c>
      <c r="F119" s="17">
        <v>43707</v>
      </c>
      <c r="G119" s="3">
        <v>48000000</v>
      </c>
      <c r="H119" s="2">
        <v>5.0000000000000001E-3</v>
      </c>
      <c r="I119" s="17">
        <v>43770</v>
      </c>
      <c r="J119" s="17">
        <v>43799</v>
      </c>
      <c r="K119" s="3">
        <f>J119-I119+1</f>
        <v>30</v>
      </c>
      <c r="L119" s="3">
        <f>ROUND(G119*H119*K119/365,0)</f>
        <v>19726</v>
      </c>
      <c r="M119" s="3">
        <v>48000000</v>
      </c>
    </row>
    <row r="120" spans="1:13" s="16" customFormat="1" outlineLevel="2">
      <c r="A120" s="17" t="s">
        <v>350</v>
      </c>
      <c r="B120" s="18" t="s">
        <v>30</v>
      </c>
      <c r="C120" s="19" t="s">
        <v>282</v>
      </c>
      <c r="D120" s="18" t="s">
        <v>281</v>
      </c>
      <c r="E120" s="3">
        <v>22000000</v>
      </c>
      <c r="F120" s="17">
        <v>43728</v>
      </c>
      <c r="G120" s="3">
        <v>22000000</v>
      </c>
      <c r="H120" s="2">
        <v>5.0000000000000001E-3</v>
      </c>
      <c r="I120" s="17">
        <v>43770</v>
      </c>
      <c r="J120" s="17">
        <v>43799</v>
      </c>
      <c r="K120" s="3">
        <f>J120-I120+1</f>
        <v>30</v>
      </c>
      <c r="L120" s="3">
        <f>ROUND(G120*H120*K120/365,0)</f>
        <v>9041</v>
      </c>
      <c r="M120" s="3">
        <v>22000000</v>
      </c>
    </row>
    <row r="121" spans="1:13" s="16" customFormat="1" outlineLevel="2">
      <c r="A121" s="17" t="s">
        <v>350</v>
      </c>
      <c r="B121" s="18" t="s">
        <v>28</v>
      </c>
      <c r="C121" s="19" t="s">
        <v>282</v>
      </c>
      <c r="D121" s="18" t="s">
        <v>281</v>
      </c>
      <c r="E121" s="3">
        <v>26000000</v>
      </c>
      <c r="F121" s="17">
        <v>43728</v>
      </c>
      <c r="G121" s="3">
        <v>26000000</v>
      </c>
      <c r="H121" s="2">
        <v>5.0000000000000001E-3</v>
      </c>
      <c r="I121" s="17">
        <v>43770</v>
      </c>
      <c r="J121" s="17">
        <v>43799</v>
      </c>
      <c r="K121" s="3">
        <f>J121-I121+1</f>
        <v>30</v>
      </c>
      <c r="L121" s="3">
        <f>ROUND(G121*H121*K121/365,0)</f>
        <v>10685</v>
      </c>
      <c r="M121" s="3">
        <v>26000000</v>
      </c>
    </row>
    <row r="122" spans="1:13" s="16" customFormat="1" outlineLevel="2">
      <c r="A122" s="17" t="s">
        <v>350</v>
      </c>
      <c r="B122" s="18" t="s">
        <v>48</v>
      </c>
      <c r="C122" s="19" t="s">
        <v>282</v>
      </c>
      <c r="D122" s="18" t="s">
        <v>281</v>
      </c>
      <c r="E122" s="3">
        <v>72000000</v>
      </c>
      <c r="F122" s="17">
        <v>43728</v>
      </c>
      <c r="G122" s="3">
        <v>72000000</v>
      </c>
      <c r="H122" s="2">
        <v>5.0000000000000001E-3</v>
      </c>
      <c r="I122" s="17">
        <v>43770</v>
      </c>
      <c r="J122" s="17">
        <v>43799</v>
      </c>
      <c r="K122" s="3">
        <f>J122-I122+1</f>
        <v>30</v>
      </c>
      <c r="L122" s="3">
        <f>ROUND(G122*H122*K122/365,0)</f>
        <v>29589</v>
      </c>
      <c r="M122" s="3">
        <v>72000000</v>
      </c>
    </row>
    <row r="123" spans="1:13" s="16" customFormat="1" outlineLevel="2">
      <c r="A123" s="17" t="s">
        <v>350</v>
      </c>
      <c r="B123" s="18" t="s">
        <v>47</v>
      </c>
      <c r="C123" s="19" t="s">
        <v>159</v>
      </c>
      <c r="D123" s="18" t="s">
        <v>158</v>
      </c>
      <c r="E123" s="3">
        <v>10000000</v>
      </c>
      <c r="F123" s="17">
        <v>43725</v>
      </c>
      <c r="G123" s="3">
        <v>10000000</v>
      </c>
      <c r="H123" s="2">
        <v>3.0000000000000001E-3</v>
      </c>
      <c r="I123" s="17">
        <v>43770</v>
      </c>
      <c r="J123" s="17">
        <v>43799</v>
      </c>
      <c r="K123" s="3">
        <f>J123-I123+1</f>
        <v>30</v>
      </c>
      <c r="L123" s="3">
        <f>ROUND(G123*H123*K123/365,0)</f>
        <v>2466</v>
      </c>
      <c r="M123" s="3">
        <v>10000000</v>
      </c>
    </row>
    <row r="124" spans="1:13" s="16" customFormat="1" outlineLevel="2">
      <c r="A124" s="17" t="s">
        <v>350</v>
      </c>
      <c r="B124" s="18" t="s">
        <v>46</v>
      </c>
      <c r="C124" s="19" t="s">
        <v>276</v>
      </c>
      <c r="D124" s="18" t="s">
        <v>275</v>
      </c>
      <c r="E124" s="3">
        <v>100000000</v>
      </c>
      <c r="F124" s="17">
        <v>43728</v>
      </c>
      <c r="G124" s="3">
        <v>100000000</v>
      </c>
      <c r="H124" s="2">
        <v>5.0000000000000001E-3</v>
      </c>
      <c r="I124" s="17">
        <v>43770</v>
      </c>
      <c r="J124" s="17">
        <v>43799</v>
      </c>
      <c r="K124" s="3">
        <f>J124-I124+1</f>
        <v>30</v>
      </c>
      <c r="L124" s="3">
        <f>ROUND(G124*H124*K124/365,0)</f>
        <v>41096</v>
      </c>
      <c r="M124" s="3">
        <v>100000000</v>
      </c>
    </row>
    <row r="125" spans="1:13" s="16" customFormat="1" outlineLevel="2">
      <c r="A125" s="17" t="s">
        <v>350</v>
      </c>
      <c r="B125" s="18" t="s">
        <v>45</v>
      </c>
      <c r="C125" s="19" t="s">
        <v>188</v>
      </c>
      <c r="D125" s="18" t="s">
        <v>187</v>
      </c>
      <c r="E125" s="3">
        <v>585000</v>
      </c>
      <c r="F125" s="17">
        <v>43769</v>
      </c>
      <c r="G125" s="3">
        <v>585000</v>
      </c>
      <c r="H125" s="2">
        <v>5.0000000000000001E-3</v>
      </c>
      <c r="I125" s="17">
        <v>43770</v>
      </c>
      <c r="J125" s="17">
        <v>43799</v>
      </c>
      <c r="K125" s="3">
        <f>J125-I125+1</f>
        <v>30</v>
      </c>
      <c r="L125" s="3">
        <f>ROUND(G125*H125*K125/365,0)</f>
        <v>240</v>
      </c>
      <c r="M125" s="3">
        <v>585000</v>
      </c>
    </row>
    <row r="126" spans="1:13" s="16" customFormat="1" outlineLevel="2">
      <c r="A126" s="17" t="s">
        <v>350</v>
      </c>
      <c r="B126" s="18" t="s">
        <v>44</v>
      </c>
      <c r="C126" s="19" t="s">
        <v>349</v>
      </c>
      <c r="D126" s="18" t="s">
        <v>348</v>
      </c>
      <c r="E126" s="3">
        <v>13330000</v>
      </c>
      <c r="F126" s="17">
        <v>43762</v>
      </c>
      <c r="G126" s="3">
        <v>13330000</v>
      </c>
      <c r="H126" s="2">
        <v>5.0000000000000001E-3</v>
      </c>
      <c r="I126" s="17">
        <v>43770</v>
      </c>
      <c r="J126" s="17">
        <v>43799</v>
      </c>
      <c r="K126" s="3">
        <f>J126-I126+1</f>
        <v>30</v>
      </c>
      <c r="L126" s="3">
        <f>ROUND(G126*H126*K126/365,0)</f>
        <v>5478</v>
      </c>
      <c r="M126" s="3">
        <v>13330000</v>
      </c>
    </row>
    <row r="127" spans="1:13" s="16" customFormat="1" outlineLevel="1">
      <c r="A127" s="28" t="s">
        <v>347</v>
      </c>
      <c r="B127" s="21"/>
      <c r="C127" s="22"/>
      <c r="D127" s="21"/>
      <c r="E127" s="23">
        <f>SUBTOTAL(9,E117:E126)</f>
        <v>317415000</v>
      </c>
      <c r="F127" s="20"/>
      <c r="G127" s="23"/>
      <c r="H127" s="24"/>
      <c r="I127" s="20"/>
      <c r="J127" s="20"/>
      <c r="K127" s="23"/>
      <c r="L127" s="23">
        <f>SUBTOTAL(9,L117:L126)</f>
        <v>128725</v>
      </c>
      <c r="M127" s="23">
        <f>SUBTOTAL(9,M117:M126)</f>
        <v>317415000</v>
      </c>
    </row>
    <row r="128" spans="1:13" s="16" customFormat="1" outlineLevel="2">
      <c r="A128" s="17" t="s">
        <v>342</v>
      </c>
      <c r="B128" s="18" t="s">
        <v>17</v>
      </c>
      <c r="C128" s="19" t="s">
        <v>206</v>
      </c>
      <c r="D128" s="18" t="s">
        <v>38</v>
      </c>
      <c r="E128" s="3">
        <v>100000000</v>
      </c>
      <c r="F128" s="17">
        <v>43594</v>
      </c>
      <c r="G128" s="3">
        <v>100000000</v>
      </c>
      <c r="H128" s="2">
        <v>1.4999999999999999E-2</v>
      </c>
      <c r="I128" s="17">
        <v>43770</v>
      </c>
      <c r="J128" s="17">
        <v>43799</v>
      </c>
      <c r="K128" s="3">
        <f>J128-I128+1</f>
        <v>30</v>
      </c>
      <c r="L128" s="3">
        <f>ROUND(G128*H128*K128/365,0)</f>
        <v>123288</v>
      </c>
      <c r="M128" s="3">
        <v>100000000</v>
      </c>
    </row>
    <row r="129" spans="1:13" s="16" customFormat="1" outlineLevel="2">
      <c r="A129" s="17" t="s">
        <v>342</v>
      </c>
      <c r="B129" s="18" t="s">
        <v>181</v>
      </c>
      <c r="C129" s="19" t="s">
        <v>159</v>
      </c>
      <c r="D129" s="18" t="s">
        <v>158</v>
      </c>
      <c r="E129" s="3">
        <v>18915000</v>
      </c>
      <c r="F129" s="17">
        <v>43725</v>
      </c>
      <c r="G129" s="3">
        <v>18915000</v>
      </c>
      <c r="H129" s="2">
        <v>1.4999999999999999E-2</v>
      </c>
      <c r="I129" s="17">
        <v>43770</v>
      </c>
      <c r="J129" s="17">
        <v>43799</v>
      </c>
      <c r="K129" s="3">
        <f>J129-I129+1</f>
        <v>30</v>
      </c>
      <c r="L129" s="3">
        <f>ROUND(G129*H129*K129/365,0)</f>
        <v>23320</v>
      </c>
      <c r="M129" s="3">
        <v>18915000</v>
      </c>
    </row>
    <row r="130" spans="1:13" s="16" customFormat="1" outlineLevel="2">
      <c r="A130" s="17" t="s">
        <v>342</v>
      </c>
      <c r="B130" s="18" t="s">
        <v>180</v>
      </c>
      <c r="C130" s="19" t="s">
        <v>280</v>
      </c>
      <c r="D130" s="18" t="s">
        <v>279</v>
      </c>
      <c r="E130" s="3">
        <v>100000000</v>
      </c>
      <c r="F130" s="17">
        <v>43734</v>
      </c>
      <c r="G130" s="3">
        <v>100000000</v>
      </c>
      <c r="H130" s="2">
        <v>5.0000000000000001E-3</v>
      </c>
      <c r="I130" s="17">
        <v>43770</v>
      </c>
      <c r="J130" s="17">
        <v>43799</v>
      </c>
      <c r="K130" s="3">
        <f>J130-I130+1</f>
        <v>30</v>
      </c>
      <c r="L130" s="3">
        <f>ROUND(G130*H130*K130/365,0)</f>
        <v>41096</v>
      </c>
      <c r="M130" s="3">
        <v>100000000</v>
      </c>
    </row>
    <row r="131" spans="1:13" s="16" customFormat="1" outlineLevel="2">
      <c r="A131" s="17" t="s">
        <v>342</v>
      </c>
      <c r="B131" s="18" t="s">
        <v>179</v>
      </c>
      <c r="C131" s="19" t="s">
        <v>150</v>
      </c>
      <c r="D131" s="18" t="s">
        <v>149</v>
      </c>
      <c r="E131" s="3">
        <v>2815050</v>
      </c>
      <c r="F131" s="17">
        <v>43728</v>
      </c>
      <c r="G131" s="3">
        <v>2815050</v>
      </c>
      <c r="H131" s="2">
        <v>3.0000000000000001E-3</v>
      </c>
      <c r="I131" s="17">
        <v>43770</v>
      </c>
      <c r="J131" s="17">
        <v>43799</v>
      </c>
      <c r="K131" s="3">
        <f>J131-I131+1</f>
        <v>30</v>
      </c>
      <c r="L131" s="3">
        <f>ROUND(G131*H131*K131/365,0)</f>
        <v>694</v>
      </c>
      <c r="M131" s="3">
        <v>2815050</v>
      </c>
    </row>
    <row r="132" spans="1:13" s="16" customFormat="1" outlineLevel="2">
      <c r="A132" s="17" t="s">
        <v>342</v>
      </c>
      <c r="B132" s="18" t="s">
        <v>178</v>
      </c>
      <c r="C132" s="19" t="s">
        <v>280</v>
      </c>
      <c r="D132" s="18" t="s">
        <v>279</v>
      </c>
      <c r="E132" s="3">
        <v>200000000</v>
      </c>
      <c r="F132" s="17">
        <v>43742</v>
      </c>
      <c r="G132" s="3">
        <v>200000000</v>
      </c>
      <c r="H132" s="2">
        <v>5.0000000000000001E-3</v>
      </c>
      <c r="I132" s="17">
        <v>43770</v>
      </c>
      <c r="J132" s="17">
        <v>43799</v>
      </c>
      <c r="K132" s="3">
        <f>J132-I132+1</f>
        <v>30</v>
      </c>
      <c r="L132" s="3">
        <f>ROUND(G132*H132*K132/365,0)</f>
        <v>82192</v>
      </c>
      <c r="M132" s="3">
        <v>200000000</v>
      </c>
    </row>
    <row r="133" spans="1:13" s="16" customFormat="1" outlineLevel="2">
      <c r="A133" s="17" t="s">
        <v>342</v>
      </c>
      <c r="B133" s="18" t="s">
        <v>177</v>
      </c>
      <c r="C133" s="19" t="s">
        <v>272</v>
      </c>
      <c r="D133" s="18" t="s">
        <v>271</v>
      </c>
      <c r="E133" s="3">
        <v>17000000</v>
      </c>
      <c r="F133" s="17">
        <v>43746</v>
      </c>
      <c r="G133" s="3">
        <v>17000000</v>
      </c>
      <c r="H133" s="2">
        <v>5.0000000000000001E-3</v>
      </c>
      <c r="I133" s="17">
        <v>43770</v>
      </c>
      <c r="J133" s="17">
        <v>43799</v>
      </c>
      <c r="K133" s="3">
        <f>J133-I133+1</f>
        <v>30</v>
      </c>
      <c r="L133" s="3">
        <f>ROUND(G133*H133*K133/365,0)</f>
        <v>6986</v>
      </c>
      <c r="M133" s="3">
        <v>17000000</v>
      </c>
    </row>
    <row r="134" spans="1:13" s="16" customFormat="1" outlineLevel="2">
      <c r="A134" s="17" t="s">
        <v>342</v>
      </c>
      <c r="B134" s="18" t="s">
        <v>176</v>
      </c>
      <c r="C134" s="19" t="s">
        <v>344</v>
      </c>
      <c r="D134" s="18" t="s">
        <v>343</v>
      </c>
      <c r="E134" s="3">
        <v>53000000</v>
      </c>
      <c r="F134" s="17">
        <v>43746</v>
      </c>
      <c r="G134" s="3">
        <v>53000000</v>
      </c>
      <c r="H134" s="2">
        <v>5.0000000000000001E-3</v>
      </c>
      <c r="I134" s="17">
        <v>43770</v>
      </c>
      <c r="J134" s="17">
        <v>43799</v>
      </c>
      <c r="K134" s="3">
        <f>J134-I134+1</f>
        <v>30</v>
      </c>
      <c r="L134" s="3">
        <f>ROUND(G134*H134*K134/365,0)</f>
        <v>21781</v>
      </c>
      <c r="M134" s="3">
        <v>53000000</v>
      </c>
    </row>
    <row r="135" spans="1:13" s="16" customFormat="1" outlineLevel="2">
      <c r="A135" s="17" t="s">
        <v>342</v>
      </c>
      <c r="B135" s="18" t="s">
        <v>175</v>
      </c>
      <c r="C135" s="19" t="s">
        <v>183</v>
      </c>
      <c r="D135" s="18" t="s">
        <v>182</v>
      </c>
      <c r="E135" s="3">
        <v>9999658</v>
      </c>
      <c r="F135" s="17">
        <v>43747</v>
      </c>
      <c r="G135" s="3">
        <v>9999658</v>
      </c>
      <c r="H135" s="2">
        <v>5.0000000000000001E-3</v>
      </c>
      <c r="I135" s="17">
        <v>43770</v>
      </c>
      <c r="J135" s="17">
        <v>43799</v>
      </c>
      <c r="K135" s="3">
        <f>J135-I135+1</f>
        <v>30</v>
      </c>
      <c r="L135" s="3">
        <f>ROUND(G135*H135*K135/365,0)</f>
        <v>4109</v>
      </c>
      <c r="M135" s="3">
        <v>9999658</v>
      </c>
    </row>
    <row r="136" spans="1:13" s="16" customFormat="1" outlineLevel="2">
      <c r="A136" s="17" t="s">
        <v>342</v>
      </c>
      <c r="B136" s="18" t="s">
        <v>174</v>
      </c>
      <c r="C136" s="19" t="s">
        <v>346</v>
      </c>
      <c r="D136" s="18" t="s">
        <v>345</v>
      </c>
      <c r="E136" s="3">
        <v>86000000</v>
      </c>
      <c r="F136" s="17">
        <v>43753</v>
      </c>
      <c r="G136" s="3">
        <v>86000000</v>
      </c>
      <c r="H136" s="2">
        <v>5.0000000000000001E-3</v>
      </c>
      <c r="I136" s="17">
        <v>43770</v>
      </c>
      <c r="J136" s="17">
        <v>43799</v>
      </c>
      <c r="K136" s="3">
        <f>J136-I136+1</f>
        <v>30</v>
      </c>
      <c r="L136" s="3">
        <f>ROUND(G136*H136*K136/365,0)</f>
        <v>35342</v>
      </c>
      <c r="M136" s="3">
        <v>86000000</v>
      </c>
    </row>
    <row r="137" spans="1:13" s="16" customFormat="1" outlineLevel="2">
      <c r="A137" s="17" t="s">
        <v>342</v>
      </c>
      <c r="B137" s="18" t="s">
        <v>171</v>
      </c>
      <c r="C137" s="19" t="s">
        <v>210</v>
      </c>
      <c r="D137" s="18" t="s">
        <v>209</v>
      </c>
      <c r="E137" s="3">
        <v>1500000</v>
      </c>
      <c r="F137" s="17">
        <v>43753</v>
      </c>
      <c r="G137" s="3">
        <v>1500000</v>
      </c>
      <c r="H137" s="2">
        <v>5.0000000000000001E-3</v>
      </c>
      <c r="I137" s="17">
        <v>43770</v>
      </c>
      <c r="J137" s="17">
        <v>43799</v>
      </c>
      <c r="K137" s="3">
        <f>J137-I137+1</f>
        <v>30</v>
      </c>
      <c r="L137" s="3">
        <f>ROUND(G137*H137*K137/365,0)</f>
        <v>616</v>
      </c>
      <c r="M137" s="3">
        <v>1500000</v>
      </c>
    </row>
    <row r="138" spans="1:13" s="16" customFormat="1" outlineLevel="2">
      <c r="A138" s="17" t="s">
        <v>342</v>
      </c>
      <c r="B138" s="18" t="s">
        <v>170</v>
      </c>
      <c r="C138" s="19" t="s">
        <v>159</v>
      </c>
      <c r="D138" s="18" t="s">
        <v>158</v>
      </c>
      <c r="E138" s="3">
        <v>5864000</v>
      </c>
      <c r="F138" s="17">
        <v>43755</v>
      </c>
      <c r="G138" s="3">
        <v>5864000</v>
      </c>
      <c r="H138" s="2">
        <v>1.4999999999999999E-2</v>
      </c>
      <c r="I138" s="17">
        <v>43770</v>
      </c>
      <c r="J138" s="17">
        <v>43799</v>
      </c>
      <c r="K138" s="3">
        <f>J138-I138+1</f>
        <v>30</v>
      </c>
      <c r="L138" s="3">
        <f>ROUND(G138*H138*K138/365,0)</f>
        <v>7230</v>
      </c>
      <c r="M138" s="3">
        <v>5864000</v>
      </c>
    </row>
    <row r="139" spans="1:13" s="16" customFormat="1" outlineLevel="2">
      <c r="A139" s="17" t="s">
        <v>342</v>
      </c>
      <c r="B139" s="18" t="s">
        <v>31</v>
      </c>
      <c r="C139" s="19" t="s">
        <v>159</v>
      </c>
      <c r="D139" s="18" t="s">
        <v>158</v>
      </c>
      <c r="E139" s="3">
        <v>38097000</v>
      </c>
      <c r="F139" s="17">
        <v>43663</v>
      </c>
      <c r="G139" s="3">
        <v>38097000</v>
      </c>
      <c r="H139" s="2">
        <v>1.4999999999999999E-2</v>
      </c>
      <c r="I139" s="17">
        <v>43770</v>
      </c>
      <c r="J139" s="17">
        <v>43799</v>
      </c>
      <c r="K139" s="3">
        <f>J139-I139+1</f>
        <v>30</v>
      </c>
      <c r="L139" s="3">
        <f>ROUND(G139*H139*K139/365,0)</f>
        <v>46969</v>
      </c>
      <c r="M139" s="3">
        <v>38097000</v>
      </c>
    </row>
    <row r="140" spans="1:13" s="16" customFormat="1" outlineLevel="2">
      <c r="A140" s="17" t="s">
        <v>342</v>
      </c>
      <c r="B140" s="18" t="s">
        <v>169</v>
      </c>
      <c r="C140" s="19" t="s">
        <v>159</v>
      </c>
      <c r="D140" s="18" t="s">
        <v>158</v>
      </c>
      <c r="E140" s="3">
        <v>19703000</v>
      </c>
      <c r="F140" s="17">
        <v>43755</v>
      </c>
      <c r="G140" s="3">
        <v>19703000</v>
      </c>
      <c r="H140" s="2">
        <v>1.4999999999999999E-2</v>
      </c>
      <c r="I140" s="17">
        <v>43770</v>
      </c>
      <c r="J140" s="17">
        <v>43799</v>
      </c>
      <c r="K140" s="3">
        <f>J140-I140+1</f>
        <v>30</v>
      </c>
      <c r="L140" s="3">
        <f>ROUND(G140*H140*K140/365,0)</f>
        <v>24291</v>
      </c>
      <c r="M140" s="3">
        <v>19703000</v>
      </c>
    </row>
    <row r="141" spans="1:13" s="16" customFormat="1" outlineLevel="2">
      <c r="A141" s="17" t="s">
        <v>342</v>
      </c>
      <c r="B141" s="18" t="s">
        <v>168</v>
      </c>
      <c r="C141" s="19" t="s">
        <v>344</v>
      </c>
      <c r="D141" s="18" t="s">
        <v>343</v>
      </c>
      <c r="E141" s="3">
        <v>57000000</v>
      </c>
      <c r="F141" s="17">
        <v>43761</v>
      </c>
      <c r="G141" s="3">
        <v>57000000</v>
      </c>
      <c r="H141" s="2">
        <v>5.0000000000000001E-3</v>
      </c>
      <c r="I141" s="17">
        <v>43770</v>
      </c>
      <c r="J141" s="17">
        <v>43799</v>
      </c>
      <c r="K141" s="3">
        <f>J141-I141+1</f>
        <v>30</v>
      </c>
      <c r="L141" s="3">
        <f>ROUND(G141*H141*K141/365,0)</f>
        <v>23425</v>
      </c>
      <c r="M141" s="3">
        <v>57000000</v>
      </c>
    </row>
    <row r="142" spans="1:13" s="16" customFormat="1" outlineLevel="2">
      <c r="A142" s="17" t="s">
        <v>342</v>
      </c>
      <c r="B142" s="18" t="s">
        <v>167</v>
      </c>
      <c r="C142" s="19" t="s">
        <v>272</v>
      </c>
      <c r="D142" s="18" t="s">
        <v>271</v>
      </c>
      <c r="E142" s="3">
        <v>13000000</v>
      </c>
      <c r="F142" s="17">
        <v>43763</v>
      </c>
      <c r="G142" s="3">
        <v>13000000</v>
      </c>
      <c r="H142" s="2">
        <v>5.0000000000000001E-3</v>
      </c>
      <c r="I142" s="17">
        <v>43770</v>
      </c>
      <c r="J142" s="17">
        <v>43799</v>
      </c>
      <c r="K142" s="3">
        <f>J142-I142+1</f>
        <v>30</v>
      </c>
      <c r="L142" s="3">
        <f>ROUND(G142*H142*K142/365,0)</f>
        <v>5342</v>
      </c>
      <c r="M142" s="3">
        <v>13000000</v>
      </c>
    </row>
    <row r="143" spans="1:13" s="16" customFormat="1" outlineLevel="2">
      <c r="A143" s="17" t="s">
        <v>342</v>
      </c>
      <c r="B143" s="18" t="s">
        <v>166</v>
      </c>
      <c r="C143" s="19" t="s">
        <v>280</v>
      </c>
      <c r="D143" s="18" t="s">
        <v>279</v>
      </c>
      <c r="E143" s="3">
        <v>44000000</v>
      </c>
      <c r="F143" s="17">
        <v>43763</v>
      </c>
      <c r="G143" s="3">
        <v>44000000</v>
      </c>
      <c r="H143" s="2">
        <v>5.0000000000000001E-3</v>
      </c>
      <c r="I143" s="17">
        <v>43770</v>
      </c>
      <c r="J143" s="17">
        <v>43799</v>
      </c>
      <c r="K143" s="3">
        <f>J143-I143+1</f>
        <v>30</v>
      </c>
      <c r="L143" s="3">
        <f>ROUND(G143*H143*K143/365,0)</f>
        <v>18082</v>
      </c>
      <c r="M143" s="3">
        <v>44000000</v>
      </c>
    </row>
    <row r="144" spans="1:13" s="16" customFormat="1" outlineLevel="2">
      <c r="A144" s="17" t="s">
        <v>342</v>
      </c>
      <c r="B144" s="18" t="s">
        <v>165</v>
      </c>
      <c r="C144" s="19" t="s">
        <v>183</v>
      </c>
      <c r="D144" s="18" t="s">
        <v>182</v>
      </c>
      <c r="E144" s="3">
        <v>6377049</v>
      </c>
      <c r="F144" s="17">
        <v>43768</v>
      </c>
      <c r="G144" s="3">
        <v>6377049</v>
      </c>
      <c r="H144" s="2">
        <v>5.0000000000000001E-3</v>
      </c>
      <c r="I144" s="17">
        <v>43770</v>
      </c>
      <c r="J144" s="17">
        <v>43799</v>
      </c>
      <c r="K144" s="3">
        <f>J144-I144+1</f>
        <v>30</v>
      </c>
      <c r="L144" s="3">
        <f>ROUND(G144*H144*K144/365,0)</f>
        <v>2621</v>
      </c>
      <c r="M144" s="3">
        <v>6377049</v>
      </c>
    </row>
    <row r="145" spans="1:13" s="16" customFormat="1" outlineLevel="2">
      <c r="A145" s="17" t="s">
        <v>342</v>
      </c>
      <c r="B145" s="18" t="s">
        <v>164</v>
      </c>
      <c r="C145" s="19" t="s">
        <v>183</v>
      </c>
      <c r="D145" s="18" t="s">
        <v>182</v>
      </c>
      <c r="E145" s="3">
        <v>2610000</v>
      </c>
      <c r="F145" s="17">
        <v>43773</v>
      </c>
      <c r="G145" s="3">
        <v>2610000</v>
      </c>
      <c r="H145" s="2">
        <v>5.0000000000000001E-3</v>
      </c>
      <c r="I145" s="17">
        <v>43773</v>
      </c>
      <c r="J145" s="17">
        <v>43799</v>
      </c>
      <c r="K145" s="3">
        <f>J145-I145+1</f>
        <v>27</v>
      </c>
      <c r="L145" s="3">
        <f>ROUND(G145*H145*K145/365,0)</f>
        <v>965</v>
      </c>
      <c r="M145" s="3">
        <v>2610000</v>
      </c>
    </row>
    <row r="146" spans="1:13" s="16" customFormat="1" outlineLevel="2">
      <c r="A146" s="17" t="s">
        <v>342</v>
      </c>
      <c r="B146" s="18" t="s">
        <v>161</v>
      </c>
      <c r="C146" s="19" t="s">
        <v>183</v>
      </c>
      <c r="D146" s="18" t="s">
        <v>182</v>
      </c>
      <c r="E146" s="3">
        <v>10496125</v>
      </c>
      <c r="F146" s="17">
        <v>43776</v>
      </c>
      <c r="G146" s="3">
        <v>10496125</v>
      </c>
      <c r="H146" s="2">
        <v>5.0000000000000001E-3</v>
      </c>
      <c r="I146" s="17">
        <v>43776</v>
      </c>
      <c r="J146" s="17">
        <v>43799</v>
      </c>
      <c r="K146" s="3">
        <f>J146-I146+1</f>
        <v>24</v>
      </c>
      <c r="L146" s="3">
        <f>ROUND(G146*H146*K146/365,0)</f>
        <v>3451</v>
      </c>
      <c r="M146" s="3">
        <v>10496125</v>
      </c>
    </row>
    <row r="147" spans="1:13" s="16" customFormat="1" outlineLevel="2">
      <c r="A147" s="17" t="s">
        <v>342</v>
      </c>
      <c r="B147" s="18" t="s">
        <v>160</v>
      </c>
      <c r="C147" s="19" t="s">
        <v>394</v>
      </c>
      <c r="D147" s="18" t="s">
        <v>393</v>
      </c>
      <c r="E147" s="3">
        <v>66960000</v>
      </c>
      <c r="F147" s="17">
        <v>43777</v>
      </c>
      <c r="G147" s="3">
        <v>66960000</v>
      </c>
      <c r="H147" s="2">
        <v>5.0000000000000001E-3</v>
      </c>
      <c r="I147" s="17">
        <v>43777</v>
      </c>
      <c r="J147" s="17">
        <v>43799</v>
      </c>
      <c r="K147" s="3">
        <f>J147-I147+1</f>
        <v>23</v>
      </c>
      <c r="L147" s="3">
        <f>ROUND(G147*H147*K147/365,0)</f>
        <v>21097</v>
      </c>
      <c r="M147" s="3">
        <v>66960000</v>
      </c>
    </row>
    <row r="148" spans="1:13" s="16" customFormat="1" outlineLevel="2">
      <c r="A148" s="17" t="s">
        <v>342</v>
      </c>
      <c r="B148" s="18" t="s">
        <v>157</v>
      </c>
      <c r="C148" s="19" t="s">
        <v>394</v>
      </c>
      <c r="D148" s="18" t="s">
        <v>393</v>
      </c>
      <c r="E148" s="3">
        <v>37624000</v>
      </c>
      <c r="F148" s="17">
        <v>43777</v>
      </c>
      <c r="G148" s="3">
        <v>37624000</v>
      </c>
      <c r="H148" s="2">
        <v>5.0000000000000001E-3</v>
      </c>
      <c r="I148" s="17">
        <v>43777</v>
      </c>
      <c r="J148" s="17">
        <v>43799</v>
      </c>
      <c r="K148" s="3">
        <f>J148-I148+1</f>
        <v>23</v>
      </c>
      <c r="L148" s="3">
        <f>ROUND(G148*H148*K148/365,0)</f>
        <v>11854</v>
      </c>
      <c r="M148" s="3">
        <v>37624000</v>
      </c>
    </row>
    <row r="149" spans="1:13" s="16" customFormat="1" outlineLevel="2">
      <c r="A149" s="17" t="s">
        <v>342</v>
      </c>
      <c r="B149" s="18" t="s">
        <v>156</v>
      </c>
      <c r="C149" s="19" t="s">
        <v>394</v>
      </c>
      <c r="D149" s="18" t="s">
        <v>393</v>
      </c>
      <c r="E149" s="3">
        <v>37624000</v>
      </c>
      <c r="F149" s="17">
        <v>43780</v>
      </c>
      <c r="G149" s="3">
        <v>37624000</v>
      </c>
      <c r="H149" s="2">
        <v>5.0000000000000001E-3</v>
      </c>
      <c r="I149" s="17">
        <v>43780</v>
      </c>
      <c r="J149" s="17">
        <v>43799</v>
      </c>
      <c r="K149" s="3">
        <f>J149-I149+1</f>
        <v>20</v>
      </c>
      <c r="L149" s="3">
        <f>ROUND(G149*H149*K149/365,0)</f>
        <v>10308</v>
      </c>
      <c r="M149" s="3">
        <v>37624000</v>
      </c>
    </row>
    <row r="150" spans="1:13" s="16" customFormat="1" outlineLevel="2">
      <c r="A150" s="17" t="s">
        <v>342</v>
      </c>
      <c r="B150" s="18" t="s">
        <v>30</v>
      </c>
      <c r="C150" s="19" t="s">
        <v>159</v>
      </c>
      <c r="D150" s="18" t="s">
        <v>158</v>
      </c>
      <c r="E150" s="3">
        <v>79839000</v>
      </c>
      <c r="F150" s="17">
        <v>43663</v>
      </c>
      <c r="G150" s="3">
        <v>79839000</v>
      </c>
      <c r="H150" s="2">
        <v>1.4999999999999999E-2</v>
      </c>
      <c r="I150" s="17">
        <v>43770</v>
      </c>
      <c r="J150" s="17">
        <v>43799</v>
      </c>
      <c r="K150" s="3">
        <f>J150-I150+1</f>
        <v>30</v>
      </c>
      <c r="L150" s="3">
        <f>ROUND(G150*H150*K150/365,0)</f>
        <v>98432</v>
      </c>
      <c r="M150" s="3">
        <v>79839000</v>
      </c>
    </row>
    <row r="151" spans="1:13" s="16" customFormat="1" outlineLevel="2">
      <c r="A151" s="17" t="s">
        <v>342</v>
      </c>
      <c r="B151" s="18" t="s">
        <v>155</v>
      </c>
      <c r="C151" s="19" t="s">
        <v>280</v>
      </c>
      <c r="D151" s="18" t="s">
        <v>279</v>
      </c>
      <c r="E151" s="3">
        <v>25000000</v>
      </c>
      <c r="F151" s="17">
        <v>43784</v>
      </c>
      <c r="G151" s="3">
        <v>25000000</v>
      </c>
      <c r="H151" s="2">
        <v>5.0000000000000001E-3</v>
      </c>
      <c r="I151" s="17">
        <v>43784</v>
      </c>
      <c r="J151" s="17">
        <v>43799</v>
      </c>
      <c r="K151" s="3">
        <f>J151-I151+1</f>
        <v>16</v>
      </c>
      <c r="L151" s="3">
        <f>ROUND(G151*H151*K151/365,0)</f>
        <v>5479</v>
      </c>
      <c r="M151" s="3">
        <v>25000000</v>
      </c>
    </row>
    <row r="152" spans="1:13" s="16" customFormat="1" outlineLevel="2">
      <c r="A152" s="17" t="s">
        <v>342</v>
      </c>
      <c r="B152" s="18" t="s">
        <v>154</v>
      </c>
      <c r="C152" s="19" t="s">
        <v>280</v>
      </c>
      <c r="D152" s="18" t="s">
        <v>279</v>
      </c>
      <c r="E152" s="3">
        <v>60000000</v>
      </c>
      <c r="F152" s="17">
        <v>43795</v>
      </c>
      <c r="G152" s="3">
        <v>60000000</v>
      </c>
      <c r="H152" s="2">
        <v>5.0000000000000001E-3</v>
      </c>
      <c r="I152" s="17">
        <v>43795</v>
      </c>
      <c r="J152" s="17">
        <v>43799</v>
      </c>
      <c r="K152" s="3">
        <f>J152-I152+1</f>
        <v>5</v>
      </c>
      <c r="L152" s="3">
        <f>ROUND(G152*H152*K152/365,0)</f>
        <v>4110</v>
      </c>
      <c r="M152" s="3">
        <v>60000000</v>
      </c>
    </row>
    <row r="153" spans="1:13" s="16" customFormat="1" outlineLevel="2">
      <c r="A153" s="17" t="s">
        <v>342</v>
      </c>
      <c r="B153" s="18" t="s">
        <v>153</v>
      </c>
      <c r="C153" s="19" t="s">
        <v>159</v>
      </c>
      <c r="D153" s="18" t="s">
        <v>158</v>
      </c>
      <c r="E153" s="3">
        <v>6348000</v>
      </c>
      <c r="F153" s="17">
        <v>43784</v>
      </c>
      <c r="G153" s="3">
        <v>6348000</v>
      </c>
      <c r="H153" s="2">
        <v>1.4999999999999999E-2</v>
      </c>
      <c r="I153" s="17">
        <v>43784</v>
      </c>
      <c r="J153" s="17">
        <v>43799</v>
      </c>
      <c r="K153" s="3">
        <f>J153-I153+1</f>
        <v>16</v>
      </c>
      <c r="L153" s="3">
        <f>ROUND(G153*H153*K153/365,0)</f>
        <v>4174</v>
      </c>
      <c r="M153" s="3">
        <v>6348000</v>
      </c>
    </row>
    <row r="154" spans="1:13" s="16" customFormat="1" outlineLevel="2">
      <c r="A154" s="17" t="s">
        <v>342</v>
      </c>
      <c r="B154" s="18" t="s">
        <v>152</v>
      </c>
      <c r="C154" s="19" t="s">
        <v>159</v>
      </c>
      <c r="D154" s="18" t="s">
        <v>158</v>
      </c>
      <c r="E154" s="3">
        <v>11946000</v>
      </c>
      <c r="F154" s="17">
        <v>43784</v>
      </c>
      <c r="G154" s="3">
        <v>11946000</v>
      </c>
      <c r="H154" s="2">
        <v>1.4999999999999999E-2</v>
      </c>
      <c r="I154" s="17">
        <v>43784</v>
      </c>
      <c r="J154" s="17">
        <v>43799</v>
      </c>
      <c r="K154" s="3">
        <f>J154-I154+1</f>
        <v>16</v>
      </c>
      <c r="L154" s="3">
        <f>ROUND(G154*H154*K154/365,0)</f>
        <v>7855</v>
      </c>
      <c r="M154" s="3">
        <v>11946000</v>
      </c>
    </row>
    <row r="155" spans="1:13" s="16" customFormat="1" outlineLevel="2">
      <c r="A155" s="17" t="s">
        <v>342</v>
      </c>
      <c r="B155" s="18" t="s">
        <v>151</v>
      </c>
      <c r="C155" s="19" t="s">
        <v>344</v>
      </c>
      <c r="D155" s="18" t="s">
        <v>343</v>
      </c>
      <c r="E155" s="3">
        <v>64000000</v>
      </c>
      <c r="F155" s="17">
        <v>43784</v>
      </c>
      <c r="G155" s="3">
        <v>64000000</v>
      </c>
      <c r="H155" s="2">
        <v>5.0000000000000001E-3</v>
      </c>
      <c r="I155" s="17">
        <v>43784</v>
      </c>
      <c r="J155" s="17">
        <v>43799</v>
      </c>
      <c r="K155" s="3">
        <f>J155-I155+1</f>
        <v>16</v>
      </c>
      <c r="L155" s="3">
        <f>ROUND(G155*H155*K155/365,0)</f>
        <v>14027</v>
      </c>
      <c r="M155" s="3">
        <v>64000000</v>
      </c>
    </row>
    <row r="156" spans="1:13" s="16" customFormat="1" outlineLevel="2">
      <c r="A156" s="17" t="s">
        <v>342</v>
      </c>
      <c r="B156" s="18" t="s">
        <v>196</v>
      </c>
      <c r="C156" s="19" t="s">
        <v>344</v>
      </c>
      <c r="D156" s="18" t="s">
        <v>343</v>
      </c>
      <c r="E156" s="3">
        <v>11000000</v>
      </c>
      <c r="F156" s="17">
        <v>43795</v>
      </c>
      <c r="G156" s="3">
        <v>11000000</v>
      </c>
      <c r="H156" s="2">
        <v>5.0000000000000001E-3</v>
      </c>
      <c r="I156" s="17">
        <v>43795</v>
      </c>
      <c r="J156" s="17">
        <v>43799</v>
      </c>
      <c r="K156" s="3">
        <f>J156-I156+1</f>
        <v>5</v>
      </c>
      <c r="L156" s="3">
        <f>ROUND(G156*H156*K156/365,0)</f>
        <v>753</v>
      </c>
      <c r="M156" s="3">
        <v>11000000</v>
      </c>
    </row>
    <row r="157" spans="1:13" s="16" customFormat="1" outlineLevel="2">
      <c r="A157" s="17" t="s">
        <v>342</v>
      </c>
      <c r="B157" s="18" t="s">
        <v>195</v>
      </c>
      <c r="C157" s="19" t="s">
        <v>225</v>
      </c>
      <c r="D157" s="18" t="s">
        <v>224</v>
      </c>
      <c r="E157" s="3">
        <v>40000000</v>
      </c>
      <c r="F157" s="17">
        <v>43789</v>
      </c>
      <c r="G157" s="3">
        <v>40000000</v>
      </c>
      <c r="H157" s="2">
        <v>5.0000000000000001E-3</v>
      </c>
      <c r="I157" s="17">
        <v>43789</v>
      </c>
      <c r="J157" s="17">
        <v>43799</v>
      </c>
      <c r="K157" s="3">
        <f>J157-I157+1</f>
        <v>11</v>
      </c>
      <c r="L157" s="3">
        <f>ROUND(G157*H157*K157/365,0)</f>
        <v>6027</v>
      </c>
      <c r="M157" s="3">
        <v>40000000</v>
      </c>
    </row>
    <row r="158" spans="1:13" s="16" customFormat="1" outlineLevel="2">
      <c r="A158" s="17" t="s">
        <v>342</v>
      </c>
      <c r="B158" s="18" t="s">
        <v>194</v>
      </c>
      <c r="C158" s="19" t="s">
        <v>265</v>
      </c>
      <c r="D158" s="18" t="s">
        <v>264</v>
      </c>
      <c r="E158" s="3">
        <v>1150000</v>
      </c>
      <c r="F158" s="17">
        <v>43798</v>
      </c>
      <c r="G158" s="3">
        <v>1150000</v>
      </c>
      <c r="H158" s="2">
        <v>5.0000000000000001E-3</v>
      </c>
      <c r="I158" s="17">
        <v>43798</v>
      </c>
      <c r="J158" s="17">
        <v>43799</v>
      </c>
      <c r="K158" s="3">
        <f>J158-I158+1</f>
        <v>2</v>
      </c>
      <c r="L158" s="3">
        <f>ROUND(G158*H158*K158/365,0)</f>
        <v>32</v>
      </c>
      <c r="M158" s="3">
        <v>1150000</v>
      </c>
    </row>
    <row r="159" spans="1:13" s="16" customFormat="1" outlineLevel="2">
      <c r="A159" s="17" t="s">
        <v>342</v>
      </c>
      <c r="B159" s="18" t="s">
        <v>28</v>
      </c>
      <c r="C159" s="19" t="s">
        <v>206</v>
      </c>
      <c r="D159" s="18" t="s">
        <v>38</v>
      </c>
      <c r="E159" s="3">
        <v>67000000</v>
      </c>
      <c r="F159" s="17">
        <v>43671</v>
      </c>
      <c r="G159" s="3">
        <v>67000000</v>
      </c>
      <c r="H159" s="2">
        <v>1.4999999999999999E-2</v>
      </c>
      <c r="I159" s="17">
        <v>43770</v>
      </c>
      <c r="J159" s="17">
        <v>43799</v>
      </c>
      <c r="K159" s="3">
        <f>J159-I159+1</f>
        <v>30</v>
      </c>
      <c r="L159" s="3">
        <f>ROUND(G159*H159*K159/365,0)</f>
        <v>82603</v>
      </c>
      <c r="M159" s="3">
        <v>67000000</v>
      </c>
    </row>
    <row r="160" spans="1:13" s="16" customFormat="1" outlineLevel="2">
      <c r="A160" s="17" t="s">
        <v>342</v>
      </c>
      <c r="B160" s="18" t="s">
        <v>48</v>
      </c>
      <c r="C160" s="19" t="s">
        <v>159</v>
      </c>
      <c r="D160" s="18" t="s">
        <v>158</v>
      </c>
      <c r="E160" s="3">
        <v>6635000</v>
      </c>
      <c r="F160" s="17">
        <v>43693</v>
      </c>
      <c r="G160" s="3">
        <v>6635000</v>
      </c>
      <c r="H160" s="2">
        <v>1.4999999999999999E-2</v>
      </c>
      <c r="I160" s="17">
        <v>43770</v>
      </c>
      <c r="J160" s="17">
        <v>43799</v>
      </c>
      <c r="K160" s="3">
        <f>J160-I160+1</f>
        <v>30</v>
      </c>
      <c r="L160" s="3">
        <f>ROUND(G160*H160*K160/365,0)</f>
        <v>8180</v>
      </c>
      <c r="M160" s="3">
        <v>6635000</v>
      </c>
    </row>
    <row r="161" spans="1:13" s="16" customFormat="1" outlineLevel="2">
      <c r="A161" s="17" t="s">
        <v>342</v>
      </c>
      <c r="B161" s="18" t="s">
        <v>47</v>
      </c>
      <c r="C161" s="19" t="s">
        <v>159</v>
      </c>
      <c r="D161" s="18" t="s">
        <v>158</v>
      </c>
      <c r="E161" s="3">
        <v>18206000</v>
      </c>
      <c r="F161" s="17">
        <v>43693</v>
      </c>
      <c r="G161" s="3">
        <v>18206000</v>
      </c>
      <c r="H161" s="2">
        <v>1.4999999999999999E-2</v>
      </c>
      <c r="I161" s="17">
        <v>43770</v>
      </c>
      <c r="J161" s="17">
        <v>43799</v>
      </c>
      <c r="K161" s="3">
        <f>J161-I161+1</f>
        <v>30</v>
      </c>
      <c r="L161" s="3">
        <f>ROUND(G161*H161*K161/365,0)</f>
        <v>22446</v>
      </c>
      <c r="M161" s="3">
        <v>18206000</v>
      </c>
    </row>
    <row r="162" spans="1:13" s="16" customFormat="1" outlineLevel="2">
      <c r="A162" s="17" t="s">
        <v>342</v>
      </c>
      <c r="B162" s="18" t="s">
        <v>46</v>
      </c>
      <c r="C162" s="19" t="s">
        <v>183</v>
      </c>
      <c r="D162" s="18" t="s">
        <v>182</v>
      </c>
      <c r="E162" s="3">
        <v>11182589</v>
      </c>
      <c r="F162" s="17">
        <v>43718</v>
      </c>
      <c r="G162" s="3">
        <v>11182589</v>
      </c>
      <c r="H162" s="2">
        <v>5.0000000000000001E-3</v>
      </c>
      <c r="I162" s="17">
        <v>43770</v>
      </c>
      <c r="J162" s="17">
        <v>43799</v>
      </c>
      <c r="K162" s="3">
        <f>J162-I162+1</f>
        <v>30</v>
      </c>
      <c r="L162" s="3">
        <f>ROUND(G162*H162*K162/365,0)</f>
        <v>4596</v>
      </c>
      <c r="M162" s="3">
        <v>11182589</v>
      </c>
    </row>
    <row r="163" spans="1:13" s="16" customFormat="1" outlineLevel="2">
      <c r="A163" s="17" t="s">
        <v>342</v>
      </c>
      <c r="B163" s="18" t="s">
        <v>45</v>
      </c>
      <c r="C163" s="19" t="s">
        <v>280</v>
      </c>
      <c r="D163" s="18" t="s">
        <v>279</v>
      </c>
      <c r="E163" s="3">
        <v>100000000</v>
      </c>
      <c r="F163" s="17">
        <v>43724</v>
      </c>
      <c r="G163" s="3">
        <v>100000000</v>
      </c>
      <c r="H163" s="2">
        <v>5.0000000000000001E-3</v>
      </c>
      <c r="I163" s="17">
        <v>43770</v>
      </c>
      <c r="J163" s="17">
        <v>43799</v>
      </c>
      <c r="K163" s="3">
        <f>J163-I163+1</f>
        <v>30</v>
      </c>
      <c r="L163" s="3">
        <f>ROUND(G163*H163*K163/365,0)</f>
        <v>41096</v>
      </c>
      <c r="M163" s="3">
        <v>100000000</v>
      </c>
    </row>
    <row r="164" spans="1:13" s="16" customFormat="1" outlineLevel="2">
      <c r="A164" s="17" t="s">
        <v>342</v>
      </c>
      <c r="B164" s="18" t="s">
        <v>44</v>
      </c>
      <c r="C164" s="19" t="s">
        <v>159</v>
      </c>
      <c r="D164" s="18" t="s">
        <v>158</v>
      </c>
      <c r="E164" s="3">
        <v>3675000</v>
      </c>
      <c r="F164" s="17">
        <v>43725</v>
      </c>
      <c r="G164" s="3">
        <v>3675000</v>
      </c>
      <c r="H164" s="2">
        <v>1.4999999999999999E-2</v>
      </c>
      <c r="I164" s="17">
        <v>43770</v>
      </c>
      <c r="J164" s="17">
        <v>43799</v>
      </c>
      <c r="K164" s="3">
        <f>J164-I164+1</f>
        <v>30</v>
      </c>
      <c r="L164" s="3">
        <f>ROUND(G164*H164*K164/365,0)</f>
        <v>4531</v>
      </c>
      <c r="M164" s="3">
        <v>3675000</v>
      </c>
    </row>
    <row r="165" spans="1:13" s="16" customFormat="1" outlineLevel="1">
      <c r="A165" s="28" t="s">
        <v>341</v>
      </c>
      <c r="B165" s="21"/>
      <c r="C165" s="22"/>
      <c r="D165" s="21"/>
      <c r="E165" s="23">
        <f>SUBTOTAL(9,E128:E164)</f>
        <v>1434566471</v>
      </c>
      <c r="F165" s="20"/>
      <c r="G165" s="23"/>
      <c r="H165" s="24"/>
      <c r="I165" s="20"/>
      <c r="J165" s="20"/>
      <c r="K165" s="23"/>
      <c r="L165" s="23">
        <f>SUBTOTAL(9,L128:L164)</f>
        <v>819400</v>
      </c>
      <c r="M165" s="23">
        <f>SUBTOTAL(9,M128:M164)</f>
        <v>1434566471</v>
      </c>
    </row>
    <row r="166" spans="1:13" s="16" customFormat="1" outlineLevel="2">
      <c r="A166" s="17" t="s">
        <v>338</v>
      </c>
      <c r="B166" s="18" t="s">
        <v>17</v>
      </c>
      <c r="C166" s="19" t="s">
        <v>54</v>
      </c>
      <c r="D166" s="18" t="s">
        <v>34</v>
      </c>
      <c r="E166" s="3">
        <v>21800000</v>
      </c>
      <c r="F166" s="17">
        <v>43591</v>
      </c>
      <c r="G166" s="3">
        <v>21800000</v>
      </c>
      <c r="H166" s="2">
        <v>1.4999999999999999E-2</v>
      </c>
      <c r="I166" s="17">
        <v>43770</v>
      </c>
      <c r="J166" s="17">
        <v>43799</v>
      </c>
      <c r="K166" s="3">
        <f>J166-I166+1</f>
        <v>30</v>
      </c>
      <c r="L166" s="3">
        <f>ROUND(G166*H166*K166/365,0)</f>
        <v>26877</v>
      </c>
      <c r="M166" s="3">
        <v>21800000</v>
      </c>
    </row>
    <row r="167" spans="1:13" s="16" customFormat="1" outlineLevel="2">
      <c r="A167" s="17" t="s">
        <v>338</v>
      </c>
      <c r="B167" s="18" t="s">
        <v>181</v>
      </c>
      <c r="C167" s="19" t="s">
        <v>54</v>
      </c>
      <c r="D167" s="18" t="s">
        <v>34</v>
      </c>
      <c r="E167" s="3">
        <v>662000</v>
      </c>
      <c r="F167" s="17">
        <v>43733</v>
      </c>
      <c r="G167" s="3">
        <v>662000</v>
      </c>
      <c r="H167" s="2">
        <v>1.4999999999999999E-2</v>
      </c>
      <c r="I167" s="17">
        <v>43770</v>
      </c>
      <c r="J167" s="17">
        <v>43799</v>
      </c>
      <c r="K167" s="3">
        <f>J167-I167+1</f>
        <v>30</v>
      </c>
      <c r="L167" s="3">
        <f>ROUND(G167*H167*K167/365,0)</f>
        <v>816</v>
      </c>
      <c r="M167" s="3">
        <v>662000</v>
      </c>
    </row>
    <row r="168" spans="1:13" s="16" customFormat="1" outlineLevel="2">
      <c r="A168" s="17" t="s">
        <v>338</v>
      </c>
      <c r="B168" s="18" t="s">
        <v>180</v>
      </c>
      <c r="C168" s="19" t="s">
        <v>54</v>
      </c>
      <c r="D168" s="18" t="s">
        <v>34</v>
      </c>
      <c r="E168" s="3">
        <v>7250000</v>
      </c>
      <c r="F168" s="17">
        <v>43745</v>
      </c>
      <c r="G168" s="3">
        <v>7250000</v>
      </c>
      <c r="H168" s="2">
        <v>1.4999999999999999E-2</v>
      </c>
      <c r="I168" s="17">
        <v>43770</v>
      </c>
      <c r="J168" s="17">
        <v>43799</v>
      </c>
      <c r="K168" s="3">
        <f>J168-I168+1</f>
        <v>30</v>
      </c>
      <c r="L168" s="3">
        <f>ROUND(G168*H168*K168/365,0)</f>
        <v>8938</v>
      </c>
      <c r="M168" s="3">
        <v>7250000</v>
      </c>
    </row>
    <row r="169" spans="1:13" s="16" customFormat="1" outlineLevel="2">
      <c r="A169" s="17" t="s">
        <v>338</v>
      </c>
      <c r="B169" s="18" t="s">
        <v>179</v>
      </c>
      <c r="C169" s="19" t="s">
        <v>54</v>
      </c>
      <c r="D169" s="18" t="s">
        <v>34</v>
      </c>
      <c r="E169" s="3">
        <v>1095000</v>
      </c>
      <c r="F169" s="17">
        <v>43753</v>
      </c>
      <c r="G169" s="3">
        <v>1095000</v>
      </c>
      <c r="H169" s="2">
        <v>1.4999999999999999E-2</v>
      </c>
      <c r="I169" s="17">
        <v>43770</v>
      </c>
      <c r="J169" s="17">
        <v>43799</v>
      </c>
      <c r="K169" s="3">
        <f>J169-I169+1</f>
        <v>30</v>
      </c>
      <c r="L169" s="3">
        <f>ROUND(G169*H169*K169/365,0)</f>
        <v>1350</v>
      </c>
      <c r="M169" s="3">
        <v>1095000</v>
      </c>
    </row>
    <row r="170" spans="1:13" s="16" customFormat="1" outlineLevel="2">
      <c r="A170" s="17" t="s">
        <v>338</v>
      </c>
      <c r="B170" s="18" t="s">
        <v>178</v>
      </c>
      <c r="C170" s="19" t="s">
        <v>54</v>
      </c>
      <c r="D170" s="18" t="s">
        <v>34</v>
      </c>
      <c r="E170" s="3">
        <v>10906000</v>
      </c>
      <c r="F170" s="17">
        <v>43763</v>
      </c>
      <c r="G170" s="3">
        <v>10906000</v>
      </c>
      <c r="H170" s="2">
        <v>1.4999999999999999E-2</v>
      </c>
      <c r="I170" s="17">
        <v>43770</v>
      </c>
      <c r="J170" s="17">
        <v>43799</v>
      </c>
      <c r="K170" s="3">
        <f>J170-I170+1</f>
        <v>30</v>
      </c>
      <c r="L170" s="3">
        <f>ROUND(G170*H170*K170/365,0)</f>
        <v>13446</v>
      </c>
      <c r="M170" s="3">
        <v>10906000</v>
      </c>
    </row>
    <row r="171" spans="1:13" s="16" customFormat="1" outlineLevel="2">
      <c r="A171" s="17" t="s">
        <v>338</v>
      </c>
      <c r="B171" s="18" t="s">
        <v>177</v>
      </c>
      <c r="C171" s="19" t="s">
        <v>340</v>
      </c>
      <c r="D171" s="18" t="s">
        <v>339</v>
      </c>
      <c r="E171" s="3">
        <v>50000000</v>
      </c>
      <c r="F171" s="17">
        <v>43753</v>
      </c>
      <c r="G171" s="3">
        <v>50000000</v>
      </c>
      <c r="H171" s="2">
        <v>1.4999999999999999E-2</v>
      </c>
      <c r="I171" s="17">
        <v>43770</v>
      </c>
      <c r="J171" s="17">
        <v>43783</v>
      </c>
      <c r="K171" s="3">
        <f>J171-I171+1</f>
        <v>14</v>
      </c>
      <c r="L171" s="3">
        <f>ROUND(G171*H171*K171/365,0)</f>
        <v>28767</v>
      </c>
      <c r="M171" s="3">
        <v>49404761</v>
      </c>
    </row>
    <row r="172" spans="1:13" s="16" customFormat="1" outlineLevel="2">
      <c r="A172" s="17" t="s">
        <v>338</v>
      </c>
      <c r="B172" s="18" t="s">
        <v>177</v>
      </c>
      <c r="C172" s="19" t="s">
        <v>340</v>
      </c>
      <c r="D172" s="18"/>
      <c r="E172" s="3"/>
      <c r="F172" s="17"/>
      <c r="G172" s="3">
        <v>49404761</v>
      </c>
      <c r="H172" s="2">
        <v>1.4999999999999999E-2</v>
      </c>
      <c r="I172" s="17">
        <v>43784</v>
      </c>
      <c r="J172" s="17">
        <v>43799</v>
      </c>
      <c r="K172" s="3">
        <f>J172-I172+1</f>
        <v>16</v>
      </c>
      <c r="L172" s="3">
        <f>ROUND(G172*H172*K172/365,0)</f>
        <v>32485</v>
      </c>
      <c r="M172" s="3"/>
    </row>
    <row r="173" spans="1:13" s="16" customFormat="1" outlineLevel="2">
      <c r="A173" s="17" t="s">
        <v>338</v>
      </c>
      <c r="B173" s="18" t="s">
        <v>176</v>
      </c>
      <c r="C173" s="19" t="s">
        <v>54</v>
      </c>
      <c r="D173" s="18" t="s">
        <v>34</v>
      </c>
      <c r="E173" s="3">
        <v>3233000</v>
      </c>
      <c r="F173" s="17">
        <v>43774</v>
      </c>
      <c r="G173" s="3">
        <v>3233000</v>
      </c>
      <c r="H173" s="2">
        <v>1.4999999999999999E-2</v>
      </c>
      <c r="I173" s="17">
        <v>43774</v>
      </c>
      <c r="J173" s="17">
        <v>43799</v>
      </c>
      <c r="K173" s="3">
        <f>J173-I173+1</f>
        <v>26</v>
      </c>
      <c r="L173" s="3">
        <f>ROUND(G173*H173*K173/365,0)</f>
        <v>3454</v>
      </c>
      <c r="M173" s="3">
        <v>3233000</v>
      </c>
    </row>
    <row r="174" spans="1:13" s="16" customFormat="1" outlineLevel="2">
      <c r="A174" s="17" t="s">
        <v>338</v>
      </c>
      <c r="B174" s="18" t="s">
        <v>175</v>
      </c>
      <c r="C174" s="19" t="s">
        <v>54</v>
      </c>
      <c r="D174" s="18" t="s">
        <v>34</v>
      </c>
      <c r="E174" s="3">
        <v>668000</v>
      </c>
      <c r="F174" s="17">
        <v>43784</v>
      </c>
      <c r="G174" s="3">
        <v>668000</v>
      </c>
      <c r="H174" s="2">
        <v>1.4999999999999999E-2</v>
      </c>
      <c r="I174" s="17">
        <v>43784</v>
      </c>
      <c r="J174" s="17">
        <v>43799</v>
      </c>
      <c r="K174" s="3">
        <f>J174-I174+1</f>
        <v>16</v>
      </c>
      <c r="L174" s="3">
        <f>ROUND(G174*H174*K174/365,0)</f>
        <v>439</v>
      </c>
      <c r="M174" s="3">
        <v>668000</v>
      </c>
    </row>
    <row r="175" spans="1:13" s="16" customFormat="1" outlineLevel="2">
      <c r="A175" s="17" t="s">
        <v>338</v>
      </c>
      <c r="B175" s="18" t="s">
        <v>174</v>
      </c>
      <c r="C175" s="19" t="s">
        <v>340</v>
      </c>
      <c r="D175" s="18" t="s">
        <v>339</v>
      </c>
      <c r="E175" s="3">
        <v>40000000</v>
      </c>
      <c r="F175" s="17">
        <v>43788</v>
      </c>
      <c r="G175" s="3">
        <v>40000000</v>
      </c>
      <c r="H175" s="2">
        <v>1.4999999999999999E-2</v>
      </c>
      <c r="I175" s="17">
        <v>43788</v>
      </c>
      <c r="J175" s="17">
        <v>43799</v>
      </c>
      <c r="K175" s="3">
        <f>J175-I175+1</f>
        <v>12</v>
      </c>
      <c r="L175" s="3">
        <f>ROUND(G175*H175*K175/365,0)</f>
        <v>19726</v>
      </c>
      <c r="M175" s="3">
        <v>40000000</v>
      </c>
    </row>
    <row r="176" spans="1:13" s="16" customFormat="1" outlineLevel="2">
      <c r="A176" s="17" t="s">
        <v>338</v>
      </c>
      <c r="B176" s="18" t="s">
        <v>31</v>
      </c>
      <c r="C176" s="19" t="s">
        <v>54</v>
      </c>
      <c r="D176" s="18" t="s">
        <v>34</v>
      </c>
      <c r="E176" s="3">
        <v>32936000</v>
      </c>
      <c r="F176" s="17">
        <v>43621</v>
      </c>
      <c r="G176" s="3">
        <v>32936000</v>
      </c>
      <c r="H176" s="2">
        <v>1.4999999999999999E-2</v>
      </c>
      <c r="I176" s="17">
        <v>43770</v>
      </c>
      <c r="J176" s="17">
        <v>43799</v>
      </c>
      <c r="K176" s="3">
        <f>J176-I176+1</f>
        <v>30</v>
      </c>
      <c r="L176" s="3">
        <f>ROUND(G176*H176*K176/365,0)</f>
        <v>40606</v>
      </c>
      <c r="M176" s="3">
        <v>32936000</v>
      </c>
    </row>
    <row r="177" spans="1:13" s="16" customFormat="1" outlineLevel="2">
      <c r="A177" s="17" t="s">
        <v>338</v>
      </c>
      <c r="B177" s="18" t="s">
        <v>30</v>
      </c>
      <c r="C177" s="19" t="s">
        <v>54</v>
      </c>
      <c r="D177" s="18" t="s">
        <v>34</v>
      </c>
      <c r="E177" s="3">
        <v>1621000</v>
      </c>
      <c r="F177" s="17">
        <v>43641</v>
      </c>
      <c r="G177" s="3">
        <v>1621000</v>
      </c>
      <c r="H177" s="2">
        <v>1.4999999999999999E-2</v>
      </c>
      <c r="I177" s="17">
        <v>43770</v>
      </c>
      <c r="J177" s="17">
        <v>43799</v>
      </c>
      <c r="K177" s="3">
        <f>J177-I177+1</f>
        <v>30</v>
      </c>
      <c r="L177" s="3">
        <f>ROUND(G177*H177*K177/365,0)</f>
        <v>1998</v>
      </c>
      <c r="M177" s="3">
        <v>1621000</v>
      </c>
    </row>
    <row r="178" spans="1:13" s="16" customFormat="1" outlineLevel="2">
      <c r="A178" s="17" t="s">
        <v>338</v>
      </c>
      <c r="B178" s="18" t="s">
        <v>28</v>
      </c>
      <c r="C178" s="19" t="s">
        <v>54</v>
      </c>
      <c r="D178" s="18" t="s">
        <v>34</v>
      </c>
      <c r="E178" s="3">
        <v>8005000</v>
      </c>
      <c r="F178" s="17">
        <v>43651</v>
      </c>
      <c r="G178" s="3">
        <v>8005000</v>
      </c>
      <c r="H178" s="2">
        <v>1.4999999999999999E-2</v>
      </c>
      <c r="I178" s="17">
        <v>43770</v>
      </c>
      <c r="J178" s="17">
        <v>43799</v>
      </c>
      <c r="K178" s="3">
        <f>J178-I178+1</f>
        <v>30</v>
      </c>
      <c r="L178" s="3">
        <f>ROUND(G178*H178*K178/365,0)</f>
        <v>9869</v>
      </c>
      <c r="M178" s="3">
        <v>8005000</v>
      </c>
    </row>
    <row r="179" spans="1:13" s="16" customFormat="1" outlineLevel="2">
      <c r="A179" s="17" t="s">
        <v>338</v>
      </c>
      <c r="B179" s="18" t="s">
        <v>48</v>
      </c>
      <c r="C179" s="19" t="s">
        <v>54</v>
      </c>
      <c r="D179" s="18" t="s">
        <v>34</v>
      </c>
      <c r="E179" s="3">
        <v>90124000</v>
      </c>
      <c r="F179" s="17">
        <v>43661</v>
      </c>
      <c r="G179" s="3">
        <v>90124000</v>
      </c>
      <c r="H179" s="2">
        <v>1.4999999999999999E-2</v>
      </c>
      <c r="I179" s="17">
        <v>43770</v>
      </c>
      <c r="J179" s="17">
        <v>43799</v>
      </c>
      <c r="K179" s="3">
        <f>J179-I179+1</f>
        <v>30</v>
      </c>
      <c r="L179" s="3">
        <f>ROUND(G179*H179*K179/365,0)</f>
        <v>111112</v>
      </c>
      <c r="M179" s="3">
        <v>90124000</v>
      </c>
    </row>
    <row r="180" spans="1:13" s="16" customFormat="1" outlineLevel="2">
      <c r="A180" s="17" t="s">
        <v>338</v>
      </c>
      <c r="B180" s="18" t="s">
        <v>47</v>
      </c>
      <c r="C180" s="19" t="s">
        <v>54</v>
      </c>
      <c r="D180" s="18" t="s">
        <v>34</v>
      </c>
      <c r="E180" s="3">
        <v>4113000</v>
      </c>
      <c r="F180" s="17">
        <v>43682</v>
      </c>
      <c r="G180" s="3">
        <v>4113000</v>
      </c>
      <c r="H180" s="2">
        <v>1.4999999999999999E-2</v>
      </c>
      <c r="I180" s="17">
        <v>43770</v>
      </c>
      <c r="J180" s="17">
        <v>43799</v>
      </c>
      <c r="K180" s="3">
        <f>J180-I180+1</f>
        <v>30</v>
      </c>
      <c r="L180" s="3">
        <f>ROUND(G180*H180*K180/365,0)</f>
        <v>5071</v>
      </c>
      <c r="M180" s="3">
        <v>4113000</v>
      </c>
    </row>
    <row r="181" spans="1:13" s="16" customFormat="1" outlineLevel="2">
      <c r="A181" s="17" t="s">
        <v>338</v>
      </c>
      <c r="B181" s="18" t="s">
        <v>46</v>
      </c>
      <c r="C181" s="19" t="s">
        <v>54</v>
      </c>
      <c r="D181" s="18" t="s">
        <v>34</v>
      </c>
      <c r="E181" s="3">
        <v>166000</v>
      </c>
      <c r="F181" s="17">
        <v>43692</v>
      </c>
      <c r="G181" s="3">
        <v>166000</v>
      </c>
      <c r="H181" s="2">
        <v>1.4999999999999999E-2</v>
      </c>
      <c r="I181" s="17">
        <v>43770</v>
      </c>
      <c r="J181" s="17">
        <v>43799</v>
      </c>
      <c r="K181" s="3">
        <f>J181-I181+1</f>
        <v>30</v>
      </c>
      <c r="L181" s="3">
        <f>ROUND(G181*H181*K181/365,0)</f>
        <v>205</v>
      </c>
      <c r="M181" s="3">
        <v>166000</v>
      </c>
    </row>
    <row r="182" spans="1:13" s="16" customFormat="1" outlineLevel="2">
      <c r="A182" s="17" t="s">
        <v>338</v>
      </c>
      <c r="B182" s="18" t="s">
        <v>45</v>
      </c>
      <c r="C182" s="19" t="s">
        <v>54</v>
      </c>
      <c r="D182" s="18" t="s">
        <v>34</v>
      </c>
      <c r="E182" s="3">
        <v>1538000</v>
      </c>
      <c r="F182" s="17">
        <v>43703</v>
      </c>
      <c r="G182" s="3">
        <v>1538000</v>
      </c>
      <c r="H182" s="2">
        <v>1.4999999999999999E-2</v>
      </c>
      <c r="I182" s="17">
        <v>43770</v>
      </c>
      <c r="J182" s="17">
        <v>43799</v>
      </c>
      <c r="K182" s="3">
        <f>J182-I182+1</f>
        <v>30</v>
      </c>
      <c r="L182" s="3">
        <f>ROUND(G182*H182*K182/365,0)</f>
        <v>1896</v>
      </c>
      <c r="M182" s="3">
        <v>1538000</v>
      </c>
    </row>
    <row r="183" spans="1:13" s="16" customFormat="1" outlineLevel="2">
      <c r="A183" s="17" t="s">
        <v>338</v>
      </c>
      <c r="B183" s="18" t="s">
        <v>44</v>
      </c>
      <c r="C183" s="19" t="s">
        <v>54</v>
      </c>
      <c r="D183" s="18" t="s">
        <v>34</v>
      </c>
      <c r="E183" s="3">
        <v>13954000</v>
      </c>
      <c r="F183" s="17">
        <v>43713</v>
      </c>
      <c r="G183" s="3">
        <v>13954000</v>
      </c>
      <c r="H183" s="2">
        <v>1.4999999999999999E-2</v>
      </c>
      <c r="I183" s="17">
        <v>43770</v>
      </c>
      <c r="J183" s="17">
        <v>43799</v>
      </c>
      <c r="K183" s="3">
        <f>J183-I183+1</f>
        <v>30</v>
      </c>
      <c r="L183" s="3">
        <f>ROUND(G183*H183*K183/365,0)</f>
        <v>17204</v>
      </c>
      <c r="M183" s="3">
        <v>13954000</v>
      </c>
    </row>
    <row r="184" spans="1:13" s="16" customFormat="1" outlineLevel="1">
      <c r="A184" s="28" t="s">
        <v>337</v>
      </c>
      <c r="B184" s="21"/>
      <c r="C184" s="22"/>
      <c r="D184" s="21"/>
      <c r="E184" s="23">
        <f>SUBTOTAL(9,E166:E183)</f>
        <v>288071000</v>
      </c>
      <c r="F184" s="20"/>
      <c r="G184" s="23"/>
      <c r="H184" s="24"/>
      <c r="I184" s="20"/>
      <c r="J184" s="20"/>
      <c r="K184" s="23"/>
      <c r="L184" s="23">
        <f>SUBTOTAL(9,L166:L183)</f>
        <v>324259</v>
      </c>
      <c r="M184" s="23">
        <f>SUBTOTAL(9,M166:M183)</f>
        <v>287475761</v>
      </c>
    </row>
    <row r="185" spans="1:13" s="16" customFormat="1" outlineLevel="2">
      <c r="A185" s="17" t="s">
        <v>336</v>
      </c>
      <c r="B185" s="18" t="s">
        <v>17</v>
      </c>
      <c r="C185" s="19" t="s">
        <v>51</v>
      </c>
      <c r="D185" s="18" t="s">
        <v>50</v>
      </c>
      <c r="E185" s="3">
        <v>200000000</v>
      </c>
      <c r="F185" s="17">
        <v>43620</v>
      </c>
      <c r="G185" s="3">
        <v>200000000</v>
      </c>
      <c r="H185" s="2">
        <v>1.4999999999999999E-2</v>
      </c>
      <c r="I185" s="17">
        <v>43770</v>
      </c>
      <c r="J185" s="17">
        <v>43799</v>
      </c>
      <c r="K185" s="3">
        <f>J185-I185+1</f>
        <v>30</v>
      </c>
      <c r="L185" s="3">
        <f>ROUND(G185*H185*K185/365,0)</f>
        <v>246575</v>
      </c>
      <c r="M185" s="3">
        <v>200000000</v>
      </c>
    </row>
    <row r="186" spans="1:13" s="16" customFormat="1" outlineLevel="2">
      <c r="A186" s="17" t="s">
        <v>336</v>
      </c>
      <c r="B186" s="18" t="s">
        <v>181</v>
      </c>
      <c r="C186" s="19" t="s">
        <v>311</v>
      </c>
      <c r="D186" s="18" t="s">
        <v>200</v>
      </c>
      <c r="E186" s="3">
        <v>108216030</v>
      </c>
      <c r="F186" s="17">
        <v>43754</v>
      </c>
      <c r="G186" s="3">
        <v>108216030</v>
      </c>
      <c r="H186" s="2">
        <v>5.0000000000000001E-3</v>
      </c>
      <c r="I186" s="17">
        <v>43770</v>
      </c>
      <c r="J186" s="17">
        <v>43799</v>
      </c>
      <c r="K186" s="3">
        <f>J186-I186+1</f>
        <v>30</v>
      </c>
      <c r="L186" s="3">
        <f>ROUND(G186*H186*K186/365,0)</f>
        <v>44472</v>
      </c>
      <c r="M186" s="3">
        <v>108216030</v>
      </c>
    </row>
    <row r="187" spans="1:13" s="16" customFormat="1" outlineLevel="2">
      <c r="A187" s="17" t="s">
        <v>336</v>
      </c>
      <c r="B187" s="18" t="s">
        <v>180</v>
      </c>
      <c r="C187" s="19" t="s">
        <v>311</v>
      </c>
      <c r="D187" s="18" t="s">
        <v>200</v>
      </c>
      <c r="E187" s="3">
        <v>35200000</v>
      </c>
      <c r="F187" s="17">
        <v>43756</v>
      </c>
      <c r="G187" s="3">
        <v>35200000</v>
      </c>
      <c r="H187" s="2">
        <v>5.0000000000000001E-3</v>
      </c>
      <c r="I187" s="17">
        <v>43770</v>
      </c>
      <c r="J187" s="17">
        <v>43799</v>
      </c>
      <c r="K187" s="3">
        <f>J187-I187+1</f>
        <v>30</v>
      </c>
      <c r="L187" s="3">
        <f>ROUND(G187*H187*K187/365,0)</f>
        <v>14466</v>
      </c>
      <c r="M187" s="3">
        <v>35200000</v>
      </c>
    </row>
    <row r="188" spans="1:13" s="16" customFormat="1" outlineLevel="2">
      <c r="A188" s="17" t="s">
        <v>336</v>
      </c>
      <c r="B188" s="18" t="s">
        <v>179</v>
      </c>
      <c r="C188" s="19" t="s">
        <v>278</v>
      </c>
      <c r="D188" s="18" t="s">
        <v>277</v>
      </c>
      <c r="E188" s="3">
        <v>30000000</v>
      </c>
      <c r="F188" s="17">
        <v>43767</v>
      </c>
      <c r="G188" s="3">
        <v>30000000</v>
      </c>
      <c r="H188" s="2">
        <v>5.0000000000000001E-3</v>
      </c>
      <c r="I188" s="17">
        <v>43770</v>
      </c>
      <c r="J188" s="17">
        <v>43799</v>
      </c>
      <c r="K188" s="3">
        <f>J188-I188+1</f>
        <v>30</v>
      </c>
      <c r="L188" s="3">
        <f>ROUND(G188*H188*K188/365,0)</f>
        <v>12329</v>
      </c>
      <c r="M188" s="3">
        <v>30000000</v>
      </c>
    </row>
    <row r="189" spans="1:13" s="16" customFormat="1" outlineLevel="2">
      <c r="A189" s="17" t="s">
        <v>336</v>
      </c>
      <c r="B189" s="18" t="s">
        <v>178</v>
      </c>
      <c r="C189" s="19" t="s">
        <v>311</v>
      </c>
      <c r="D189" s="18" t="s">
        <v>200</v>
      </c>
      <c r="E189" s="3">
        <v>46000000</v>
      </c>
      <c r="F189" s="17">
        <v>43770</v>
      </c>
      <c r="G189" s="3">
        <v>46000000</v>
      </c>
      <c r="H189" s="2">
        <v>5.0000000000000001E-3</v>
      </c>
      <c r="I189" s="17">
        <v>43770</v>
      </c>
      <c r="J189" s="17">
        <v>43799</v>
      </c>
      <c r="K189" s="3">
        <f>J189-I189+1</f>
        <v>30</v>
      </c>
      <c r="L189" s="3">
        <f>ROUND(G189*H189*K189/365,0)</f>
        <v>18904</v>
      </c>
      <c r="M189" s="3">
        <v>46000000</v>
      </c>
    </row>
    <row r="190" spans="1:13" s="16" customFormat="1" outlineLevel="2">
      <c r="A190" s="17" t="s">
        <v>336</v>
      </c>
      <c r="B190" s="18" t="s">
        <v>177</v>
      </c>
      <c r="C190" s="19" t="s">
        <v>311</v>
      </c>
      <c r="D190" s="18" t="s">
        <v>200</v>
      </c>
      <c r="E190" s="3">
        <v>83000000</v>
      </c>
      <c r="F190" s="17">
        <v>43775</v>
      </c>
      <c r="G190" s="3">
        <v>83000000</v>
      </c>
      <c r="H190" s="2">
        <v>5.0000000000000001E-3</v>
      </c>
      <c r="I190" s="17">
        <v>43775</v>
      </c>
      <c r="J190" s="17">
        <v>43799</v>
      </c>
      <c r="K190" s="3">
        <f>J190-I190+1</f>
        <v>25</v>
      </c>
      <c r="L190" s="3">
        <f>ROUND(G190*H190*K190/365,0)</f>
        <v>28425</v>
      </c>
      <c r="M190" s="3">
        <v>83000000</v>
      </c>
    </row>
    <row r="191" spans="1:13" s="16" customFormat="1" outlineLevel="2">
      <c r="A191" s="17" t="s">
        <v>336</v>
      </c>
      <c r="B191" s="18" t="s">
        <v>31</v>
      </c>
      <c r="C191" s="19" t="s">
        <v>51</v>
      </c>
      <c r="D191" s="18" t="s">
        <v>50</v>
      </c>
      <c r="E191" s="3">
        <v>170000000</v>
      </c>
      <c r="F191" s="17">
        <v>43643</v>
      </c>
      <c r="G191" s="3">
        <v>170000000</v>
      </c>
      <c r="H191" s="2">
        <v>1.4999999999999999E-2</v>
      </c>
      <c r="I191" s="17">
        <v>43770</v>
      </c>
      <c r="J191" s="17">
        <v>43799</v>
      </c>
      <c r="K191" s="3">
        <f>J191-I191+1</f>
        <v>30</v>
      </c>
      <c r="L191" s="3">
        <f>ROUND(G191*H191*K191/365,0)</f>
        <v>209589</v>
      </c>
      <c r="M191" s="3">
        <v>170000000</v>
      </c>
    </row>
    <row r="192" spans="1:13" s="16" customFormat="1" outlineLevel="2">
      <c r="A192" s="17" t="s">
        <v>336</v>
      </c>
      <c r="B192" s="18" t="s">
        <v>30</v>
      </c>
      <c r="C192" s="19" t="s">
        <v>51</v>
      </c>
      <c r="D192" s="18" t="s">
        <v>50</v>
      </c>
      <c r="E192" s="3">
        <v>670000000</v>
      </c>
      <c r="F192" s="17">
        <v>43670</v>
      </c>
      <c r="G192" s="3">
        <v>670000000</v>
      </c>
      <c r="H192" s="2">
        <v>1.4999999999999999E-2</v>
      </c>
      <c r="I192" s="17">
        <v>43770</v>
      </c>
      <c r="J192" s="17">
        <v>43799</v>
      </c>
      <c r="K192" s="3">
        <f>J192-I192+1</f>
        <v>30</v>
      </c>
      <c r="L192" s="3">
        <f>ROUND(G192*H192*K192/365,0)</f>
        <v>826027</v>
      </c>
      <c r="M192" s="3">
        <v>670000000</v>
      </c>
    </row>
    <row r="193" spans="1:13" s="16" customFormat="1" outlineLevel="2">
      <c r="A193" s="17" t="s">
        <v>336</v>
      </c>
      <c r="B193" s="18" t="s">
        <v>28</v>
      </c>
      <c r="C193" s="19" t="s">
        <v>51</v>
      </c>
      <c r="D193" s="18" t="s">
        <v>50</v>
      </c>
      <c r="E193" s="3">
        <v>330000000</v>
      </c>
      <c r="F193" s="17">
        <v>43677</v>
      </c>
      <c r="G193" s="3">
        <v>330000000</v>
      </c>
      <c r="H193" s="2">
        <v>1.4999999999999999E-2</v>
      </c>
      <c r="I193" s="17">
        <v>43770</v>
      </c>
      <c r="J193" s="17">
        <v>43799</v>
      </c>
      <c r="K193" s="3">
        <f>J193-I193+1</f>
        <v>30</v>
      </c>
      <c r="L193" s="3">
        <f>ROUND(G193*H193*K193/365,0)</f>
        <v>406849</v>
      </c>
      <c r="M193" s="3">
        <v>330000000</v>
      </c>
    </row>
    <row r="194" spans="1:13" s="16" customFormat="1" outlineLevel="2">
      <c r="A194" s="17" t="s">
        <v>336</v>
      </c>
      <c r="B194" s="18" t="s">
        <v>48</v>
      </c>
      <c r="C194" s="19" t="s">
        <v>150</v>
      </c>
      <c r="D194" s="18" t="s">
        <v>149</v>
      </c>
      <c r="E194" s="3">
        <v>1323000</v>
      </c>
      <c r="F194" s="17">
        <v>43728</v>
      </c>
      <c r="G194" s="3">
        <v>1323000</v>
      </c>
      <c r="H194" s="2">
        <v>3.0000000000000001E-3</v>
      </c>
      <c r="I194" s="17">
        <v>43770</v>
      </c>
      <c r="J194" s="17">
        <v>43799</v>
      </c>
      <c r="K194" s="3">
        <f>J194-I194+1</f>
        <v>30</v>
      </c>
      <c r="L194" s="3">
        <f>ROUND(G194*H194*K194/365,0)</f>
        <v>326</v>
      </c>
      <c r="M194" s="3">
        <v>1323000</v>
      </c>
    </row>
    <row r="195" spans="1:13" s="16" customFormat="1" outlineLevel="2">
      <c r="A195" s="17" t="s">
        <v>336</v>
      </c>
      <c r="B195" s="18" t="s">
        <v>47</v>
      </c>
      <c r="C195" s="19" t="s">
        <v>278</v>
      </c>
      <c r="D195" s="18" t="s">
        <v>277</v>
      </c>
      <c r="E195" s="3">
        <v>122100000</v>
      </c>
      <c r="F195" s="17">
        <v>43734</v>
      </c>
      <c r="G195" s="3">
        <v>122100000</v>
      </c>
      <c r="H195" s="2">
        <v>5.0000000000000001E-3</v>
      </c>
      <c r="I195" s="17">
        <v>43770</v>
      </c>
      <c r="J195" s="17">
        <v>43799</v>
      </c>
      <c r="K195" s="3">
        <f>J195-I195+1</f>
        <v>30</v>
      </c>
      <c r="L195" s="3">
        <f>ROUND(G195*H195*K195/365,0)</f>
        <v>50178</v>
      </c>
      <c r="M195" s="3">
        <v>122100000</v>
      </c>
    </row>
    <row r="196" spans="1:13" s="16" customFormat="1" outlineLevel="2">
      <c r="A196" s="17" t="s">
        <v>336</v>
      </c>
      <c r="B196" s="18" t="s">
        <v>46</v>
      </c>
      <c r="C196" s="19" t="s">
        <v>276</v>
      </c>
      <c r="D196" s="18" t="s">
        <v>275</v>
      </c>
      <c r="E196" s="3">
        <v>282000000</v>
      </c>
      <c r="F196" s="17">
        <v>43728</v>
      </c>
      <c r="G196" s="3">
        <v>282000000</v>
      </c>
      <c r="H196" s="2">
        <v>5.0000000000000001E-3</v>
      </c>
      <c r="I196" s="17">
        <v>43770</v>
      </c>
      <c r="J196" s="17">
        <v>43799</v>
      </c>
      <c r="K196" s="3">
        <f>J196-I196+1</f>
        <v>30</v>
      </c>
      <c r="L196" s="3">
        <f>ROUND(G196*H196*K196/365,0)</f>
        <v>115890</v>
      </c>
      <c r="M196" s="3">
        <v>282000000</v>
      </c>
    </row>
    <row r="197" spans="1:13" s="16" customFormat="1" outlineLevel="2">
      <c r="A197" s="17" t="s">
        <v>336</v>
      </c>
      <c r="B197" s="18" t="s">
        <v>45</v>
      </c>
      <c r="C197" s="19" t="s">
        <v>188</v>
      </c>
      <c r="D197" s="18" t="s">
        <v>187</v>
      </c>
      <c r="E197" s="3">
        <v>237000</v>
      </c>
      <c r="F197" s="17">
        <v>43769</v>
      </c>
      <c r="G197" s="3">
        <v>237000</v>
      </c>
      <c r="H197" s="2">
        <v>3.0000000000000001E-3</v>
      </c>
      <c r="I197" s="17">
        <v>43770</v>
      </c>
      <c r="J197" s="17">
        <v>43799</v>
      </c>
      <c r="K197" s="3">
        <f>J197-I197+1</f>
        <v>30</v>
      </c>
      <c r="L197" s="3">
        <f>ROUND(G197*H197*K197/365,0)</f>
        <v>58</v>
      </c>
      <c r="M197" s="3">
        <v>237000</v>
      </c>
    </row>
    <row r="198" spans="1:13" s="16" customFormat="1" outlineLevel="2">
      <c r="A198" s="17" t="s">
        <v>336</v>
      </c>
      <c r="B198" s="18" t="s">
        <v>44</v>
      </c>
      <c r="C198" s="19" t="s">
        <v>310</v>
      </c>
      <c r="D198" s="18" t="s">
        <v>309</v>
      </c>
      <c r="E198" s="3">
        <v>500000000</v>
      </c>
      <c r="F198" s="17">
        <v>43753</v>
      </c>
      <c r="G198" s="3">
        <v>500000000</v>
      </c>
      <c r="H198" s="2">
        <v>5.0000000000000001E-3</v>
      </c>
      <c r="I198" s="17">
        <v>43770</v>
      </c>
      <c r="J198" s="17">
        <v>43799</v>
      </c>
      <c r="K198" s="3">
        <f>J198-I198+1</f>
        <v>30</v>
      </c>
      <c r="L198" s="3">
        <f>ROUND(G198*H198*K198/365,0)</f>
        <v>205479</v>
      </c>
      <c r="M198" s="3">
        <v>500000000</v>
      </c>
    </row>
    <row r="199" spans="1:13" s="16" customFormat="1" outlineLevel="1">
      <c r="A199" s="28" t="s">
        <v>335</v>
      </c>
      <c r="B199" s="21"/>
      <c r="C199" s="22"/>
      <c r="D199" s="21"/>
      <c r="E199" s="23">
        <f>SUBTOTAL(9,E185:E198)</f>
        <v>2578076030</v>
      </c>
      <c r="F199" s="20"/>
      <c r="G199" s="23"/>
      <c r="H199" s="24"/>
      <c r="I199" s="20"/>
      <c r="J199" s="20"/>
      <c r="K199" s="23"/>
      <c r="L199" s="23">
        <f>SUBTOTAL(9,L185:L198)</f>
        <v>2179567</v>
      </c>
      <c r="M199" s="23">
        <f>SUBTOTAL(9,M185:M198)</f>
        <v>2578076030</v>
      </c>
    </row>
    <row r="200" spans="1:13" s="16" customFormat="1" outlineLevel="2">
      <c r="A200" s="17" t="s">
        <v>334</v>
      </c>
      <c r="B200" s="18" t="s">
        <v>17</v>
      </c>
      <c r="C200" s="19" t="s">
        <v>230</v>
      </c>
      <c r="D200" s="18" t="s">
        <v>229</v>
      </c>
      <c r="E200" s="3">
        <v>63000000</v>
      </c>
      <c r="F200" s="17">
        <v>43732</v>
      </c>
      <c r="G200" s="3">
        <v>63000000</v>
      </c>
      <c r="H200" s="2">
        <v>5.0000000000000001E-3</v>
      </c>
      <c r="I200" s="17">
        <v>43770</v>
      </c>
      <c r="J200" s="17">
        <v>43799</v>
      </c>
      <c r="K200" s="3">
        <f>J200-I200+1</f>
        <v>30</v>
      </c>
      <c r="L200" s="3">
        <f>ROUND(G200*H200*K200/365,0)</f>
        <v>25890</v>
      </c>
      <c r="M200" s="3">
        <v>63000000</v>
      </c>
    </row>
    <row r="201" spans="1:13" s="16" customFormat="1" outlineLevel="2">
      <c r="A201" s="17" t="s">
        <v>334</v>
      </c>
      <c r="B201" s="18" t="s">
        <v>31</v>
      </c>
      <c r="C201" s="19" t="s">
        <v>230</v>
      </c>
      <c r="D201" s="18" t="s">
        <v>229</v>
      </c>
      <c r="E201" s="3">
        <v>6440000</v>
      </c>
      <c r="F201" s="17">
        <v>43783</v>
      </c>
      <c r="G201" s="3">
        <v>6440000</v>
      </c>
      <c r="H201" s="2">
        <v>5.0000000000000001E-3</v>
      </c>
      <c r="I201" s="17">
        <v>43783</v>
      </c>
      <c r="J201" s="17">
        <v>43799</v>
      </c>
      <c r="K201" s="3">
        <f>J201-I201+1</f>
        <v>17</v>
      </c>
      <c r="L201" s="3">
        <f>ROUND(G201*H201*K201/365,0)</f>
        <v>1500</v>
      </c>
      <c r="M201" s="3">
        <v>6440000</v>
      </c>
    </row>
    <row r="202" spans="1:13" s="16" customFormat="1" outlineLevel="1">
      <c r="A202" s="28" t="s">
        <v>333</v>
      </c>
      <c r="B202" s="21"/>
      <c r="C202" s="22"/>
      <c r="D202" s="21"/>
      <c r="E202" s="23">
        <f>SUBTOTAL(9,E200:E201)</f>
        <v>69440000</v>
      </c>
      <c r="F202" s="20"/>
      <c r="G202" s="23"/>
      <c r="H202" s="24"/>
      <c r="I202" s="20"/>
      <c r="J202" s="20"/>
      <c r="K202" s="23"/>
      <c r="L202" s="23">
        <f>SUBTOTAL(9,L200:L201)</f>
        <v>27390</v>
      </c>
      <c r="M202" s="23">
        <f>SUBTOTAL(9,M200:M201)</f>
        <v>69440000</v>
      </c>
    </row>
    <row r="203" spans="1:13" s="16" customFormat="1" outlineLevel="2">
      <c r="A203" s="17" t="s">
        <v>65</v>
      </c>
      <c r="B203" s="18" t="s">
        <v>17</v>
      </c>
      <c r="C203" s="19" t="s">
        <v>51</v>
      </c>
      <c r="D203" s="18" t="s">
        <v>50</v>
      </c>
      <c r="E203" s="3">
        <v>500000000</v>
      </c>
      <c r="F203" s="17">
        <v>43635</v>
      </c>
      <c r="G203" s="3">
        <v>500000000</v>
      </c>
      <c r="H203" s="2">
        <v>1.4999999999999999E-2</v>
      </c>
      <c r="I203" s="17">
        <v>43770</v>
      </c>
      <c r="J203" s="17">
        <v>43799</v>
      </c>
      <c r="K203" s="3">
        <f>J203-I203+1</f>
        <v>30</v>
      </c>
      <c r="L203" s="3">
        <f>ROUND(G203*H203*K203/365,0)</f>
        <v>616438</v>
      </c>
      <c r="M203" s="3">
        <v>500000000</v>
      </c>
    </row>
    <row r="204" spans="1:13" s="16" customFormat="1" outlineLevel="2">
      <c r="A204" s="17" t="s">
        <v>65</v>
      </c>
      <c r="B204" s="18" t="s">
        <v>181</v>
      </c>
      <c r="C204" s="19" t="s">
        <v>206</v>
      </c>
      <c r="D204" s="18" t="s">
        <v>38</v>
      </c>
      <c r="E204" s="3">
        <v>200000000</v>
      </c>
      <c r="F204" s="17">
        <v>43706</v>
      </c>
      <c r="G204" s="3">
        <v>200000000</v>
      </c>
      <c r="H204" s="2">
        <v>1.4999999999999999E-2</v>
      </c>
      <c r="I204" s="17">
        <v>43770</v>
      </c>
      <c r="J204" s="17">
        <v>43799</v>
      </c>
      <c r="K204" s="3">
        <f>J204-I204+1</f>
        <v>30</v>
      </c>
      <c r="L204" s="3">
        <f>ROUND(G204*H204*K204/365,0)</f>
        <v>246575</v>
      </c>
      <c r="M204" s="3">
        <v>200000000</v>
      </c>
    </row>
    <row r="205" spans="1:13" s="16" customFormat="1" outlineLevel="2">
      <c r="A205" s="17" t="s">
        <v>65</v>
      </c>
      <c r="B205" s="18" t="s">
        <v>180</v>
      </c>
      <c r="C205" s="19" t="s">
        <v>210</v>
      </c>
      <c r="D205" s="18" t="s">
        <v>209</v>
      </c>
      <c r="E205" s="3">
        <v>3000000</v>
      </c>
      <c r="F205" s="17">
        <v>43682</v>
      </c>
      <c r="G205" s="3">
        <v>3000000</v>
      </c>
      <c r="H205" s="2">
        <v>5.0000000000000001E-3</v>
      </c>
      <c r="I205" s="17">
        <v>43770</v>
      </c>
      <c r="J205" s="17">
        <v>43799</v>
      </c>
      <c r="K205" s="3">
        <f>J205-I205+1</f>
        <v>30</v>
      </c>
      <c r="L205" s="3">
        <f>ROUND(G205*H205*K205/365,0)</f>
        <v>1233</v>
      </c>
      <c r="M205" s="3">
        <v>3000000</v>
      </c>
    </row>
    <row r="206" spans="1:13" s="16" customFormat="1" outlineLevel="2">
      <c r="A206" s="17" t="s">
        <v>65</v>
      </c>
      <c r="B206" s="18" t="s">
        <v>179</v>
      </c>
      <c r="C206" s="19" t="s">
        <v>210</v>
      </c>
      <c r="D206" s="18" t="s">
        <v>209</v>
      </c>
      <c r="E206" s="3">
        <v>23000000</v>
      </c>
      <c r="F206" s="17">
        <v>43706</v>
      </c>
      <c r="G206" s="3">
        <v>23000000</v>
      </c>
      <c r="H206" s="2">
        <v>5.0000000000000001E-3</v>
      </c>
      <c r="I206" s="17">
        <v>43770</v>
      </c>
      <c r="J206" s="17">
        <v>43799</v>
      </c>
      <c r="K206" s="3">
        <f>J206-I206+1</f>
        <v>30</v>
      </c>
      <c r="L206" s="3">
        <f>ROUND(G206*H206*K206/365,0)</f>
        <v>9452</v>
      </c>
      <c r="M206" s="3">
        <v>23000000</v>
      </c>
    </row>
    <row r="207" spans="1:13" s="16" customFormat="1" outlineLevel="2">
      <c r="A207" s="17" t="s">
        <v>65</v>
      </c>
      <c r="B207" s="18" t="s">
        <v>178</v>
      </c>
      <c r="C207" s="19" t="s">
        <v>150</v>
      </c>
      <c r="D207" s="18" t="s">
        <v>149</v>
      </c>
      <c r="E207" s="3">
        <v>6128640</v>
      </c>
      <c r="F207" s="17">
        <v>43728</v>
      </c>
      <c r="G207" s="3">
        <v>6128640</v>
      </c>
      <c r="H207" s="2">
        <v>3.0000000000000001E-3</v>
      </c>
      <c r="I207" s="17">
        <v>43770</v>
      </c>
      <c r="J207" s="17">
        <v>43799</v>
      </c>
      <c r="K207" s="3">
        <f>J207-I207+1</f>
        <v>30</v>
      </c>
      <c r="L207" s="3">
        <f>ROUND(G207*H207*K207/365,0)</f>
        <v>1511</v>
      </c>
      <c r="M207" s="3">
        <v>6128640</v>
      </c>
    </row>
    <row r="208" spans="1:13" s="16" customFormat="1" outlineLevel="2">
      <c r="A208" s="17" t="s">
        <v>65</v>
      </c>
      <c r="B208" s="18" t="s">
        <v>177</v>
      </c>
      <c r="C208" s="19" t="s">
        <v>206</v>
      </c>
      <c r="D208" s="18" t="s">
        <v>38</v>
      </c>
      <c r="E208" s="3">
        <v>120000000</v>
      </c>
      <c r="F208" s="17">
        <v>43752</v>
      </c>
      <c r="G208" s="3">
        <v>120000000</v>
      </c>
      <c r="H208" s="2">
        <v>1.4999999999999999E-2</v>
      </c>
      <c r="I208" s="17">
        <v>43770</v>
      </c>
      <c r="J208" s="17">
        <v>43799</v>
      </c>
      <c r="K208" s="3">
        <f>J208-I208+1</f>
        <v>30</v>
      </c>
      <c r="L208" s="3">
        <f>ROUND(G208*H208*K208/365,0)</f>
        <v>147945</v>
      </c>
      <c r="M208" s="3">
        <v>120000000</v>
      </c>
    </row>
    <row r="209" spans="1:13" s="16" customFormat="1" outlineLevel="2">
      <c r="A209" s="17" t="s">
        <v>65</v>
      </c>
      <c r="B209" s="18" t="s">
        <v>176</v>
      </c>
      <c r="C209" s="19" t="s">
        <v>206</v>
      </c>
      <c r="D209" s="18" t="s">
        <v>38</v>
      </c>
      <c r="E209" s="3">
        <v>100000000</v>
      </c>
      <c r="F209" s="17">
        <v>43762</v>
      </c>
      <c r="G209" s="3">
        <v>100000000</v>
      </c>
      <c r="H209" s="2">
        <v>1.4999999999999999E-2</v>
      </c>
      <c r="I209" s="17">
        <v>43770</v>
      </c>
      <c r="J209" s="17">
        <v>43799</v>
      </c>
      <c r="K209" s="3">
        <f>J209-I209+1</f>
        <v>30</v>
      </c>
      <c r="L209" s="3">
        <f>ROUND(G209*H209*K209/365,0)</f>
        <v>123288</v>
      </c>
      <c r="M209" s="3">
        <v>100000000</v>
      </c>
    </row>
    <row r="210" spans="1:13" s="16" customFormat="1" outlineLevel="2">
      <c r="A210" s="17" t="s">
        <v>65</v>
      </c>
      <c r="B210" s="18" t="s">
        <v>175</v>
      </c>
      <c r="C210" s="19" t="s">
        <v>173</v>
      </c>
      <c r="D210" s="18" t="s">
        <v>172</v>
      </c>
      <c r="E210" s="3">
        <v>1200000000</v>
      </c>
      <c r="F210" s="17">
        <v>43763</v>
      </c>
      <c r="G210" s="3">
        <v>1200000000</v>
      </c>
      <c r="H210" s="2">
        <v>1.4999999999999999E-2</v>
      </c>
      <c r="I210" s="17">
        <v>43770</v>
      </c>
      <c r="J210" s="17">
        <v>43799</v>
      </c>
      <c r="K210" s="3">
        <f>J210-I210+1</f>
        <v>30</v>
      </c>
      <c r="L210" s="3">
        <f>ROUND(G210*H210*K210/365,0)</f>
        <v>1479452</v>
      </c>
      <c r="M210" s="3">
        <v>1200000000</v>
      </c>
    </row>
    <row r="211" spans="1:13" s="16" customFormat="1" outlineLevel="2">
      <c r="A211" s="17" t="s">
        <v>65</v>
      </c>
      <c r="B211" s="18" t="s">
        <v>174</v>
      </c>
      <c r="C211" s="19" t="s">
        <v>225</v>
      </c>
      <c r="D211" s="18" t="s">
        <v>224</v>
      </c>
      <c r="E211" s="3">
        <v>50000000</v>
      </c>
      <c r="F211" s="17">
        <v>43752</v>
      </c>
      <c r="G211" s="3">
        <v>50000000</v>
      </c>
      <c r="H211" s="2">
        <v>5.0000000000000001E-3</v>
      </c>
      <c r="I211" s="17">
        <v>43770</v>
      </c>
      <c r="J211" s="17">
        <v>43799</v>
      </c>
      <c r="K211" s="3">
        <f>J211-I211+1</f>
        <v>30</v>
      </c>
      <c r="L211" s="3">
        <f>ROUND(G211*H211*K211/365,0)</f>
        <v>20548</v>
      </c>
      <c r="M211" s="3">
        <v>50000000</v>
      </c>
    </row>
    <row r="212" spans="1:13" s="16" customFormat="1" outlineLevel="2">
      <c r="A212" s="17" t="s">
        <v>65</v>
      </c>
      <c r="B212" s="18" t="s">
        <v>171</v>
      </c>
      <c r="C212" s="19" t="s">
        <v>332</v>
      </c>
      <c r="D212" s="18" t="s">
        <v>331</v>
      </c>
      <c r="E212" s="3">
        <v>44000000</v>
      </c>
      <c r="F212" s="17">
        <v>43747</v>
      </c>
      <c r="G212" s="3">
        <v>44000000</v>
      </c>
      <c r="H212" s="2">
        <v>1.4999999999999999E-2</v>
      </c>
      <c r="I212" s="17">
        <v>43770</v>
      </c>
      <c r="J212" s="17">
        <v>43799</v>
      </c>
      <c r="K212" s="3">
        <f>J212-I212+1</f>
        <v>30</v>
      </c>
      <c r="L212" s="3">
        <f>ROUND(G212*H212*K212/365,0)</f>
        <v>54247</v>
      </c>
      <c r="M212" s="3">
        <v>44000000</v>
      </c>
    </row>
    <row r="213" spans="1:13" s="16" customFormat="1" outlineLevel="2">
      <c r="A213" s="17" t="s">
        <v>65</v>
      </c>
      <c r="B213" s="18" t="s">
        <v>170</v>
      </c>
      <c r="C213" s="19" t="s">
        <v>320</v>
      </c>
      <c r="D213" s="18" t="s">
        <v>319</v>
      </c>
      <c r="E213" s="3">
        <v>14000000</v>
      </c>
      <c r="F213" s="17">
        <v>43769</v>
      </c>
      <c r="G213" s="3">
        <v>14000000</v>
      </c>
      <c r="H213" s="2">
        <v>1.4999999999999999E-2</v>
      </c>
      <c r="I213" s="17">
        <v>43770</v>
      </c>
      <c r="J213" s="17">
        <v>43799</v>
      </c>
      <c r="K213" s="3">
        <f>J213-I213+1</f>
        <v>30</v>
      </c>
      <c r="L213" s="3">
        <f>ROUND(G213*H213*K213/365,0)</f>
        <v>17260</v>
      </c>
      <c r="M213" s="3">
        <v>14000000</v>
      </c>
    </row>
    <row r="214" spans="1:13" s="16" customFormat="1" outlineLevel="2">
      <c r="A214" s="17" t="s">
        <v>65</v>
      </c>
      <c r="B214" s="18" t="s">
        <v>31</v>
      </c>
      <c r="C214" s="19" t="s">
        <v>51</v>
      </c>
      <c r="D214" s="18" t="s">
        <v>50</v>
      </c>
      <c r="E214" s="3">
        <v>200000000</v>
      </c>
      <c r="F214" s="17">
        <v>43644</v>
      </c>
      <c r="G214" s="3">
        <v>200000000</v>
      </c>
      <c r="H214" s="2">
        <v>1.4999999999999999E-2</v>
      </c>
      <c r="I214" s="17">
        <v>43770</v>
      </c>
      <c r="J214" s="17">
        <v>43799</v>
      </c>
      <c r="K214" s="3">
        <f>J214-I214+1</f>
        <v>30</v>
      </c>
      <c r="L214" s="3">
        <f>ROUND(G214*H214*K214/365,0)</f>
        <v>246575</v>
      </c>
      <c r="M214" s="3">
        <v>200000000</v>
      </c>
    </row>
    <row r="215" spans="1:13" s="16" customFormat="1" outlineLevel="2">
      <c r="A215" s="17" t="s">
        <v>65</v>
      </c>
      <c r="B215" s="18" t="s">
        <v>169</v>
      </c>
      <c r="C215" s="19" t="s">
        <v>206</v>
      </c>
      <c r="D215" s="18" t="s">
        <v>38</v>
      </c>
      <c r="E215" s="3">
        <v>200000000</v>
      </c>
      <c r="F215" s="17">
        <v>43797</v>
      </c>
      <c r="G215" s="3">
        <v>200000000</v>
      </c>
      <c r="H215" s="2">
        <v>1.4999999999999999E-2</v>
      </c>
      <c r="I215" s="17">
        <v>43797</v>
      </c>
      <c r="J215" s="17">
        <v>43799</v>
      </c>
      <c r="K215" s="3">
        <f>J215-I215+1</f>
        <v>3</v>
      </c>
      <c r="L215" s="3">
        <f>ROUND(G215*H215*K215/365,0)</f>
        <v>24658</v>
      </c>
      <c r="M215" s="3">
        <v>200000000</v>
      </c>
    </row>
    <row r="216" spans="1:13" s="16" customFormat="1" outlineLevel="2">
      <c r="A216" s="17" t="s">
        <v>65</v>
      </c>
      <c r="B216" s="18" t="s">
        <v>168</v>
      </c>
      <c r="C216" s="19" t="s">
        <v>208</v>
      </c>
      <c r="D216" s="18" t="s">
        <v>207</v>
      </c>
      <c r="E216" s="3">
        <v>40000000</v>
      </c>
      <c r="F216" s="17">
        <v>43797</v>
      </c>
      <c r="G216" s="3">
        <v>40000000</v>
      </c>
      <c r="H216" s="2">
        <v>1.4999999999999999E-2</v>
      </c>
      <c r="I216" s="17">
        <v>43797</v>
      </c>
      <c r="J216" s="17">
        <v>43799</v>
      </c>
      <c r="K216" s="3">
        <f>J216-I216+1</f>
        <v>3</v>
      </c>
      <c r="L216" s="3">
        <f>ROUND(G216*H216*K216/365,0)</f>
        <v>4932</v>
      </c>
      <c r="M216" s="3">
        <v>40000000</v>
      </c>
    </row>
    <row r="217" spans="1:13" s="16" customFormat="1" outlineLevel="2">
      <c r="A217" s="17" t="s">
        <v>65</v>
      </c>
      <c r="B217" s="18" t="s">
        <v>167</v>
      </c>
      <c r="C217" s="19" t="s">
        <v>311</v>
      </c>
      <c r="D217" s="18" t="s">
        <v>200</v>
      </c>
      <c r="E217" s="3">
        <v>13000000</v>
      </c>
      <c r="F217" s="17">
        <v>43774</v>
      </c>
      <c r="G217" s="3">
        <v>13000000</v>
      </c>
      <c r="H217" s="2">
        <v>5.0000000000000001E-3</v>
      </c>
      <c r="I217" s="17">
        <v>43774</v>
      </c>
      <c r="J217" s="17">
        <v>43799</v>
      </c>
      <c r="K217" s="3">
        <f>J217-I217+1</f>
        <v>26</v>
      </c>
      <c r="L217" s="3">
        <f>ROUND(G217*H217*K217/365,0)</f>
        <v>4630</v>
      </c>
      <c r="M217" s="3">
        <v>13000000</v>
      </c>
    </row>
    <row r="218" spans="1:13" s="16" customFormat="1" outlineLevel="2">
      <c r="A218" s="17" t="s">
        <v>65</v>
      </c>
      <c r="B218" s="18" t="s">
        <v>166</v>
      </c>
      <c r="C218" s="19" t="s">
        <v>311</v>
      </c>
      <c r="D218" s="18" t="s">
        <v>200</v>
      </c>
      <c r="E218" s="3">
        <v>16000000</v>
      </c>
      <c r="F218" s="17">
        <v>43788</v>
      </c>
      <c r="G218" s="3">
        <v>16000000</v>
      </c>
      <c r="H218" s="2">
        <v>5.0000000000000001E-3</v>
      </c>
      <c r="I218" s="17">
        <v>43788</v>
      </c>
      <c r="J218" s="17">
        <v>43799</v>
      </c>
      <c r="K218" s="3">
        <f>J218-I218+1</f>
        <v>12</v>
      </c>
      <c r="L218" s="3">
        <f>ROUND(G218*H218*K218/365,0)</f>
        <v>2630</v>
      </c>
      <c r="M218" s="3">
        <v>16000000</v>
      </c>
    </row>
    <row r="219" spans="1:13" s="16" customFormat="1" outlineLevel="2">
      <c r="A219" s="17" t="s">
        <v>65</v>
      </c>
      <c r="B219" s="18" t="s">
        <v>165</v>
      </c>
      <c r="C219" s="19" t="s">
        <v>210</v>
      </c>
      <c r="D219" s="18" t="s">
        <v>209</v>
      </c>
      <c r="E219" s="3">
        <v>14000000</v>
      </c>
      <c r="F219" s="17">
        <v>43770</v>
      </c>
      <c r="G219" s="3">
        <v>14000000</v>
      </c>
      <c r="H219" s="2">
        <v>5.0000000000000001E-3</v>
      </c>
      <c r="I219" s="17">
        <v>43770</v>
      </c>
      <c r="J219" s="17">
        <v>43799</v>
      </c>
      <c r="K219" s="3">
        <f>J219-I219+1</f>
        <v>30</v>
      </c>
      <c r="L219" s="3">
        <f>ROUND(G219*H219*K219/365,0)</f>
        <v>5753</v>
      </c>
      <c r="M219" s="3">
        <v>14000000</v>
      </c>
    </row>
    <row r="220" spans="1:13" s="16" customFormat="1" outlineLevel="2">
      <c r="A220" s="17" t="s">
        <v>65</v>
      </c>
      <c r="B220" s="18" t="s">
        <v>164</v>
      </c>
      <c r="C220" s="19" t="s">
        <v>392</v>
      </c>
      <c r="D220" s="18" t="s">
        <v>391</v>
      </c>
      <c r="E220" s="3">
        <v>65000000</v>
      </c>
      <c r="F220" s="17">
        <v>43798</v>
      </c>
      <c r="G220" s="3">
        <v>65000000</v>
      </c>
      <c r="H220" s="2">
        <v>5.0000000000000001E-3</v>
      </c>
      <c r="I220" s="17">
        <v>43798</v>
      </c>
      <c r="J220" s="17">
        <v>43799</v>
      </c>
      <c r="K220" s="3">
        <f>J220-I220+1</f>
        <v>2</v>
      </c>
      <c r="L220" s="3">
        <f>ROUND(G220*H220*K220/365,0)</f>
        <v>1781</v>
      </c>
      <c r="M220" s="3">
        <v>65000000</v>
      </c>
    </row>
    <row r="221" spans="1:13" s="16" customFormat="1" outlineLevel="2">
      <c r="A221" s="17" t="s">
        <v>65</v>
      </c>
      <c r="B221" s="18" t="s">
        <v>161</v>
      </c>
      <c r="C221" s="19" t="s">
        <v>313</v>
      </c>
      <c r="D221" s="18" t="s">
        <v>312</v>
      </c>
      <c r="E221" s="3">
        <v>20000000</v>
      </c>
      <c r="F221" s="17">
        <v>43770</v>
      </c>
      <c r="G221" s="3">
        <v>20000000</v>
      </c>
      <c r="H221" s="2">
        <v>5.0000000000000001E-3</v>
      </c>
      <c r="I221" s="17">
        <v>43770</v>
      </c>
      <c r="J221" s="17">
        <v>43799</v>
      </c>
      <c r="K221" s="3">
        <f>J221-I221+1</f>
        <v>30</v>
      </c>
      <c r="L221" s="3">
        <f>ROUND(G221*H221*K221/365,0)</f>
        <v>8219</v>
      </c>
      <c r="M221" s="3">
        <v>20000000</v>
      </c>
    </row>
    <row r="222" spans="1:13" s="16" customFormat="1" outlineLevel="2">
      <c r="A222" s="17" t="s">
        <v>65</v>
      </c>
      <c r="B222" s="18" t="s">
        <v>160</v>
      </c>
      <c r="C222" s="19" t="s">
        <v>352</v>
      </c>
      <c r="D222" s="18" t="s">
        <v>351</v>
      </c>
      <c r="E222" s="3">
        <v>6500000</v>
      </c>
      <c r="F222" s="17">
        <v>43781</v>
      </c>
      <c r="G222" s="3">
        <v>6500000</v>
      </c>
      <c r="H222" s="2">
        <v>1.4999999999999999E-2</v>
      </c>
      <c r="I222" s="17">
        <v>43781</v>
      </c>
      <c r="J222" s="17">
        <v>43799</v>
      </c>
      <c r="K222" s="3">
        <f>J222-I222+1</f>
        <v>19</v>
      </c>
      <c r="L222" s="3">
        <f>ROUND(G222*H222*K222/365,0)</f>
        <v>5075</v>
      </c>
      <c r="M222" s="3">
        <v>6500000</v>
      </c>
    </row>
    <row r="223" spans="1:13" s="16" customFormat="1" outlineLevel="2">
      <c r="A223" s="17" t="s">
        <v>65</v>
      </c>
      <c r="B223" s="18" t="s">
        <v>157</v>
      </c>
      <c r="C223" s="19" t="s">
        <v>320</v>
      </c>
      <c r="D223" s="18" t="s">
        <v>319</v>
      </c>
      <c r="E223" s="3">
        <v>18000000</v>
      </c>
      <c r="F223" s="17">
        <v>43797</v>
      </c>
      <c r="G223" s="3">
        <v>18000000</v>
      </c>
      <c r="H223" s="2">
        <v>1.4999999999999999E-2</v>
      </c>
      <c r="I223" s="17">
        <v>43797</v>
      </c>
      <c r="J223" s="17">
        <v>43799</v>
      </c>
      <c r="K223" s="3">
        <f>J223-I223+1</f>
        <v>3</v>
      </c>
      <c r="L223" s="3">
        <f>ROUND(G223*H223*K223/365,0)</f>
        <v>2219</v>
      </c>
      <c r="M223" s="3">
        <v>18000000</v>
      </c>
    </row>
    <row r="224" spans="1:13" s="16" customFormat="1" outlineLevel="2">
      <c r="A224" s="17" t="s">
        <v>65</v>
      </c>
      <c r="B224" s="18" t="s">
        <v>156</v>
      </c>
      <c r="C224" s="19" t="s">
        <v>320</v>
      </c>
      <c r="D224" s="18" t="s">
        <v>319</v>
      </c>
      <c r="E224" s="3">
        <v>7733376</v>
      </c>
      <c r="F224" s="17">
        <v>43780</v>
      </c>
      <c r="G224" s="3">
        <v>7733376</v>
      </c>
      <c r="H224" s="2">
        <v>1.4999999999999999E-2</v>
      </c>
      <c r="I224" s="17">
        <v>43780</v>
      </c>
      <c r="J224" s="17">
        <v>43799</v>
      </c>
      <c r="K224" s="3">
        <f>J224-I224+1</f>
        <v>20</v>
      </c>
      <c r="L224" s="3">
        <f>ROUND(G224*H224*K224/365,0)</f>
        <v>6356</v>
      </c>
      <c r="M224" s="3">
        <v>7733376</v>
      </c>
    </row>
    <row r="225" spans="1:13" s="16" customFormat="1" outlineLevel="2">
      <c r="A225" s="17" t="s">
        <v>65</v>
      </c>
      <c r="B225" s="18" t="s">
        <v>30</v>
      </c>
      <c r="C225" s="19" t="s">
        <v>61</v>
      </c>
      <c r="D225" s="18" t="s">
        <v>60</v>
      </c>
      <c r="E225" s="3">
        <v>150000000</v>
      </c>
      <c r="F225" s="17">
        <v>43635</v>
      </c>
      <c r="G225" s="3">
        <v>150000000</v>
      </c>
      <c r="H225" s="2">
        <v>1.4999999999999999E-2</v>
      </c>
      <c r="I225" s="17">
        <v>43770</v>
      </c>
      <c r="J225" s="17">
        <v>43799</v>
      </c>
      <c r="K225" s="3">
        <f>J225-I225+1</f>
        <v>30</v>
      </c>
      <c r="L225" s="3">
        <f>ROUND(G225*H225*K225/365,0)</f>
        <v>184932</v>
      </c>
      <c r="M225" s="3">
        <v>150000000</v>
      </c>
    </row>
    <row r="226" spans="1:13" s="16" customFormat="1" outlineLevel="2">
      <c r="A226" s="17" t="s">
        <v>65</v>
      </c>
      <c r="B226" s="18" t="s">
        <v>28</v>
      </c>
      <c r="C226" s="19" t="s">
        <v>51</v>
      </c>
      <c r="D226" s="18" t="s">
        <v>50</v>
      </c>
      <c r="E226" s="3">
        <v>400000000</v>
      </c>
      <c r="F226" s="17">
        <v>43663</v>
      </c>
      <c r="G226" s="3">
        <v>400000000</v>
      </c>
      <c r="H226" s="2">
        <v>1.4999999999999999E-2</v>
      </c>
      <c r="I226" s="17">
        <v>43770</v>
      </c>
      <c r="J226" s="17">
        <v>43799</v>
      </c>
      <c r="K226" s="3">
        <f>J226-I226+1</f>
        <v>30</v>
      </c>
      <c r="L226" s="3">
        <f>ROUND(G226*H226*K226/365,0)</f>
        <v>493151</v>
      </c>
      <c r="M226" s="3">
        <v>400000000</v>
      </c>
    </row>
    <row r="227" spans="1:13" s="16" customFormat="1" outlineLevel="2">
      <c r="A227" s="17" t="s">
        <v>65</v>
      </c>
      <c r="B227" s="18" t="s">
        <v>48</v>
      </c>
      <c r="C227" s="19" t="s">
        <v>173</v>
      </c>
      <c r="D227" s="18" t="s">
        <v>172</v>
      </c>
      <c r="E227" s="3">
        <v>1000000000</v>
      </c>
      <c r="F227" s="17">
        <v>43672</v>
      </c>
      <c r="G227" s="3">
        <v>1000000000</v>
      </c>
      <c r="H227" s="2">
        <v>1.4999999999999999E-2</v>
      </c>
      <c r="I227" s="17">
        <v>43770</v>
      </c>
      <c r="J227" s="17">
        <v>43799</v>
      </c>
      <c r="K227" s="3">
        <f>J227-I227+1</f>
        <v>30</v>
      </c>
      <c r="L227" s="3">
        <f>ROUND(G227*H227*K227/365,0)</f>
        <v>1232877</v>
      </c>
      <c r="M227" s="3">
        <v>1000000000</v>
      </c>
    </row>
    <row r="228" spans="1:13" s="16" customFormat="1" outlineLevel="2">
      <c r="A228" s="17" t="s">
        <v>65</v>
      </c>
      <c r="B228" s="18" t="s">
        <v>47</v>
      </c>
      <c r="C228" s="19" t="s">
        <v>208</v>
      </c>
      <c r="D228" s="18" t="s">
        <v>207</v>
      </c>
      <c r="E228" s="3">
        <v>29300670</v>
      </c>
      <c r="F228" s="17">
        <v>43658</v>
      </c>
      <c r="G228" s="3">
        <v>29300670</v>
      </c>
      <c r="H228" s="2">
        <v>1.4999999999999999E-2</v>
      </c>
      <c r="I228" s="17">
        <v>43770</v>
      </c>
      <c r="J228" s="17">
        <v>43799</v>
      </c>
      <c r="K228" s="3">
        <f>J228-I228+1</f>
        <v>30</v>
      </c>
      <c r="L228" s="3">
        <f>ROUND(G228*H228*K228/365,0)</f>
        <v>36124</v>
      </c>
      <c r="M228" s="3">
        <v>29300670</v>
      </c>
    </row>
    <row r="229" spans="1:13" s="16" customFormat="1" outlineLevel="2">
      <c r="A229" s="17" t="s">
        <v>65</v>
      </c>
      <c r="B229" s="18" t="s">
        <v>46</v>
      </c>
      <c r="C229" s="19" t="s">
        <v>61</v>
      </c>
      <c r="D229" s="18" t="s">
        <v>60</v>
      </c>
      <c r="E229" s="3">
        <v>100000000</v>
      </c>
      <c r="F229" s="17">
        <v>43649</v>
      </c>
      <c r="G229" s="3">
        <v>100000000</v>
      </c>
      <c r="H229" s="2">
        <v>1.4999999999999999E-2</v>
      </c>
      <c r="I229" s="17">
        <v>43770</v>
      </c>
      <c r="J229" s="17">
        <v>43799</v>
      </c>
      <c r="K229" s="3">
        <f>J229-I229+1</f>
        <v>30</v>
      </c>
      <c r="L229" s="3">
        <f>ROUND(G229*H229*K229/365,0)</f>
        <v>123288</v>
      </c>
      <c r="M229" s="3">
        <v>100000000</v>
      </c>
    </row>
    <row r="230" spans="1:13" s="16" customFormat="1" outlineLevel="2">
      <c r="A230" s="17" t="s">
        <v>65</v>
      </c>
      <c r="B230" s="18" t="s">
        <v>45</v>
      </c>
      <c r="C230" s="19" t="s">
        <v>206</v>
      </c>
      <c r="D230" s="18" t="s">
        <v>38</v>
      </c>
      <c r="E230" s="3">
        <v>70000000</v>
      </c>
      <c r="F230" s="17">
        <v>43656</v>
      </c>
      <c r="G230" s="3">
        <v>70000000</v>
      </c>
      <c r="H230" s="2">
        <v>1.4999999999999999E-2</v>
      </c>
      <c r="I230" s="17">
        <v>43770</v>
      </c>
      <c r="J230" s="17">
        <v>43799</v>
      </c>
      <c r="K230" s="3">
        <f>J230-I230+1</f>
        <v>30</v>
      </c>
      <c r="L230" s="3">
        <f>ROUND(G230*H230*K230/365,0)</f>
        <v>86301</v>
      </c>
      <c r="M230" s="3">
        <v>70000000</v>
      </c>
    </row>
    <row r="231" spans="1:13" s="16" customFormat="1" outlineLevel="2">
      <c r="A231" s="17" t="s">
        <v>65</v>
      </c>
      <c r="B231" s="18" t="s">
        <v>44</v>
      </c>
      <c r="C231" s="19" t="s">
        <v>206</v>
      </c>
      <c r="D231" s="18" t="s">
        <v>38</v>
      </c>
      <c r="E231" s="3">
        <v>116000000</v>
      </c>
      <c r="F231" s="17">
        <v>43676</v>
      </c>
      <c r="G231" s="3">
        <v>116000000</v>
      </c>
      <c r="H231" s="2">
        <v>1.4999999999999999E-2</v>
      </c>
      <c r="I231" s="17">
        <v>43770</v>
      </c>
      <c r="J231" s="17">
        <v>43799</v>
      </c>
      <c r="K231" s="3">
        <f>J231-I231+1</f>
        <v>30</v>
      </c>
      <c r="L231" s="3">
        <f>ROUND(G231*H231*K231/365,0)</f>
        <v>143014</v>
      </c>
      <c r="M231" s="3">
        <v>116000000</v>
      </c>
    </row>
    <row r="232" spans="1:13" s="16" customFormat="1" outlineLevel="1">
      <c r="A232" s="28" t="s">
        <v>64</v>
      </c>
      <c r="B232" s="21"/>
      <c r="C232" s="22"/>
      <c r="D232" s="21"/>
      <c r="E232" s="23">
        <f>SUBTOTAL(9,E203:E231)</f>
        <v>4725662686</v>
      </c>
      <c r="F232" s="20"/>
      <c r="G232" s="23"/>
      <c r="H232" s="24"/>
      <c r="I232" s="20"/>
      <c r="J232" s="20"/>
      <c r="K232" s="23"/>
      <c r="L232" s="23">
        <f>SUBTOTAL(9,L203:L231)</f>
        <v>5330464</v>
      </c>
      <c r="M232" s="23">
        <f>SUBTOTAL(9,M203:M231)</f>
        <v>4725662686</v>
      </c>
    </row>
    <row r="233" spans="1:13" s="16" customFormat="1" outlineLevel="2">
      <c r="A233" s="17" t="s">
        <v>16</v>
      </c>
      <c r="B233" s="18" t="s">
        <v>17</v>
      </c>
      <c r="C233" s="19" t="s">
        <v>205</v>
      </c>
      <c r="D233" s="18" t="s">
        <v>19</v>
      </c>
      <c r="E233" s="3">
        <v>200000000</v>
      </c>
      <c r="F233" s="17">
        <v>43556</v>
      </c>
      <c r="G233" s="3">
        <v>200000000</v>
      </c>
      <c r="H233" s="2">
        <v>1.4999999999999999E-2</v>
      </c>
      <c r="I233" s="17">
        <v>43770</v>
      </c>
      <c r="J233" s="17">
        <v>43799</v>
      </c>
      <c r="K233" s="3">
        <f>J233-I233+1</f>
        <v>30</v>
      </c>
      <c r="L233" s="3">
        <f>ROUND(G233*H233*K233/365,0)</f>
        <v>246575</v>
      </c>
      <c r="M233" s="3">
        <v>200000000</v>
      </c>
    </row>
    <row r="234" spans="1:13" s="16" customFormat="1" outlineLevel="2">
      <c r="A234" s="17" t="s">
        <v>16</v>
      </c>
      <c r="B234" s="18" t="s">
        <v>181</v>
      </c>
      <c r="C234" s="19" t="s">
        <v>159</v>
      </c>
      <c r="D234" s="18" t="s">
        <v>158</v>
      </c>
      <c r="E234" s="3">
        <v>66532000</v>
      </c>
      <c r="F234" s="17">
        <v>43663</v>
      </c>
      <c r="G234" s="3">
        <v>66532000</v>
      </c>
      <c r="H234" s="2">
        <v>1.4999999999999999E-2</v>
      </c>
      <c r="I234" s="17">
        <v>43770</v>
      </c>
      <c r="J234" s="17">
        <v>43799</v>
      </c>
      <c r="K234" s="3">
        <f>J234-I234+1</f>
        <v>30</v>
      </c>
      <c r="L234" s="3">
        <f>ROUND(G234*H234*K234/365,0)</f>
        <v>82026</v>
      </c>
      <c r="M234" s="3">
        <v>66532000</v>
      </c>
    </row>
    <row r="235" spans="1:13" s="16" customFormat="1" outlineLevel="2">
      <c r="A235" s="17" t="s">
        <v>16</v>
      </c>
      <c r="B235" s="18" t="s">
        <v>180</v>
      </c>
      <c r="C235" s="19" t="s">
        <v>159</v>
      </c>
      <c r="D235" s="18" t="s">
        <v>158</v>
      </c>
      <c r="E235" s="3">
        <v>5530000</v>
      </c>
      <c r="F235" s="17">
        <v>43693</v>
      </c>
      <c r="G235" s="3">
        <v>5530000</v>
      </c>
      <c r="H235" s="2">
        <v>1.4999999999999999E-2</v>
      </c>
      <c r="I235" s="17">
        <v>43770</v>
      </c>
      <c r="J235" s="17">
        <v>43799</v>
      </c>
      <c r="K235" s="3">
        <f>J235-I235+1</f>
        <v>30</v>
      </c>
      <c r="L235" s="3">
        <f>ROUND(G235*H235*K235/365,0)</f>
        <v>6818</v>
      </c>
      <c r="M235" s="3">
        <v>5530000</v>
      </c>
    </row>
    <row r="236" spans="1:13" s="16" customFormat="1" outlineLevel="2">
      <c r="A236" s="17" t="s">
        <v>16</v>
      </c>
      <c r="B236" s="18" t="s">
        <v>179</v>
      </c>
      <c r="C236" s="19" t="s">
        <v>159</v>
      </c>
      <c r="D236" s="18" t="s">
        <v>158</v>
      </c>
      <c r="E236" s="3">
        <v>15172000</v>
      </c>
      <c r="F236" s="17">
        <v>43693</v>
      </c>
      <c r="G236" s="3">
        <v>15172000</v>
      </c>
      <c r="H236" s="2">
        <v>1.4999999999999999E-2</v>
      </c>
      <c r="I236" s="17">
        <v>43770</v>
      </c>
      <c r="J236" s="17">
        <v>43799</v>
      </c>
      <c r="K236" s="3">
        <f>J236-I236+1</f>
        <v>30</v>
      </c>
      <c r="L236" s="3">
        <f>ROUND(G236*H236*K236/365,0)</f>
        <v>18705</v>
      </c>
      <c r="M236" s="3">
        <v>15172000</v>
      </c>
    </row>
    <row r="237" spans="1:13" s="16" customFormat="1" outlineLevel="2">
      <c r="A237" s="17" t="s">
        <v>16</v>
      </c>
      <c r="B237" s="18" t="s">
        <v>178</v>
      </c>
      <c r="C237" s="19" t="s">
        <v>159</v>
      </c>
      <c r="D237" s="18" t="s">
        <v>158</v>
      </c>
      <c r="E237" s="3">
        <v>3062000</v>
      </c>
      <c r="F237" s="17">
        <v>43725</v>
      </c>
      <c r="G237" s="3">
        <v>3062000</v>
      </c>
      <c r="H237" s="2">
        <v>1.4999999999999999E-2</v>
      </c>
      <c r="I237" s="17">
        <v>43770</v>
      </c>
      <c r="J237" s="17">
        <v>43799</v>
      </c>
      <c r="K237" s="3">
        <f>J237-I237+1</f>
        <v>30</v>
      </c>
      <c r="L237" s="3">
        <f>ROUND(G237*H237*K237/365,0)</f>
        <v>3775</v>
      </c>
      <c r="M237" s="3">
        <v>3062000</v>
      </c>
    </row>
    <row r="238" spans="1:13" s="16" customFormat="1" outlineLevel="2">
      <c r="A238" s="17" t="s">
        <v>16</v>
      </c>
      <c r="B238" s="18" t="s">
        <v>177</v>
      </c>
      <c r="C238" s="19" t="s">
        <v>159</v>
      </c>
      <c r="D238" s="18" t="s">
        <v>158</v>
      </c>
      <c r="E238" s="3">
        <v>15763000</v>
      </c>
      <c r="F238" s="17">
        <v>43725</v>
      </c>
      <c r="G238" s="3">
        <v>15763000</v>
      </c>
      <c r="H238" s="2">
        <v>1.4999999999999999E-2</v>
      </c>
      <c r="I238" s="17">
        <v>43770</v>
      </c>
      <c r="J238" s="17">
        <v>43799</v>
      </c>
      <c r="K238" s="3">
        <f>J238-I238+1</f>
        <v>30</v>
      </c>
      <c r="L238" s="3">
        <f>ROUND(G238*H238*K238/365,0)</f>
        <v>19434</v>
      </c>
      <c r="M238" s="3">
        <v>15763000</v>
      </c>
    </row>
    <row r="239" spans="1:13" s="16" customFormat="1" outlineLevel="2">
      <c r="A239" s="17" t="s">
        <v>16</v>
      </c>
      <c r="B239" s="18" t="s">
        <v>176</v>
      </c>
      <c r="C239" s="19" t="s">
        <v>159</v>
      </c>
      <c r="D239" s="18" t="s">
        <v>158</v>
      </c>
      <c r="E239" s="3">
        <v>4888000</v>
      </c>
      <c r="F239" s="17">
        <v>43755</v>
      </c>
      <c r="G239" s="3">
        <v>4888000</v>
      </c>
      <c r="H239" s="2">
        <v>1.4999999999999999E-2</v>
      </c>
      <c r="I239" s="17">
        <v>43770</v>
      </c>
      <c r="J239" s="17">
        <v>43799</v>
      </c>
      <c r="K239" s="3">
        <f>J239-I239+1</f>
        <v>30</v>
      </c>
      <c r="L239" s="3">
        <f>ROUND(G239*H239*K239/365,0)</f>
        <v>6026</v>
      </c>
      <c r="M239" s="3">
        <v>4888000</v>
      </c>
    </row>
    <row r="240" spans="1:13" s="16" customFormat="1" outlineLevel="2">
      <c r="A240" s="17" t="s">
        <v>16</v>
      </c>
      <c r="B240" s="18" t="s">
        <v>175</v>
      </c>
      <c r="C240" s="19" t="s">
        <v>159</v>
      </c>
      <c r="D240" s="18" t="s">
        <v>158</v>
      </c>
      <c r="E240" s="3">
        <v>16419000</v>
      </c>
      <c r="F240" s="17">
        <v>43755</v>
      </c>
      <c r="G240" s="3">
        <v>16419000</v>
      </c>
      <c r="H240" s="2">
        <v>1.4999999999999999E-2</v>
      </c>
      <c r="I240" s="17">
        <v>43770</v>
      </c>
      <c r="J240" s="17">
        <v>43799</v>
      </c>
      <c r="K240" s="3">
        <f>J240-I240+1</f>
        <v>30</v>
      </c>
      <c r="L240" s="3">
        <f>ROUND(G240*H240*K240/365,0)</f>
        <v>20243</v>
      </c>
      <c r="M240" s="3">
        <v>16419000</v>
      </c>
    </row>
    <row r="241" spans="1:13" s="16" customFormat="1" outlineLevel="2">
      <c r="A241" s="17" t="s">
        <v>16</v>
      </c>
      <c r="B241" s="18" t="s">
        <v>174</v>
      </c>
      <c r="C241" s="19" t="s">
        <v>159</v>
      </c>
      <c r="D241" s="18" t="s">
        <v>158</v>
      </c>
      <c r="E241" s="3">
        <v>5291000</v>
      </c>
      <c r="F241" s="17">
        <v>43784</v>
      </c>
      <c r="G241" s="3">
        <v>5291000</v>
      </c>
      <c r="H241" s="2">
        <v>1.4999999999999999E-2</v>
      </c>
      <c r="I241" s="17">
        <v>43784</v>
      </c>
      <c r="J241" s="17">
        <v>43799</v>
      </c>
      <c r="K241" s="3">
        <f>J241-I241+1</f>
        <v>16</v>
      </c>
      <c r="L241" s="3">
        <f>ROUND(G241*H241*K241/365,0)</f>
        <v>3479</v>
      </c>
      <c r="M241" s="3">
        <v>5291000</v>
      </c>
    </row>
    <row r="242" spans="1:13" s="16" customFormat="1" outlineLevel="2">
      <c r="A242" s="17" t="s">
        <v>16</v>
      </c>
      <c r="B242" s="18" t="s">
        <v>171</v>
      </c>
      <c r="C242" s="19" t="s">
        <v>159</v>
      </c>
      <c r="D242" s="18" t="s">
        <v>158</v>
      </c>
      <c r="E242" s="3">
        <v>9956000</v>
      </c>
      <c r="F242" s="17">
        <v>43784</v>
      </c>
      <c r="G242" s="3">
        <v>9956000</v>
      </c>
      <c r="H242" s="2">
        <v>1.4999999999999999E-2</v>
      </c>
      <c r="I242" s="17">
        <v>43784</v>
      </c>
      <c r="J242" s="17">
        <v>43799</v>
      </c>
      <c r="K242" s="3">
        <f>J242-I242+1</f>
        <v>16</v>
      </c>
      <c r="L242" s="3">
        <f>ROUND(G242*H242*K242/365,0)</f>
        <v>6546</v>
      </c>
      <c r="M242" s="3">
        <v>9956000</v>
      </c>
    </row>
    <row r="243" spans="1:13" s="16" customFormat="1" outlineLevel="2">
      <c r="A243" s="17" t="s">
        <v>16</v>
      </c>
      <c r="B243" s="18" t="s">
        <v>170</v>
      </c>
      <c r="C243" s="19" t="s">
        <v>230</v>
      </c>
      <c r="D243" s="18" t="s">
        <v>229</v>
      </c>
      <c r="E243" s="3">
        <v>67000000</v>
      </c>
      <c r="F243" s="17">
        <v>43798</v>
      </c>
      <c r="G243" s="3">
        <v>67000000</v>
      </c>
      <c r="H243" s="2">
        <v>5.0000000000000001E-3</v>
      </c>
      <c r="I243" s="17">
        <v>43798</v>
      </c>
      <c r="J243" s="17">
        <v>43799</v>
      </c>
      <c r="K243" s="3">
        <f>J243-I243+1</f>
        <v>2</v>
      </c>
      <c r="L243" s="3">
        <f>ROUND(G243*H243*K243/365,0)</f>
        <v>1836</v>
      </c>
      <c r="M243" s="3">
        <v>67000000</v>
      </c>
    </row>
    <row r="244" spans="1:13" s="16" customFormat="1" outlineLevel="2">
      <c r="A244" s="17" t="s">
        <v>16</v>
      </c>
      <c r="B244" s="18" t="s">
        <v>31</v>
      </c>
      <c r="C244" s="19" t="s">
        <v>63</v>
      </c>
      <c r="D244" s="18" t="s">
        <v>62</v>
      </c>
      <c r="E244" s="3">
        <v>50000000</v>
      </c>
      <c r="F244" s="17">
        <v>43607</v>
      </c>
      <c r="G244" s="3">
        <v>50000000</v>
      </c>
      <c r="H244" s="2">
        <v>1.4999999999999999E-2</v>
      </c>
      <c r="I244" s="17">
        <v>43770</v>
      </c>
      <c r="J244" s="17">
        <v>43799</v>
      </c>
      <c r="K244" s="3">
        <f>J244-I244+1</f>
        <v>30</v>
      </c>
      <c r="L244" s="3">
        <f>ROUND(G244*H244*K244/365,0)</f>
        <v>61644</v>
      </c>
      <c r="M244" s="3">
        <v>50000000</v>
      </c>
    </row>
    <row r="245" spans="1:13" s="16" customFormat="1" outlineLevel="2">
      <c r="A245" s="17" t="s">
        <v>16</v>
      </c>
      <c r="B245" s="18" t="s">
        <v>30</v>
      </c>
      <c r="C245" s="19" t="s">
        <v>63</v>
      </c>
      <c r="D245" s="18" t="s">
        <v>62</v>
      </c>
      <c r="E245" s="3">
        <v>50000000</v>
      </c>
      <c r="F245" s="17">
        <v>43615</v>
      </c>
      <c r="G245" s="3">
        <v>50000000</v>
      </c>
      <c r="H245" s="2">
        <v>1.4999999999999999E-2</v>
      </c>
      <c r="I245" s="17">
        <v>43770</v>
      </c>
      <c r="J245" s="17">
        <v>43799</v>
      </c>
      <c r="K245" s="3">
        <f>J245-I245+1</f>
        <v>30</v>
      </c>
      <c r="L245" s="3">
        <f>ROUND(G245*H245*K245/365,0)</f>
        <v>61644</v>
      </c>
      <c r="M245" s="3">
        <v>50000000</v>
      </c>
    </row>
    <row r="246" spans="1:13" s="16" customFormat="1" outlineLevel="2">
      <c r="A246" s="17" t="s">
        <v>16</v>
      </c>
      <c r="B246" s="18" t="s">
        <v>28</v>
      </c>
      <c r="C246" s="19" t="s">
        <v>61</v>
      </c>
      <c r="D246" s="18" t="s">
        <v>60</v>
      </c>
      <c r="E246" s="3">
        <v>150000000</v>
      </c>
      <c r="F246" s="17">
        <v>43640</v>
      </c>
      <c r="G246" s="3">
        <v>150000000</v>
      </c>
      <c r="H246" s="2">
        <v>1.4999999999999999E-2</v>
      </c>
      <c r="I246" s="17">
        <v>43770</v>
      </c>
      <c r="J246" s="17">
        <v>43799</v>
      </c>
      <c r="K246" s="3">
        <f>J246-I246+1</f>
        <v>30</v>
      </c>
      <c r="L246" s="3">
        <f>ROUND(G246*H246*K246/365,0)</f>
        <v>184932</v>
      </c>
      <c r="M246" s="3">
        <v>150000000</v>
      </c>
    </row>
    <row r="247" spans="1:13" s="16" customFormat="1" outlineLevel="2">
      <c r="A247" s="17" t="s">
        <v>16</v>
      </c>
      <c r="B247" s="18" t="s">
        <v>48</v>
      </c>
      <c r="C247" s="19" t="s">
        <v>63</v>
      </c>
      <c r="D247" s="18" t="s">
        <v>62</v>
      </c>
      <c r="E247" s="3">
        <v>30000000</v>
      </c>
      <c r="F247" s="17">
        <v>43651</v>
      </c>
      <c r="G247" s="3">
        <v>30000000</v>
      </c>
      <c r="H247" s="2">
        <v>1.4999999999999999E-2</v>
      </c>
      <c r="I247" s="17">
        <v>43770</v>
      </c>
      <c r="J247" s="17">
        <v>43799</v>
      </c>
      <c r="K247" s="3">
        <f>J247-I247+1</f>
        <v>30</v>
      </c>
      <c r="L247" s="3">
        <f>ROUND(G247*H247*K247/365,0)</f>
        <v>36986</v>
      </c>
      <c r="M247" s="3">
        <v>30000000</v>
      </c>
    </row>
    <row r="248" spans="1:13" s="16" customFormat="1" outlineLevel="2">
      <c r="A248" s="17" t="s">
        <v>16</v>
      </c>
      <c r="B248" s="18" t="s">
        <v>47</v>
      </c>
      <c r="C248" s="19" t="s">
        <v>63</v>
      </c>
      <c r="D248" s="18" t="s">
        <v>62</v>
      </c>
      <c r="E248" s="3">
        <v>30000000</v>
      </c>
      <c r="F248" s="17">
        <v>43655</v>
      </c>
      <c r="G248" s="3">
        <v>30000000</v>
      </c>
      <c r="H248" s="2">
        <v>1.4999999999999999E-2</v>
      </c>
      <c r="I248" s="17">
        <v>43770</v>
      </c>
      <c r="J248" s="17">
        <v>43799</v>
      </c>
      <c r="K248" s="3">
        <f>J248-I248+1</f>
        <v>30</v>
      </c>
      <c r="L248" s="3">
        <f>ROUND(G248*H248*K248/365,0)</f>
        <v>36986</v>
      </c>
      <c r="M248" s="3">
        <v>30000000</v>
      </c>
    </row>
    <row r="249" spans="1:13" s="16" customFormat="1" outlineLevel="2">
      <c r="A249" s="17" t="s">
        <v>16</v>
      </c>
      <c r="B249" s="18" t="s">
        <v>46</v>
      </c>
      <c r="C249" s="19" t="s">
        <v>63</v>
      </c>
      <c r="D249" s="18" t="s">
        <v>62</v>
      </c>
      <c r="E249" s="3">
        <v>35000000</v>
      </c>
      <c r="F249" s="17">
        <v>43663</v>
      </c>
      <c r="G249" s="3">
        <v>35000000</v>
      </c>
      <c r="H249" s="2">
        <v>1.4999999999999999E-2</v>
      </c>
      <c r="I249" s="17">
        <v>43770</v>
      </c>
      <c r="J249" s="17">
        <v>43799</v>
      </c>
      <c r="K249" s="3">
        <f>J249-I249+1</f>
        <v>30</v>
      </c>
      <c r="L249" s="3">
        <f>ROUND(G249*H249*K249/365,0)</f>
        <v>43151</v>
      </c>
      <c r="M249" s="3">
        <v>35000000</v>
      </c>
    </row>
    <row r="250" spans="1:13" s="16" customFormat="1" outlineLevel="2">
      <c r="A250" s="17" t="s">
        <v>16</v>
      </c>
      <c r="B250" s="18" t="s">
        <v>45</v>
      </c>
      <c r="C250" s="19" t="s">
        <v>63</v>
      </c>
      <c r="D250" s="18" t="s">
        <v>62</v>
      </c>
      <c r="E250" s="3">
        <v>40000000</v>
      </c>
      <c r="F250" s="17">
        <v>43665</v>
      </c>
      <c r="G250" s="3">
        <v>40000000</v>
      </c>
      <c r="H250" s="2">
        <v>1.4999999999999999E-2</v>
      </c>
      <c r="I250" s="17">
        <v>43770</v>
      </c>
      <c r="J250" s="17">
        <v>43799</v>
      </c>
      <c r="K250" s="3">
        <f>J250-I250+1</f>
        <v>30</v>
      </c>
      <c r="L250" s="3">
        <f>ROUND(G250*H250*K250/365,0)</f>
        <v>49315</v>
      </c>
      <c r="M250" s="3">
        <v>40000000</v>
      </c>
    </row>
    <row r="251" spans="1:13" s="16" customFormat="1" outlineLevel="2">
      <c r="A251" s="17" t="s">
        <v>16</v>
      </c>
      <c r="B251" s="18" t="s">
        <v>44</v>
      </c>
      <c r="C251" s="19" t="s">
        <v>159</v>
      </c>
      <c r="D251" s="18" t="s">
        <v>158</v>
      </c>
      <c r="E251" s="3">
        <v>31748000</v>
      </c>
      <c r="F251" s="17">
        <v>43663</v>
      </c>
      <c r="G251" s="3">
        <v>31748000</v>
      </c>
      <c r="H251" s="2">
        <v>1.4999999999999999E-2</v>
      </c>
      <c r="I251" s="17">
        <v>43770</v>
      </c>
      <c r="J251" s="17">
        <v>43799</v>
      </c>
      <c r="K251" s="3">
        <f>J251-I251+1</f>
        <v>30</v>
      </c>
      <c r="L251" s="3">
        <f>ROUND(G251*H251*K251/365,0)</f>
        <v>39141</v>
      </c>
      <c r="M251" s="3">
        <v>31748000</v>
      </c>
    </row>
    <row r="252" spans="1:13" s="16" customFormat="1" outlineLevel="1">
      <c r="A252" s="28" t="s">
        <v>32</v>
      </c>
      <c r="B252" s="21"/>
      <c r="C252" s="22"/>
      <c r="D252" s="21"/>
      <c r="E252" s="23">
        <f>SUBTOTAL(9,E233:E251)</f>
        <v>826361000</v>
      </c>
      <c r="F252" s="20"/>
      <c r="G252" s="23"/>
      <c r="H252" s="24"/>
      <c r="I252" s="20"/>
      <c r="J252" s="20"/>
      <c r="K252" s="23"/>
      <c r="L252" s="23">
        <f>SUBTOTAL(9,L233:L251)</f>
        <v>929262</v>
      </c>
      <c r="M252" s="23">
        <f>SUBTOTAL(9,M233:M251)</f>
        <v>826361000</v>
      </c>
    </row>
    <row r="253" spans="1:13" s="16" customFormat="1" outlineLevel="2">
      <c r="A253" s="17" t="s">
        <v>59</v>
      </c>
      <c r="B253" s="18" t="s">
        <v>17</v>
      </c>
      <c r="C253" s="19" t="s">
        <v>58</v>
      </c>
      <c r="D253" s="18" t="s">
        <v>57</v>
      </c>
      <c r="E253" s="3">
        <v>200000000</v>
      </c>
      <c r="F253" s="17">
        <v>43613</v>
      </c>
      <c r="G253" s="3">
        <v>200000000</v>
      </c>
      <c r="H253" s="2">
        <v>1.4999999999999999E-2</v>
      </c>
      <c r="I253" s="17">
        <v>43770</v>
      </c>
      <c r="J253" s="17">
        <v>43799</v>
      </c>
      <c r="K253" s="3">
        <f>J253-I253+1</f>
        <v>30</v>
      </c>
      <c r="L253" s="3">
        <f>ROUND(G253*H253*K253/365,0)</f>
        <v>246575</v>
      </c>
      <c r="M253" s="3">
        <v>200000000</v>
      </c>
    </row>
    <row r="254" spans="1:13" s="16" customFormat="1" outlineLevel="2">
      <c r="A254" s="17" t="s">
        <v>59</v>
      </c>
      <c r="B254" s="18" t="s">
        <v>181</v>
      </c>
      <c r="C254" s="19" t="s">
        <v>260</v>
      </c>
      <c r="D254" s="18" t="s">
        <v>259</v>
      </c>
      <c r="E254" s="3">
        <v>11540000</v>
      </c>
      <c r="F254" s="17">
        <v>43763</v>
      </c>
      <c r="G254" s="3">
        <v>11540000</v>
      </c>
      <c r="H254" s="2">
        <v>5.0000000000000001E-3</v>
      </c>
      <c r="I254" s="17">
        <v>43770</v>
      </c>
      <c r="J254" s="17">
        <v>43799</v>
      </c>
      <c r="K254" s="3">
        <f>J254-I254+1</f>
        <v>30</v>
      </c>
      <c r="L254" s="3">
        <f>ROUND(G254*H254*K254/365,0)</f>
        <v>4742</v>
      </c>
      <c r="M254" s="3">
        <v>11540000</v>
      </c>
    </row>
    <row r="255" spans="1:13" s="16" customFormat="1" outlineLevel="2">
      <c r="A255" s="17" t="s">
        <v>59</v>
      </c>
      <c r="B255" s="18" t="s">
        <v>180</v>
      </c>
      <c r="C255" s="19" t="s">
        <v>260</v>
      </c>
      <c r="D255" s="18" t="s">
        <v>259</v>
      </c>
      <c r="E255" s="3">
        <v>30000000</v>
      </c>
      <c r="F255" s="17">
        <v>43774</v>
      </c>
      <c r="G255" s="3">
        <v>30000000</v>
      </c>
      <c r="H255" s="2">
        <v>5.0000000000000001E-3</v>
      </c>
      <c r="I255" s="17">
        <v>43774</v>
      </c>
      <c r="J255" s="17">
        <v>43799</v>
      </c>
      <c r="K255" s="3">
        <f>J255-I255+1</f>
        <v>26</v>
      </c>
      <c r="L255" s="3">
        <f>ROUND(G255*H255*K255/365,0)</f>
        <v>10685</v>
      </c>
      <c r="M255" s="3">
        <v>30000000</v>
      </c>
    </row>
    <row r="256" spans="1:13" s="16" customFormat="1" outlineLevel="2">
      <c r="A256" s="17" t="s">
        <v>59</v>
      </c>
      <c r="B256" s="18" t="s">
        <v>179</v>
      </c>
      <c r="C256" s="19" t="s">
        <v>260</v>
      </c>
      <c r="D256" s="18" t="s">
        <v>259</v>
      </c>
      <c r="E256" s="3">
        <v>27060000</v>
      </c>
      <c r="F256" s="17">
        <v>43777</v>
      </c>
      <c r="G256" s="3">
        <v>27060000</v>
      </c>
      <c r="H256" s="2">
        <v>5.0000000000000001E-3</v>
      </c>
      <c r="I256" s="17">
        <v>43777</v>
      </c>
      <c r="J256" s="17">
        <v>43799</v>
      </c>
      <c r="K256" s="3">
        <f>J256-I256+1</f>
        <v>23</v>
      </c>
      <c r="L256" s="3">
        <f>ROUND(G256*H256*K256/365,0)</f>
        <v>8526</v>
      </c>
      <c r="M256" s="3">
        <v>27060000</v>
      </c>
    </row>
    <row r="257" spans="1:13" s="16" customFormat="1" outlineLevel="2">
      <c r="A257" s="17" t="s">
        <v>59</v>
      </c>
      <c r="B257" s="18" t="s">
        <v>178</v>
      </c>
      <c r="C257" s="19" t="s">
        <v>260</v>
      </c>
      <c r="D257" s="18" t="s">
        <v>259</v>
      </c>
      <c r="E257" s="3">
        <v>22000000</v>
      </c>
      <c r="F257" s="17">
        <v>43781</v>
      </c>
      <c r="G257" s="3">
        <v>22000000</v>
      </c>
      <c r="H257" s="2">
        <v>5.0000000000000001E-3</v>
      </c>
      <c r="I257" s="17">
        <v>43781</v>
      </c>
      <c r="J257" s="17">
        <v>43799</v>
      </c>
      <c r="K257" s="3">
        <f>J257-I257+1</f>
        <v>19</v>
      </c>
      <c r="L257" s="3">
        <f>ROUND(G257*H257*K257/365,0)</f>
        <v>5726</v>
      </c>
      <c r="M257" s="3">
        <v>22000000</v>
      </c>
    </row>
    <row r="258" spans="1:13" s="16" customFormat="1" outlineLevel="2">
      <c r="A258" s="17" t="s">
        <v>59</v>
      </c>
      <c r="B258" s="18" t="s">
        <v>177</v>
      </c>
      <c r="C258" s="19" t="s">
        <v>390</v>
      </c>
      <c r="D258" s="18" t="s">
        <v>389</v>
      </c>
      <c r="E258" s="3">
        <v>100000000</v>
      </c>
      <c r="F258" s="17">
        <v>43795</v>
      </c>
      <c r="G258" s="3">
        <v>100000000</v>
      </c>
      <c r="H258" s="2">
        <v>1.4999999999999999E-2</v>
      </c>
      <c r="I258" s="17">
        <v>43795</v>
      </c>
      <c r="J258" s="17">
        <v>43799</v>
      </c>
      <c r="K258" s="3">
        <f>J258-I258+1</f>
        <v>5</v>
      </c>
      <c r="L258" s="3">
        <f>ROUND(G258*H258*K258/365,0)</f>
        <v>20548</v>
      </c>
      <c r="M258" s="3">
        <v>100000000</v>
      </c>
    </row>
    <row r="259" spans="1:13" s="16" customFormat="1" outlineLevel="2">
      <c r="A259" s="17" t="s">
        <v>59</v>
      </c>
      <c r="B259" s="18" t="s">
        <v>31</v>
      </c>
      <c r="C259" s="19" t="s">
        <v>260</v>
      </c>
      <c r="D259" s="18" t="s">
        <v>259</v>
      </c>
      <c r="E259" s="3">
        <v>40000000</v>
      </c>
      <c r="F259" s="17">
        <v>43718</v>
      </c>
      <c r="G259" s="3">
        <v>40000000</v>
      </c>
      <c r="H259" s="2">
        <v>5.0000000000000001E-3</v>
      </c>
      <c r="I259" s="17">
        <v>43770</v>
      </c>
      <c r="J259" s="17">
        <v>43799</v>
      </c>
      <c r="K259" s="3">
        <f>J259-I259+1</f>
        <v>30</v>
      </c>
      <c r="L259" s="3">
        <f>ROUND(G259*H259*K259/365,0)</f>
        <v>16438</v>
      </c>
      <c r="M259" s="3">
        <v>40000000</v>
      </c>
    </row>
    <row r="260" spans="1:13" s="16" customFormat="1" outlineLevel="2">
      <c r="A260" s="17" t="s">
        <v>59</v>
      </c>
      <c r="B260" s="18" t="s">
        <v>30</v>
      </c>
      <c r="C260" s="19" t="s">
        <v>260</v>
      </c>
      <c r="D260" s="18" t="s">
        <v>259</v>
      </c>
      <c r="E260" s="3">
        <v>13200000</v>
      </c>
      <c r="F260" s="17">
        <v>43726</v>
      </c>
      <c r="G260" s="3">
        <v>12650000</v>
      </c>
      <c r="H260" s="2">
        <v>5.0000000000000001E-3</v>
      </c>
      <c r="I260" s="17">
        <v>43770</v>
      </c>
      <c r="J260" s="17">
        <v>43783</v>
      </c>
      <c r="K260" s="3">
        <f>J260-I260+1</f>
        <v>14</v>
      </c>
      <c r="L260" s="3">
        <f>ROUND(G260*H260*K260/365,0)</f>
        <v>2426</v>
      </c>
      <c r="M260" s="3">
        <v>12100000</v>
      </c>
    </row>
    <row r="261" spans="1:13" s="16" customFormat="1" outlineLevel="2">
      <c r="A261" s="17" t="s">
        <v>59</v>
      </c>
      <c r="B261" s="18" t="s">
        <v>30</v>
      </c>
      <c r="C261" s="19" t="s">
        <v>260</v>
      </c>
      <c r="D261" s="18"/>
      <c r="E261" s="3"/>
      <c r="F261" s="17"/>
      <c r="G261" s="3">
        <v>12100000</v>
      </c>
      <c r="H261" s="2">
        <v>5.0000000000000001E-3</v>
      </c>
      <c r="I261" s="17">
        <v>43784</v>
      </c>
      <c r="J261" s="17">
        <v>43799</v>
      </c>
      <c r="K261" s="3">
        <f>J261-I261+1</f>
        <v>16</v>
      </c>
      <c r="L261" s="3">
        <f>ROUND(G261*H261*K261/365,0)</f>
        <v>2652</v>
      </c>
      <c r="M261" s="3"/>
    </row>
    <row r="262" spans="1:13" s="16" customFormat="1" outlineLevel="2">
      <c r="A262" s="17" t="s">
        <v>59</v>
      </c>
      <c r="B262" s="18" t="s">
        <v>28</v>
      </c>
      <c r="C262" s="19" t="s">
        <v>260</v>
      </c>
      <c r="D262" s="18" t="s">
        <v>259</v>
      </c>
      <c r="E262" s="3">
        <v>11540000</v>
      </c>
      <c r="F262" s="17">
        <v>43731</v>
      </c>
      <c r="G262" s="3">
        <v>11540000</v>
      </c>
      <c r="H262" s="2">
        <v>5.0000000000000001E-3</v>
      </c>
      <c r="I262" s="17">
        <v>43770</v>
      </c>
      <c r="J262" s="17">
        <v>43799</v>
      </c>
      <c r="K262" s="3">
        <f>J262-I262+1</f>
        <v>30</v>
      </c>
      <c r="L262" s="3">
        <f>ROUND(G262*H262*K262/365,0)</f>
        <v>4742</v>
      </c>
      <c r="M262" s="3">
        <v>11540000</v>
      </c>
    </row>
    <row r="263" spans="1:13" s="16" customFormat="1" outlineLevel="2">
      <c r="A263" s="17" t="s">
        <v>59</v>
      </c>
      <c r="B263" s="18" t="s">
        <v>48</v>
      </c>
      <c r="C263" s="19" t="s">
        <v>260</v>
      </c>
      <c r="D263" s="18" t="s">
        <v>259</v>
      </c>
      <c r="E263" s="3">
        <v>4340000</v>
      </c>
      <c r="F263" s="17">
        <v>43727</v>
      </c>
      <c r="G263" s="3">
        <v>4340000</v>
      </c>
      <c r="H263" s="2">
        <v>5.0000000000000001E-3</v>
      </c>
      <c r="I263" s="17">
        <v>43770</v>
      </c>
      <c r="J263" s="17">
        <v>43799</v>
      </c>
      <c r="K263" s="3">
        <f>J263-I263+1</f>
        <v>30</v>
      </c>
      <c r="L263" s="3">
        <f>ROUND(G263*H263*K263/365,0)</f>
        <v>1784</v>
      </c>
      <c r="M263" s="3">
        <v>4340000</v>
      </c>
    </row>
    <row r="264" spans="1:13" s="16" customFormat="1" outlineLevel="2">
      <c r="A264" s="17" t="s">
        <v>59</v>
      </c>
      <c r="B264" s="18" t="s">
        <v>47</v>
      </c>
      <c r="C264" s="19" t="s">
        <v>260</v>
      </c>
      <c r="D264" s="18" t="s">
        <v>259</v>
      </c>
      <c r="E264" s="3">
        <v>18040000</v>
      </c>
      <c r="F264" s="17">
        <v>43727</v>
      </c>
      <c r="G264" s="3">
        <v>18040000</v>
      </c>
      <c r="H264" s="2">
        <v>5.0000000000000001E-3</v>
      </c>
      <c r="I264" s="17">
        <v>43770</v>
      </c>
      <c r="J264" s="17">
        <v>43799</v>
      </c>
      <c r="K264" s="3">
        <f>J264-I264+1</f>
        <v>30</v>
      </c>
      <c r="L264" s="3">
        <f>ROUND(G264*H264*K264/365,0)</f>
        <v>7414</v>
      </c>
      <c r="M264" s="3">
        <v>18040000</v>
      </c>
    </row>
    <row r="265" spans="1:13" s="16" customFormat="1" outlineLevel="2">
      <c r="A265" s="17" t="s">
        <v>59</v>
      </c>
      <c r="B265" s="18" t="s">
        <v>46</v>
      </c>
      <c r="C265" s="19" t="s">
        <v>260</v>
      </c>
      <c r="D265" s="18" t="s">
        <v>259</v>
      </c>
      <c r="E265" s="3">
        <v>3470000</v>
      </c>
      <c r="F265" s="17">
        <v>43727</v>
      </c>
      <c r="G265" s="3">
        <v>3470000</v>
      </c>
      <c r="H265" s="2">
        <v>5.0000000000000001E-3</v>
      </c>
      <c r="I265" s="17">
        <v>43770</v>
      </c>
      <c r="J265" s="17">
        <v>43799</v>
      </c>
      <c r="K265" s="3">
        <f>J265-I265+1</f>
        <v>30</v>
      </c>
      <c r="L265" s="3">
        <f>ROUND(G265*H265*K265/365,0)</f>
        <v>1426</v>
      </c>
      <c r="M265" s="3">
        <v>3470000</v>
      </c>
    </row>
    <row r="266" spans="1:13" s="16" customFormat="1" outlineLevel="2">
      <c r="A266" s="17" t="s">
        <v>59</v>
      </c>
      <c r="B266" s="18" t="s">
        <v>45</v>
      </c>
      <c r="C266" s="19" t="s">
        <v>260</v>
      </c>
      <c r="D266" s="18" t="s">
        <v>259</v>
      </c>
      <c r="E266" s="3">
        <v>4090000</v>
      </c>
      <c r="F266" s="17">
        <v>43727</v>
      </c>
      <c r="G266" s="3">
        <v>4090000</v>
      </c>
      <c r="H266" s="2">
        <v>5.0000000000000001E-3</v>
      </c>
      <c r="I266" s="17">
        <v>43770</v>
      </c>
      <c r="J266" s="17">
        <v>43799</v>
      </c>
      <c r="K266" s="3">
        <f>J266-I266+1</f>
        <v>30</v>
      </c>
      <c r="L266" s="3">
        <f>ROUND(G266*H266*K266/365,0)</f>
        <v>1681</v>
      </c>
      <c r="M266" s="3">
        <v>4090000</v>
      </c>
    </row>
    <row r="267" spans="1:13" s="16" customFormat="1" outlineLevel="2">
      <c r="A267" s="17" t="s">
        <v>59</v>
      </c>
      <c r="B267" s="18" t="s">
        <v>44</v>
      </c>
      <c r="C267" s="19" t="s">
        <v>260</v>
      </c>
      <c r="D267" s="18" t="s">
        <v>259</v>
      </c>
      <c r="E267" s="3">
        <v>30000000</v>
      </c>
      <c r="F267" s="17">
        <v>43742</v>
      </c>
      <c r="G267" s="3">
        <v>30000000</v>
      </c>
      <c r="H267" s="2">
        <v>5.0000000000000001E-3</v>
      </c>
      <c r="I267" s="17">
        <v>43770</v>
      </c>
      <c r="J267" s="17">
        <v>43799</v>
      </c>
      <c r="K267" s="3">
        <f>J267-I267+1</f>
        <v>30</v>
      </c>
      <c r="L267" s="3">
        <f>ROUND(G267*H267*K267/365,0)</f>
        <v>12329</v>
      </c>
      <c r="M267" s="3">
        <v>30000000</v>
      </c>
    </row>
    <row r="268" spans="1:13" s="16" customFormat="1" outlineLevel="1">
      <c r="A268" s="28" t="s">
        <v>56</v>
      </c>
      <c r="B268" s="21"/>
      <c r="C268" s="22"/>
      <c r="D268" s="21"/>
      <c r="E268" s="23">
        <f>SUBTOTAL(9,E253:E267)</f>
        <v>515280000</v>
      </c>
      <c r="F268" s="20"/>
      <c r="G268" s="23"/>
      <c r="H268" s="24"/>
      <c r="I268" s="20"/>
      <c r="J268" s="20"/>
      <c r="K268" s="23"/>
      <c r="L268" s="23">
        <f>SUBTOTAL(9,L253:L267)</f>
        <v>347694</v>
      </c>
      <c r="M268" s="23">
        <f>SUBTOTAL(9,M253:M267)</f>
        <v>514180000</v>
      </c>
    </row>
    <row r="269" spans="1:13" s="16" customFormat="1" outlineLevel="2">
      <c r="A269" s="17" t="s">
        <v>330</v>
      </c>
      <c r="B269" s="18" t="s">
        <v>17</v>
      </c>
      <c r="C269" s="19" t="s">
        <v>329</v>
      </c>
      <c r="D269" s="18" t="s">
        <v>328</v>
      </c>
      <c r="E269" s="3">
        <v>40000000</v>
      </c>
      <c r="F269" s="17">
        <v>43756</v>
      </c>
      <c r="G269" s="3">
        <v>40000000</v>
      </c>
      <c r="H269" s="2">
        <v>5.0000000000000001E-3</v>
      </c>
      <c r="I269" s="17">
        <v>43770</v>
      </c>
      <c r="J269" s="17">
        <v>43799</v>
      </c>
      <c r="K269" s="3">
        <f>J269-I269+1</f>
        <v>30</v>
      </c>
      <c r="L269" s="3">
        <f>ROUND(G269*H269*K269/365,0)</f>
        <v>16438</v>
      </c>
      <c r="M269" s="3">
        <v>40000000</v>
      </c>
    </row>
    <row r="270" spans="1:13" s="16" customFormat="1" outlineLevel="1">
      <c r="A270" s="28" t="s">
        <v>327</v>
      </c>
      <c r="B270" s="21"/>
      <c r="C270" s="22"/>
      <c r="D270" s="21"/>
      <c r="E270" s="23">
        <f>SUBTOTAL(9,E269:E269)</f>
        <v>40000000</v>
      </c>
      <c r="F270" s="20"/>
      <c r="G270" s="23"/>
      <c r="H270" s="24"/>
      <c r="I270" s="20"/>
      <c r="J270" s="20"/>
      <c r="K270" s="23"/>
      <c r="L270" s="23">
        <f>SUBTOTAL(9,L269:L269)</f>
        <v>16438</v>
      </c>
      <c r="M270" s="23">
        <f>SUBTOTAL(9,M269:M269)</f>
        <v>40000000</v>
      </c>
    </row>
    <row r="271" spans="1:13" s="16" customFormat="1" outlineLevel="2">
      <c r="A271" s="17" t="s">
        <v>326</v>
      </c>
      <c r="B271" s="18" t="s">
        <v>17</v>
      </c>
      <c r="C271" s="19" t="s">
        <v>204</v>
      </c>
      <c r="D271" s="18" t="s">
        <v>203</v>
      </c>
      <c r="E271" s="3">
        <v>60000000</v>
      </c>
      <c r="F271" s="17">
        <v>43685</v>
      </c>
      <c r="G271" s="3">
        <v>60000000</v>
      </c>
      <c r="H271" s="2">
        <v>5.0000000000000001E-3</v>
      </c>
      <c r="I271" s="17">
        <v>43770</v>
      </c>
      <c r="J271" s="17">
        <v>43799</v>
      </c>
      <c r="K271" s="3">
        <f>J271-I271+1</f>
        <v>30</v>
      </c>
      <c r="L271" s="3">
        <f>ROUND(G271*H271*K271/365,0)</f>
        <v>24658</v>
      </c>
      <c r="M271" s="3">
        <v>60000000</v>
      </c>
    </row>
    <row r="272" spans="1:13" s="16" customFormat="1" outlineLevel="2">
      <c r="A272" s="17" t="s">
        <v>326</v>
      </c>
      <c r="B272" s="18" t="s">
        <v>31</v>
      </c>
      <c r="C272" s="19" t="s">
        <v>201</v>
      </c>
      <c r="D272" s="18" t="s">
        <v>200</v>
      </c>
      <c r="E272" s="3">
        <v>20700000</v>
      </c>
      <c r="F272" s="17">
        <v>43696</v>
      </c>
      <c r="G272" s="3">
        <v>20700000</v>
      </c>
      <c r="H272" s="2">
        <v>5.0000000000000001E-3</v>
      </c>
      <c r="I272" s="17">
        <v>43770</v>
      </c>
      <c r="J272" s="17">
        <v>43799</v>
      </c>
      <c r="K272" s="3">
        <f>J272-I272+1</f>
        <v>30</v>
      </c>
      <c r="L272" s="3">
        <f>ROUND(G272*H272*K272/365,0)</f>
        <v>8507</v>
      </c>
      <c r="M272" s="3">
        <v>20700000</v>
      </c>
    </row>
    <row r="273" spans="1:13" s="16" customFormat="1" outlineLevel="2">
      <c r="A273" s="17" t="s">
        <v>326</v>
      </c>
      <c r="B273" s="18" t="s">
        <v>30</v>
      </c>
      <c r="C273" s="19" t="s">
        <v>204</v>
      </c>
      <c r="D273" s="18" t="s">
        <v>203</v>
      </c>
      <c r="E273" s="3">
        <v>60000000</v>
      </c>
      <c r="F273" s="17">
        <v>43717</v>
      </c>
      <c r="G273" s="3">
        <v>60000000</v>
      </c>
      <c r="H273" s="2">
        <v>5.0000000000000001E-3</v>
      </c>
      <c r="I273" s="17">
        <v>43770</v>
      </c>
      <c r="J273" s="17">
        <v>43799</v>
      </c>
      <c r="K273" s="3">
        <f>J273-I273+1</f>
        <v>30</v>
      </c>
      <c r="L273" s="3">
        <f>ROUND(G273*H273*K273/365,0)</f>
        <v>24658</v>
      </c>
      <c r="M273" s="3">
        <v>60000000</v>
      </c>
    </row>
    <row r="274" spans="1:13" s="16" customFormat="1" outlineLevel="2">
      <c r="A274" s="17" t="s">
        <v>326</v>
      </c>
      <c r="B274" s="18" t="s">
        <v>28</v>
      </c>
      <c r="C274" s="19" t="s">
        <v>201</v>
      </c>
      <c r="D274" s="18" t="s">
        <v>200</v>
      </c>
      <c r="E274" s="3">
        <v>27200000</v>
      </c>
      <c r="F274" s="17">
        <v>43712</v>
      </c>
      <c r="G274" s="3">
        <v>27200000</v>
      </c>
      <c r="H274" s="2">
        <v>5.0000000000000001E-3</v>
      </c>
      <c r="I274" s="17">
        <v>43770</v>
      </c>
      <c r="J274" s="17">
        <v>43799</v>
      </c>
      <c r="K274" s="3">
        <f>J274-I274+1</f>
        <v>30</v>
      </c>
      <c r="L274" s="3">
        <f>ROUND(G274*H274*K274/365,0)</f>
        <v>11178</v>
      </c>
      <c r="M274" s="3">
        <v>27200000</v>
      </c>
    </row>
    <row r="275" spans="1:13" s="16" customFormat="1" outlineLevel="2">
      <c r="A275" s="17" t="s">
        <v>326</v>
      </c>
      <c r="B275" s="18" t="s">
        <v>48</v>
      </c>
      <c r="C275" s="19" t="s">
        <v>201</v>
      </c>
      <c r="D275" s="18" t="s">
        <v>200</v>
      </c>
      <c r="E275" s="3">
        <v>13180000</v>
      </c>
      <c r="F275" s="17">
        <v>43713</v>
      </c>
      <c r="G275" s="3">
        <v>13180000</v>
      </c>
      <c r="H275" s="2">
        <v>5.0000000000000001E-3</v>
      </c>
      <c r="I275" s="17">
        <v>43770</v>
      </c>
      <c r="J275" s="17">
        <v>43799</v>
      </c>
      <c r="K275" s="3">
        <f>J275-I275+1</f>
        <v>30</v>
      </c>
      <c r="L275" s="3">
        <f>ROUND(G275*H275*K275/365,0)</f>
        <v>5416</v>
      </c>
      <c r="M275" s="3">
        <v>13180000</v>
      </c>
    </row>
    <row r="276" spans="1:13" s="16" customFormat="1" outlineLevel="2">
      <c r="A276" s="17" t="s">
        <v>326</v>
      </c>
      <c r="B276" s="18" t="s">
        <v>47</v>
      </c>
      <c r="C276" s="19" t="s">
        <v>201</v>
      </c>
      <c r="D276" s="18" t="s">
        <v>200</v>
      </c>
      <c r="E276" s="3">
        <v>10600000</v>
      </c>
      <c r="F276" s="17">
        <v>43727</v>
      </c>
      <c r="G276" s="3">
        <v>10600000</v>
      </c>
      <c r="H276" s="2">
        <v>5.0000000000000001E-3</v>
      </c>
      <c r="I276" s="17">
        <v>43770</v>
      </c>
      <c r="J276" s="17">
        <v>43799</v>
      </c>
      <c r="K276" s="3">
        <f>J276-I276+1</f>
        <v>30</v>
      </c>
      <c r="L276" s="3">
        <f>ROUND(G276*H276*K276/365,0)</f>
        <v>4356</v>
      </c>
      <c r="M276" s="3">
        <v>10600000</v>
      </c>
    </row>
    <row r="277" spans="1:13" s="16" customFormat="1" outlineLevel="2">
      <c r="A277" s="17" t="s">
        <v>326</v>
      </c>
      <c r="B277" s="18" t="s">
        <v>46</v>
      </c>
      <c r="C277" s="19" t="s">
        <v>272</v>
      </c>
      <c r="D277" s="18" t="s">
        <v>271</v>
      </c>
      <c r="E277" s="3">
        <v>20000000</v>
      </c>
      <c r="F277" s="17">
        <v>43735</v>
      </c>
      <c r="G277" s="3">
        <v>20000000</v>
      </c>
      <c r="H277" s="2">
        <v>5.0000000000000001E-3</v>
      </c>
      <c r="I277" s="17">
        <v>43770</v>
      </c>
      <c r="J277" s="17">
        <v>43799</v>
      </c>
      <c r="K277" s="3">
        <f>J277-I277+1</f>
        <v>30</v>
      </c>
      <c r="L277" s="3">
        <f>ROUND(G277*H277*K277/365,0)</f>
        <v>8219</v>
      </c>
      <c r="M277" s="3">
        <v>20000000</v>
      </c>
    </row>
    <row r="278" spans="1:13" s="16" customFormat="1" outlineLevel="2">
      <c r="A278" s="17" t="s">
        <v>326</v>
      </c>
      <c r="B278" s="18" t="s">
        <v>45</v>
      </c>
      <c r="C278" s="19" t="s">
        <v>270</v>
      </c>
      <c r="D278" s="18" t="s">
        <v>269</v>
      </c>
      <c r="E278" s="3">
        <v>15680000</v>
      </c>
      <c r="F278" s="17">
        <v>43733</v>
      </c>
      <c r="G278" s="3">
        <v>15680000</v>
      </c>
      <c r="H278" s="2">
        <v>1.4999999999999999E-2</v>
      </c>
      <c r="I278" s="17">
        <v>43770</v>
      </c>
      <c r="J278" s="17">
        <v>43799</v>
      </c>
      <c r="K278" s="3">
        <f>J278-I278+1</f>
        <v>30</v>
      </c>
      <c r="L278" s="3">
        <f>ROUND(G278*H278*K278/365,0)</f>
        <v>19332</v>
      </c>
      <c r="M278" s="3">
        <v>15680000</v>
      </c>
    </row>
    <row r="279" spans="1:13" s="16" customFormat="1" outlineLevel="2">
      <c r="A279" s="17" t="s">
        <v>326</v>
      </c>
      <c r="B279" s="18" t="s">
        <v>44</v>
      </c>
      <c r="C279" s="19" t="s">
        <v>272</v>
      </c>
      <c r="D279" s="18" t="s">
        <v>271</v>
      </c>
      <c r="E279" s="3">
        <v>180000</v>
      </c>
      <c r="F279" s="17">
        <v>43745</v>
      </c>
      <c r="G279" s="3">
        <v>180000</v>
      </c>
      <c r="H279" s="2">
        <v>5.0000000000000001E-3</v>
      </c>
      <c r="I279" s="17">
        <v>43770</v>
      </c>
      <c r="J279" s="17">
        <v>43799</v>
      </c>
      <c r="K279" s="3">
        <f>J279-I279+1</f>
        <v>30</v>
      </c>
      <c r="L279" s="3">
        <f>ROUND(G279*H279*K279/365,0)</f>
        <v>74</v>
      </c>
      <c r="M279" s="3">
        <v>180000</v>
      </c>
    </row>
    <row r="280" spans="1:13" s="16" customFormat="1" outlineLevel="2">
      <c r="A280" s="17" t="s">
        <v>326</v>
      </c>
      <c r="B280" s="18" t="s">
        <v>181</v>
      </c>
      <c r="C280" s="19" t="s">
        <v>270</v>
      </c>
      <c r="D280" s="18" t="s">
        <v>269</v>
      </c>
      <c r="E280" s="3">
        <v>39200000</v>
      </c>
      <c r="F280" s="17">
        <v>43759</v>
      </c>
      <c r="G280" s="3">
        <v>39200000</v>
      </c>
      <c r="H280" s="2">
        <v>1.4999999999999999E-2</v>
      </c>
      <c r="I280" s="17">
        <v>43770</v>
      </c>
      <c r="J280" s="17">
        <v>43799</v>
      </c>
      <c r="K280" s="3">
        <f>J280-I280+1</f>
        <v>30</v>
      </c>
      <c r="L280" s="3">
        <f>ROUND(G280*H280*K280/365,0)</f>
        <v>48329</v>
      </c>
      <c r="M280" s="3">
        <v>39200000</v>
      </c>
    </row>
    <row r="281" spans="1:13" s="16" customFormat="1" outlineLevel="2">
      <c r="A281" s="17" t="s">
        <v>326</v>
      </c>
      <c r="B281" s="18" t="s">
        <v>180</v>
      </c>
      <c r="C281" s="19" t="s">
        <v>204</v>
      </c>
      <c r="D281" s="18" t="s">
        <v>203</v>
      </c>
      <c r="E281" s="3">
        <v>72000000</v>
      </c>
      <c r="F281" s="17">
        <v>43776</v>
      </c>
      <c r="G281" s="3">
        <v>72000000</v>
      </c>
      <c r="H281" s="2">
        <v>5.0000000000000001E-3</v>
      </c>
      <c r="I281" s="17">
        <v>43776</v>
      </c>
      <c r="J281" s="17">
        <v>43799</v>
      </c>
      <c r="K281" s="3">
        <f>J281-I281+1</f>
        <v>24</v>
      </c>
      <c r="L281" s="3">
        <f>ROUND(G281*H281*K281/365,0)</f>
        <v>23671</v>
      </c>
      <c r="M281" s="3">
        <v>72000000</v>
      </c>
    </row>
    <row r="282" spans="1:13" s="16" customFormat="1" outlineLevel="2">
      <c r="A282" s="17" t="s">
        <v>326</v>
      </c>
      <c r="B282" s="18" t="s">
        <v>179</v>
      </c>
      <c r="C282" s="19" t="s">
        <v>272</v>
      </c>
      <c r="D282" s="18" t="s">
        <v>271</v>
      </c>
      <c r="E282" s="3">
        <v>10000000</v>
      </c>
      <c r="F282" s="17">
        <v>43776</v>
      </c>
      <c r="G282" s="3">
        <v>10000000</v>
      </c>
      <c r="H282" s="2">
        <v>5.0000000000000001E-3</v>
      </c>
      <c r="I282" s="17">
        <v>43776</v>
      </c>
      <c r="J282" s="17">
        <v>43799</v>
      </c>
      <c r="K282" s="3">
        <f>J282-I282+1</f>
        <v>24</v>
      </c>
      <c r="L282" s="3">
        <f>ROUND(G282*H282*K282/365,0)</f>
        <v>3288</v>
      </c>
      <c r="M282" s="3">
        <v>10000000</v>
      </c>
    </row>
    <row r="283" spans="1:13" s="16" customFormat="1" outlineLevel="1">
      <c r="A283" s="28" t="s">
        <v>325</v>
      </c>
      <c r="B283" s="21"/>
      <c r="C283" s="22"/>
      <c r="D283" s="21"/>
      <c r="E283" s="23">
        <f>SUM(E271:E282)</f>
        <v>348740000</v>
      </c>
      <c r="F283" s="20"/>
      <c r="G283" s="23"/>
      <c r="H283" s="24"/>
      <c r="I283" s="20"/>
      <c r="J283" s="20"/>
      <c r="K283" s="23"/>
      <c r="L283" s="23">
        <f>SUM(L271:L282)</f>
        <v>181686</v>
      </c>
      <c r="M283" s="23">
        <f>SUM(M271:M282)</f>
        <v>348740000</v>
      </c>
    </row>
    <row r="284" spans="1:13" s="16" customFormat="1" outlineLevel="2">
      <c r="A284" s="17" t="s">
        <v>55</v>
      </c>
      <c r="B284" s="18" t="s">
        <v>17</v>
      </c>
      <c r="C284" s="19" t="s">
        <v>54</v>
      </c>
      <c r="D284" s="18" t="s">
        <v>34</v>
      </c>
      <c r="E284" s="3">
        <v>3656000</v>
      </c>
      <c r="F284" s="17">
        <v>43633</v>
      </c>
      <c r="G284" s="3">
        <v>3656000</v>
      </c>
      <c r="H284" s="2">
        <v>1.4999999999999999E-2</v>
      </c>
      <c r="I284" s="17">
        <v>43770</v>
      </c>
      <c r="J284" s="17">
        <v>43799</v>
      </c>
      <c r="K284" s="3">
        <f>J284-I284+1</f>
        <v>30</v>
      </c>
      <c r="L284" s="3">
        <f>ROUND(G284*H284*K284/365,0)</f>
        <v>4507</v>
      </c>
      <c r="M284" s="3">
        <v>3656000</v>
      </c>
    </row>
    <row r="285" spans="1:13" s="16" customFormat="1" outlineLevel="2">
      <c r="A285" s="17" t="s">
        <v>55</v>
      </c>
      <c r="B285" s="18" t="s">
        <v>181</v>
      </c>
      <c r="C285" s="19" t="s">
        <v>51</v>
      </c>
      <c r="D285" s="18" t="s">
        <v>50</v>
      </c>
      <c r="E285" s="3">
        <v>85000000</v>
      </c>
      <c r="F285" s="17">
        <v>43672</v>
      </c>
      <c r="G285" s="3">
        <v>85000000</v>
      </c>
      <c r="H285" s="2">
        <v>1.4999999999999999E-2</v>
      </c>
      <c r="I285" s="17">
        <v>43770</v>
      </c>
      <c r="J285" s="17">
        <v>43799</v>
      </c>
      <c r="K285" s="3">
        <f>J285-I285+1</f>
        <v>30</v>
      </c>
      <c r="L285" s="3">
        <f>ROUND(G285*H285*K285/365,0)</f>
        <v>104795</v>
      </c>
      <c r="M285" s="3">
        <v>85000000</v>
      </c>
    </row>
    <row r="286" spans="1:13" s="16" customFormat="1" outlineLevel="2">
      <c r="A286" s="17" t="s">
        <v>55</v>
      </c>
      <c r="B286" s="18" t="s">
        <v>384</v>
      </c>
      <c r="C286" s="19" t="s">
        <v>188</v>
      </c>
      <c r="D286" s="18" t="s">
        <v>187</v>
      </c>
      <c r="E286" s="3">
        <v>7633000</v>
      </c>
      <c r="F286" s="17">
        <v>43798</v>
      </c>
      <c r="G286" s="3">
        <v>7633000</v>
      </c>
      <c r="H286" s="2">
        <v>1.4999999999999999E-2</v>
      </c>
      <c r="I286" s="17">
        <v>43798</v>
      </c>
      <c r="J286" s="17">
        <v>43799</v>
      </c>
      <c r="K286" s="3">
        <f>J286-I286+1</f>
        <v>2</v>
      </c>
      <c r="L286" s="3">
        <f>ROUND(G286*H286*K286/365,0)</f>
        <v>627</v>
      </c>
      <c r="M286" s="3">
        <v>7633000</v>
      </c>
    </row>
    <row r="287" spans="1:13" s="16" customFormat="1" outlineLevel="2">
      <c r="A287" s="17" t="s">
        <v>55</v>
      </c>
      <c r="B287" s="18" t="s">
        <v>383</v>
      </c>
      <c r="C287" s="19" t="s">
        <v>188</v>
      </c>
      <c r="D287" s="18" t="s">
        <v>187</v>
      </c>
      <c r="E287" s="3">
        <v>183106000</v>
      </c>
      <c r="F287" s="17">
        <v>43783</v>
      </c>
      <c r="G287" s="3">
        <v>183106000</v>
      </c>
      <c r="H287" s="2">
        <v>1.4999999999999999E-2</v>
      </c>
      <c r="I287" s="17">
        <v>43783</v>
      </c>
      <c r="J287" s="17">
        <v>43799</v>
      </c>
      <c r="K287" s="3">
        <f>J287-I287+1</f>
        <v>17</v>
      </c>
      <c r="L287" s="3">
        <f>ROUND(G287*H287*K287/365,0)</f>
        <v>127923</v>
      </c>
      <c r="M287" s="3">
        <v>183106000</v>
      </c>
    </row>
    <row r="288" spans="1:13" s="16" customFormat="1" outlineLevel="2">
      <c r="A288" s="17" t="s">
        <v>55</v>
      </c>
      <c r="B288" s="18" t="s">
        <v>382</v>
      </c>
      <c r="C288" s="19" t="s">
        <v>188</v>
      </c>
      <c r="D288" s="18" t="s">
        <v>187</v>
      </c>
      <c r="E288" s="3">
        <v>17374000</v>
      </c>
      <c r="F288" s="17">
        <v>43798</v>
      </c>
      <c r="G288" s="3">
        <v>17374000</v>
      </c>
      <c r="H288" s="2">
        <v>1.4999999999999999E-2</v>
      </c>
      <c r="I288" s="17">
        <v>43798</v>
      </c>
      <c r="J288" s="17">
        <v>43799</v>
      </c>
      <c r="K288" s="3">
        <f>J288-I288+1</f>
        <v>2</v>
      </c>
      <c r="L288" s="3">
        <f>ROUND(G288*H288*K288/365,0)</f>
        <v>1428</v>
      </c>
      <c r="M288" s="3">
        <v>17374000</v>
      </c>
    </row>
    <row r="289" spans="1:13" s="16" customFormat="1" outlineLevel="2">
      <c r="A289" s="17" t="s">
        <v>55</v>
      </c>
      <c r="B289" s="18" t="s">
        <v>381</v>
      </c>
      <c r="C289" s="19" t="s">
        <v>198</v>
      </c>
      <c r="D289" s="18" t="s">
        <v>197</v>
      </c>
      <c r="E289" s="3">
        <v>44600000</v>
      </c>
      <c r="F289" s="17">
        <v>43789</v>
      </c>
      <c r="G289" s="3">
        <v>44600000</v>
      </c>
      <c r="H289" s="2">
        <v>1.4999999999999999E-2</v>
      </c>
      <c r="I289" s="17">
        <v>43789</v>
      </c>
      <c r="J289" s="17">
        <v>43799</v>
      </c>
      <c r="K289" s="3">
        <f>J289-I289+1</f>
        <v>11</v>
      </c>
      <c r="L289" s="3">
        <f>ROUND(G289*H289*K289/365,0)</f>
        <v>20162</v>
      </c>
      <c r="M289" s="3">
        <v>44600000</v>
      </c>
    </row>
    <row r="290" spans="1:13" s="16" customFormat="1" outlineLevel="2">
      <c r="A290" s="17" t="s">
        <v>55</v>
      </c>
      <c r="B290" s="18" t="s">
        <v>380</v>
      </c>
      <c r="C290" s="19" t="s">
        <v>265</v>
      </c>
      <c r="D290" s="18" t="s">
        <v>264</v>
      </c>
      <c r="E290" s="3">
        <v>547680</v>
      </c>
      <c r="F290" s="17">
        <v>43773</v>
      </c>
      <c r="G290" s="3">
        <v>547680</v>
      </c>
      <c r="H290" s="2">
        <v>1.4999999999999999E-2</v>
      </c>
      <c r="I290" s="17">
        <v>43773</v>
      </c>
      <c r="J290" s="17">
        <v>43799</v>
      </c>
      <c r="K290" s="3">
        <f>J290-I290+1</f>
        <v>27</v>
      </c>
      <c r="L290" s="3">
        <f>ROUND(G290*H290*K290/365,0)</f>
        <v>608</v>
      </c>
      <c r="M290" s="3">
        <v>547680</v>
      </c>
    </row>
    <row r="291" spans="1:13" s="16" customFormat="1" outlineLevel="2">
      <c r="A291" s="17" t="s">
        <v>55</v>
      </c>
      <c r="B291" s="18" t="s">
        <v>379</v>
      </c>
      <c r="C291" s="19" t="s">
        <v>320</v>
      </c>
      <c r="D291" s="18" t="s">
        <v>319</v>
      </c>
      <c r="E291" s="3">
        <v>1654576</v>
      </c>
      <c r="F291" s="17">
        <v>43775</v>
      </c>
      <c r="G291" s="3">
        <v>1654576</v>
      </c>
      <c r="H291" s="2">
        <v>1.4999999999999999E-2</v>
      </c>
      <c r="I291" s="17">
        <v>43775</v>
      </c>
      <c r="J291" s="17">
        <v>43799</v>
      </c>
      <c r="K291" s="3">
        <f>J291-I291+1</f>
        <v>25</v>
      </c>
      <c r="L291" s="3">
        <f>ROUND(G291*H291*K291/365,0)</f>
        <v>1700</v>
      </c>
      <c r="M291" s="3">
        <v>1654576</v>
      </c>
    </row>
    <row r="292" spans="1:13" s="16" customFormat="1" outlineLevel="2">
      <c r="A292" s="17" t="s">
        <v>55</v>
      </c>
      <c r="B292" s="18" t="s">
        <v>378</v>
      </c>
      <c r="C292" s="19" t="s">
        <v>320</v>
      </c>
      <c r="D292" s="18" t="s">
        <v>319</v>
      </c>
      <c r="E292" s="3">
        <v>3604177</v>
      </c>
      <c r="F292" s="17">
        <v>43775</v>
      </c>
      <c r="G292" s="3">
        <v>3604177</v>
      </c>
      <c r="H292" s="2">
        <v>1.4999999999999999E-2</v>
      </c>
      <c r="I292" s="17">
        <v>43775</v>
      </c>
      <c r="J292" s="17">
        <v>43799</v>
      </c>
      <c r="K292" s="3">
        <f>J292-I292+1</f>
        <v>25</v>
      </c>
      <c r="L292" s="3">
        <f>ROUND(G292*H292*K292/365,0)</f>
        <v>3703</v>
      </c>
      <c r="M292" s="3">
        <v>3604177</v>
      </c>
    </row>
    <row r="293" spans="1:13" s="16" customFormat="1" outlineLevel="2">
      <c r="A293" s="17" t="s">
        <v>55</v>
      </c>
      <c r="B293" s="18" t="s">
        <v>377</v>
      </c>
      <c r="C293" s="19" t="s">
        <v>320</v>
      </c>
      <c r="D293" s="18" t="s">
        <v>319</v>
      </c>
      <c r="E293" s="3">
        <v>1688400</v>
      </c>
      <c r="F293" s="17">
        <v>43791</v>
      </c>
      <c r="G293" s="3">
        <v>1688400</v>
      </c>
      <c r="H293" s="2">
        <v>1.4999999999999999E-2</v>
      </c>
      <c r="I293" s="17">
        <v>43791</v>
      </c>
      <c r="J293" s="17">
        <v>43799</v>
      </c>
      <c r="K293" s="3">
        <f>J293-I293+1</f>
        <v>9</v>
      </c>
      <c r="L293" s="3">
        <f>ROUND(G293*H293*K293/365,0)</f>
        <v>624</v>
      </c>
      <c r="M293" s="3">
        <v>1688400</v>
      </c>
    </row>
    <row r="294" spans="1:13" s="16" customFormat="1" outlineLevel="2">
      <c r="A294" s="17" t="s">
        <v>55</v>
      </c>
      <c r="B294" s="18" t="s">
        <v>376</v>
      </c>
      <c r="C294" s="19" t="s">
        <v>185</v>
      </c>
      <c r="D294" s="18" t="s">
        <v>184</v>
      </c>
      <c r="E294" s="3">
        <v>4000000</v>
      </c>
      <c r="F294" s="17">
        <v>43780</v>
      </c>
      <c r="G294" s="3">
        <v>4000000</v>
      </c>
      <c r="H294" s="2">
        <v>5.0000000000000001E-3</v>
      </c>
      <c r="I294" s="17">
        <v>43780</v>
      </c>
      <c r="J294" s="17">
        <v>43799</v>
      </c>
      <c r="K294" s="3">
        <f>J294-I294+1</f>
        <v>20</v>
      </c>
      <c r="L294" s="3">
        <f>ROUND(G294*H294*K294/365,0)</f>
        <v>1096</v>
      </c>
      <c r="M294" s="3">
        <v>4000000</v>
      </c>
    </row>
    <row r="295" spans="1:13" s="16" customFormat="1" outlineLevel="2">
      <c r="A295" s="17" t="s">
        <v>55</v>
      </c>
      <c r="B295" s="18" t="s">
        <v>375</v>
      </c>
      <c r="C295" s="19" t="s">
        <v>282</v>
      </c>
      <c r="D295" s="18" t="s">
        <v>281</v>
      </c>
      <c r="E295" s="3">
        <v>12800000</v>
      </c>
      <c r="F295" s="17">
        <v>43796</v>
      </c>
      <c r="G295" s="3">
        <v>12800000</v>
      </c>
      <c r="H295" s="2">
        <v>5.0000000000000001E-3</v>
      </c>
      <c r="I295" s="17">
        <v>43796</v>
      </c>
      <c r="J295" s="17">
        <v>43799</v>
      </c>
      <c r="K295" s="3">
        <f>J295-I295+1</f>
        <v>4</v>
      </c>
      <c r="L295" s="3">
        <f>ROUND(G295*H295*K295/365,0)</f>
        <v>701</v>
      </c>
      <c r="M295" s="3">
        <v>12800000</v>
      </c>
    </row>
    <row r="296" spans="1:13" s="16" customFormat="1" outlineLevel="2">
      <c r="A296" s="17" t="s">
        <v>55</v>
      </c>
      <c r="B296" s="18" t="s">
        <v>180</v>
      </c>
      <c r="C296" s="19" t="s">
        <v>51</v>
      </c>
      <c r="D296" s="18" t="s">
        <v>50</v>
      </c>
      <c r="E296" s="3">
        <v>15000000</v>
      </c>
      <c r="F296" s="17">
        <v>43677</v>
      </c>
      <c r="G296" s="3">
        <v>15000000</v>
      </c>
      <c r="H296" s="2">
        <v>1.4999999999999999E-2</v>
      </c>
      <c r="I296" s="17">
        <v>43770</v>
      </c>
      <c r="J296" s="17">
        <v>43799</v>
      </c>
      <c r="K296" s="3">
        <f>J296-I296+1</f>
        <v>30</v>
      </c>
      <c r="L296" s="3">
        <f>ROUND(G296*H296*K296/365,0)</f>
        <v>18493</v>
      </c>
      <c r="M296" s="3">
        <v>15000000</v>
      </c>
    </row>
    <row r="297" spans="1:13" s="16" customFormat="1" outlineLevel="2">
      <c r="A297" s="17" t="s">
        <v>55</v>
      </c>
      <c r="B297" s="18" t="s">
        <v>374</v>
      </c>
      <c r="C297" s="19" t="s">
        <v>332</v>
      </c>
      <c r="D297" s="18" t="s">
        <v>331</v>
      </c>
      <c r="E297" s="3">
        <v>20000000</v>
      </c>
      <c r="F297" s="17">
        <v>43780</v>
      </c>
      <c r="G297" s="3">
        <v>20000000</v>
      </c>
      <c r="H297" s="2">
        <v>1.4999999999999999E-2</v>
      </c>
      <c r="I297" s="17">
        <v>43780</v>
      </c>
      <c r="J297" s="17">
        <v>43799</v>
      </c>
      <c r="K297" s="3">
        <f>J297-I297+1</f>
        <v>20</v>
      </c>
      <c r="L297" s="3">
        <f>ROUND(G297*H297*K297/365,0)</f>
        <v>16438</v>
      </c>
      <c r="M297" s="3">
        <v>20000000</v>
      </c>
    </row>
    <row r="298" spans="1:13" s="16" customFormat="1" outlineLevel="2">
      <c r="A298" s="17" t="s">
        <v>55</v>
      </c>
      <c r="B298" s="18" t="s">
        <v>373</v>
      </c>
      <c r="C298" s="19" t="s">
        <v>370</v>
      </c>
      <c r="D298" s="18" t="s">
        <v>369</v>
      </c>
      <c r="E298" s="3">
        <v>40000000</v>
      </c>
      <c r="F298" s="17">
        <v>43798</v>
      </c>
      <c r="G298" s="3">
        <v>40000000</v>
      </c>
      <c r="H298" s="2">
        <v>5.0000000000000001E-3</v>
      </c>
      <c r="I298" s="17">
        <v>43798</v>
      </c>
      <c r="J298" s="17">
        <v>43799</v>
      </c>
      <c r="K298" s="3">
        <f>J298-I298+1</f>
        <v>2</v>
      </c>
      <c r="L298" s="3">
        <f>ROUND(G298*H298*K298/365,0)</f>
        <v>1096</v>
      </c>
      <c r="M298" s="3">
        <v>40000000</v>
      </c>
    </row>
    <row r="299" spans="1:13" s="16" customFormat="1" outlineLevel="2">
      <c r="A299" s="17" t="s">
        <v>55</v>
      </c>
      <c r="B299" s="18" t="s">
        <v>372</v>
      </c>
      <c r="C299" s="19" t="s">
        <v>388</v>
      </c>
      <c r="D299" s="18" t="s">
        <v>387</v>
      </c>
      <c r="E299" s="3">
        <v>26999999</v>
      </c>
      <c r="F299" s="17">
        <v>43791</v>
      </c>
      <c r="G299" s="3">
        <v>26999999</v>
      </c>
      <c r="H299" s="2">
        <v>5.0000000000000001E-3</v>
      </c>
      <c r="I299" s="17">
        <v>43791</v>
      </c>
      <c r="J299" s="17">
        <v>43799</v>
      </c>
      <c r="K299" s="3">
        <f>J299-I299+1</f>
        <v>9</v>
      </c>
      <c r="L299" s="3">
        <f>ROUND(G299*H299*K299/365,0)</f>
        <v>3329</v>
      </c>
      <c r="M299" s="3">
        <v>26999999</v>
      </c>
    </row>
    <row r="300" spans="1:13" s="16" customFormat="1" outlineLevel="2">
      <c r="A300" s="17" t="s">
        <v>55</v>
      </c>
      <c r="B300" s="18" t="s">
        <v>179</v>
      </c>
      <c r="C300" s="19" t="s">
        <v>51</v>
      </c>
      <c r="D300" s="18" t="s">
        <v>50</v>
      </c>
      <c r="E300" s="3">
        <v>96000000</v>
      </c>
      <c r="F300" s="17">
        <v>43650</v>
      </c>
      <c r="G300" s="3">
        <v>96000000</v>
      </c>
      <c r="H300" s="2">
        <v>1.4999999999999999E-2</v>
      </c>
      <c r="I300" s="17">
        <v>43770</v>
      </c>
      <c r="J300" s="17">
        <v>43799</v>
      </c>
      <c r="K300" s="3">
        <f>J300-I300+1</f>
        <v>30</v>
      </c>
      <c r="L300" s="3">
        <f>ROUND(G300*H300*K300/365,0)</f>
        <v>118356</v>
      </c>
      <c r="M300" s="3">
        <v>96000000</v>
      </c>
    </row>
    <row r="301" spans="1:13" s="16" customFormat="1" outlineLevel="2">
      <c r="A301" s="17" t="s">
        <v>55</v>
      </c>
      <c r="B301" s="18" t="s">
        <v>178</v>
      </c>
      <c r="C301" s="19" t="s">
        <v>51</v>
      </c>
      <c r="D301" s="18" t="s">
        <v>50</v>
      </c>
      <c r="E301" s="3">
        <v>347000000</v>
      </c>
      <c r="F301" s="17">
        <v>43656</v>
      </c>
      <c r="G301" s="3">
        <v>347000000</v>
      </c>
      <c r="H301" s="2">
        <v>1.4999999999999999E-2</v>
      </c>
      <c r="I301" s="17">
        <v>43770</v>
      </c>
      <c r="J301" s="17">
        <v>43799</v>
      </c>
      <c r="K301" s="3">
        <f>J301-I301+1</f>
        <v>30</v>
      </c>
      <c r="L301" s="3">
        <f>ROUND(G301*H301*K301/365,0)</f>
        <v>427808</v>
      </c>
      <c r="M301" s="3">
        <v>347000000</v>
      </c>
    </row>
    <row r="302" spans="1:13" s="16" customFormat="1" outlineLevel="2">
      <c r="A302" s="17" t="s">
        <v>55</v>
      </c>
      <c r="B302" s="18" t="s">
        <v>177</v>
      </c>
      <c r="C302" s="19" t="s">
        <v>159</v>
      </c>
      <c r="D302" s="18" t="s">
        <v>158</v>
      </c>
      <c r="E302" s="3">
        <v>93146000</v>
      </c>
      <c r="F302" s="17">
        <v>43663</v>
      </c>
      <c r="G302" s="3">
        <v>93146000</v>
      </c>
      <c r="H302" s="2">
        <v>1.4999999999999999E-2</v>
      </c>
      <c r="I302" s="17">
        <v>43770</v>
      </c>
      <c r="J302" s="17">
        <v>43799</v>
      </c>
      <c r="K302" s="3">
        <f>J302-I302+1</f>
        <v>30</v>
      </c>
      <c r="L302" s="3">
        <f>ROUND(G302*H302*K302/365,0)</f>
        <v>114838</v>
      </c>
      <c r="M302" s="3">
        <v>93146000</v>
      </c>
    </row>
    <row r="303" spans="1:13" s="16" customFormat="1" outlineLevel="2">
      <c r="A303" s="17" t="s">
        <v>55</v>
      </c>
      <c r="B303" s="18" t="s">
        <v>176</v>
      </c>
      <c r="C303" s="19" t="s">
        <v>159</v>
      </c>
      <c r="D303" s="18" t="s">
        <v>158</v>
      </c>
      <c r="E303" s="3">
        <v>44447000</v>
      </c>
      <c r="F303" s="17">
        <v>43663</v>
      </c>
      <c r="G303" s="3">
        <v>44447000</v>
      </c>
      <c r="H303" s="2">
        <v>1.4999999999999999E-2</v>
      </c>
      <c r="I303" s="17">
        <v>43770</v>
      </c>
      <c r="J303" s="17">
        <v>43799</v>
      </c>
      <c r="K303" s="3">
        <f>J303-I303+1</f>
        <v>30</v>
      </c>
      <c r="L303" s="3">
        <f>ROUND(G303*H303*K303/365,0)</f>
        <v>54798</v>
      </c>
      <c r="M303" s="3">
        <v>44447000</v>
      </c>
    </row>
    <row r="304" spans="1:13" s="16" customFormat="1" outlineLevel="2">
      <c r="A304" s="17" t="s">
        <v>55</v>
      </c>
      <c r="B304" s="18" t="s">
        <v>175</v>
      </c>
      <c r="C304" s="19" t="s">
        <v>183</v>
      </c>
      <c r="D304" s="18" t="s">
        <v>182</v>
      </c>
      <c r="E304" s="3">
        <v>21200000</v>
      </c>
      <c r="F304" s="17">
        <v>43672</v>
      </c>
      <c r="G304" s="3">
        <v>21200000</v>
      </c>
      <c r="H304" s="2">
        <v>5.0000000000000001E-3</v>
      </c>
      <c r="I304" s="17">
        <v>43770</v>
      </c>
      <c r="J304" s="17">
        <v>43799</v>
      </c>
      <c r="K304" s="3">
        <f>J304-I304+1</f>
        <v>30</v>
      </c>
      <c r="L304" s="3">
        <f>ROUND(G304*H304*K304/365,0)</f>
        <v>8712</v>
      </c>
      <c r="M304" s="3">
        <v>21200000</v>
      </c>
    </row>
    <row r="305" spans="1:13" s="16" customFormat="1" outlineLevel="2">
      <c r="A305" s="17" t="s">
        <v>55</v>
      </c>
      <c r="B305" s="18" t="s">
        <v>174</v>
      </c>
      <c r="C305" s="19" t="s">
        <v>43</v>
      </c>
      <c r="D305" s="18" t="s">
        <v>26</v>
      </c>
      <c r="E305" s="3">
        <v>1858500</v>
      </c>
      <c r="F305" s="17">
        <v>43675</v>
      </c>
      <c r="G305" s="3">
        <v>1858500</v>
      </c>
      <c r="H305" s="2">
        <v>1.4999999999999999E-2</v>
      </c>
      <c r="I305" s="17">
        <v>43770</v>
      </c>
      <c r="J305" s="17">
        <v>43799</v>
      </c>
      <c r="K305" s="3">
        <f>J305-I305+1</f>
        <v>30</v>
      </c>
      <c r="L305" s="3">
        <f>ROUND(G305*H305*K305/365,0)</f>
        <v>2291</v>
      </c>
      <c r="M305" s="3">
        <v>1858500</v>
      </c>
    </row>
    <row r="306" spans="1:13" s="16" customFormat="1" outlineLevel="2">
      <c r="A306" s="17" t="s">
        <v>55</v>
      </c>
      <c r="B306" s="18" t="s">
        <v>171</v>
      </c>
      <c r="C306" s="19" t="s">
        <v>198</v>
      </c>
      <c r="D306" s="18" t="s">
        <v>197</v>
      </c>
      <c r="E306" s="3">
        <v>980000000</v>
      </c>
      <c r="F306" s="17">
        <v>43671</v>
      </c>
      <c r="G306" s="3">
        <v>980000000</v>
      </c>
      <c r="H306" s="2">
        <v>1.4999999999999999E-2</v>
      </c>
      <c r="I306" s="17">
        <v>43770</v>
      </c>
      <c r="J306" s="17">
        <v>43799</v>
      </c>
      <c r="K306" s="3">
        <f>J306-I306+1</f>
        <v>30</v>
      </c>
      <c r="L306" s="3">
        <f>ROUND(G306*H306*K306/365,0)</f>
        <v>1208219</v>
      </c>
      <c r="M306" s="3">
        <v>980000000</v>
      </c>
    </row>
    <row r="307" spans="1:13" s="16" customFormat="1" outlineLevel="2">
      <c r="A307" s="17" t="s">
        <v>55</v>
      </c>
      <c r="B307" s="18" t="s">
        <v>170</v>
      </c>
      <c r="C307" s="19" t="s">
        <v>188</v>
      </c>
      <c r="D307" s="18" t="s">
        <v>187</v>
      </c>
      <c r="E307" s="3">
        <v>7302000</v>
      </c>
      <c r="F307" s="17">
        <v>43661</v>
      </c>
      <c r="G307" s="3">
        <v>7302000</v>
      </c>
      <c r="H307" s="2">
        <v>1.4999999999999999E-2</v>
      </c>
      <c r="I307" s="17">
        <v>43770</v>
      </c>
      <c r="J307" s="17">
        <v>43799</v>
      </c>
      <c r="K307" s="3">
        <f>J307-I307+1</f>
        <v>30</v>
      </c>
      <c r="L307" s="3">
        <f>ROUND(G307*H307*K307/365,0)</f>
        <v>9002</v>
      </c>
      <c r="M307" s="3">
        <v>7302000</v>
      </c>
    </row>
    <row r="308" spans="1:13" s="16" customFormat="1" outlineLevel="2">
      <c r="A308" s="17" t="s">
        <v>55</v>
      </c>
      <c r="B308" s="18" t="s">
        <v>31</v>
      </c>
      <c r="C308" s="19" t="s">
        <v>54</v>
      </c>
      <c r="D308" s="18" t="s">
        <v>34</v>
      </c>
      <c r="E308" s="3">
        <v>11202000</v>
      </c>
      <c r="F308" s="17">
        <v>43641</v>
      </c>
      <c r="G308" s="3">
        <v>11202000</v>
      </c>
      <c r="H308" s="2">
        <v>1.4999999999999999E-2</v>
      </c>
      <c r="I308" s="17">
        <v>43770</v>
      </c>
      <c r="J308" s="17">
        <v>43799</v>
      </c>
      <c r="K308" s="3">
        <f>J308-I308+1</f>
        <v>30</v>
      </c>
      <c r="L308" s="3">
        <f>ROUND(G308*H308*K308/365,0)</f>
        <v>13811</v>
      </c>
      <c r="M308" s="3">
        <v>11202000</v>
      </c>
    </row>
    <row r="309" spans="1:13" s="16" customFormat="1" outlineLevel="2">
      <c r="A309" s="17" t="s">
        <v>55</v>
      </c>
      <c r="B309" s="18" t="s">
        <v>169</v>
      </c>
      <c r="C309" s="19" t="s">
        <v>188</v>
      </c>
      <c r="D309" s="18" t="s">
        <v>187</v>
      </c>
      <c r="E309" s="3">
        <v>98492000</v>
      </c>
      <c r="F309" s="17">
        <v>43661</v>
      </c>
      <c r="G309" s="3">
        <v>98492000</v>
      </c>
      <c r="H309" s="2">
        <v>1.4999999999999999E-2</v>
      </c>
      <c r="I309" s="17">
        <v>43770</v>
      </c>
      <c r="J309" s="17">
        <v>43799</v>
      </c>
      <c r="K309" s="3">
        <f>J309-I309+1</f>
        <v>30</v>
      </c>
      <c r="L309" s="3">
        <f>ROUND(G309*H309*K309/365,0)</f>
        <v>121428</v>
      </c>
      <c r="M309" s="3">
        <v>98492000</v>
      </c>
    </row>
    <row r="310" spans="1:13" s="16" customFormat="1" outlineLevel="2">
      <c r="A310" s="17" t="s">
        <v>55</v>
      </c>
      <c r="B310" s="18" t="s">
        <v>168</v>
      </c>
      <c r="C310" s="19" t="s">
        <v>54</v>
      </c>
      <c r="D310" s="18" t="s">
        <v>34</v>
      </c>
      <c r="E310" s="3">
        <v>23686000</v>
      </c>
      <c r="F310" s="17">
        <v>43682</v>
      </c>
      <c r="G310" s="3">
        <v>23686000</v>
      </c>
      <c r="H310" s="2">
        <v>1.4999999999999999E-2</v>
      </c>
      <c r="I310" s="17">
        <v>43770</v>
      </c>
      <c r="J310" s="17">
        <v>43799</v>
      </c>
      <c r="K310" s="3">
        <f>J310-I310+1</f>
        <v>30</v>
      </c>
      <c r="L310" s="3">
        <f>ROUND(G310*H310*K310/365,0)</f>
        <v>29202</v>
      </c>
      <c r="M310" s="3">
        <v>23686000</v>
      </c>
    </row>
    <row r="311" spans="1:13" s="16" customFormat="1" outlineLevel="2">
      <c r="A311" s="17" t="s">
        <v>55</v>
      </c>
      <c r="B311" s="18" t="s">
        <v>167</v>
      </c>
      <c r="C311" s="19" t="s">
        <v>54</v>
      </c>
      <c r="D311" s="18" t="s">
        <v>34</v>
      </c>
      <c r="E311" s="3">
        <v>3080000</v>
      </c>
      <c r="F311" s="17">
        <v>43692</v>
      </c>
      <c r="G311" s="3">
        <v>3080000</v>
      </c>
      <c r="H311" s="2">
        <v>1.4999999999999999E-2</v>
      </c>
      <c r="I311" s="17">
        <v>43770</v>
      </c>
      <c r="J311" s="17">
        <v>43799</v>
      </c>
      <c r="K311" s="3">
        <f>J311-I311+1</f>
        <v>30</v>
      </c>
      <c r="L311" s="3">
        <f>ROUND(G311*H311*K311/365,0)</f>
        <v>3797</v>
      </c>
      <c r="M311" s="3">
        <v>3080000</v>
      </c>
    </row>
    <row r="312" spans="1:13" s="16" customFormat="1" outlineLevel="2">
      <c r="A312" s="17" t="s">
        <v>55</v>
      </c>
      <c r="B312" s="18" t="s">
        <v>166</v>
      </c>
      <c r="C312" s="19" t="s">
        <v>54</v>
      </c>
      <c r="D312" s="18" t="s">
        <v>34</v>
      </c>
      <c r="E312" s="3">
        <v>1506000</v>
      </c>
      <c r="F312" s="17">
        <v>43696</v>
      </c>
      <c r="G312" s="3">
        <v>1506000</v>
      </c>
      <c r="H312" s="2">
        <v>1.4999999999999999E-2</v>
      </c>
      <c r="I312" s="17">
        <v>43770</v>
      </c>
      <c r="J312" s="17">
        <v>43799</v>
      </c>
      <c r="K312" s="3">
        <f>J312-I312+1</f>
        <v>30</v>
      </c>
      <c r="L312" s="3">
        <f>ROUND(G312*H312*K312/365,0)</f>
        <v>1857</v>
      </c>
      <c r="M312" s="3">
        <v>1506000</v>
      </c>
    </row>
    <row r="313" spans="1:13" s="16" customFormat="1" outlineLevel="2">
      <c r="A313" s="17" t="s">
        <v>55</v>
      </c>
      <c r="B313" s="18" t="s">
        <v>165</v>
      </c>
      <c r="C313" s="19" t="s">
        <v>54</v>
      </c>
      <c r="D313" s="18" t="s">
        <v>34</v>
      </c>
      <c r="E313" s="3">
        <v>12655000</v>
      </c>
      <c r="F313" s="17">
        <v>43703</v>
      </c>
      <c r="G313" s="3">
        <v>12655000</v>
      </c>
      <c r="H313" s="2">
        <v>1.4999999999999999E-2</v>
      </c>
      <c r="I313" s="17">
        <v>43770</v>
      </c>
      <c r="J313" s="17">
        <v>43799</v>
      </c>
      <c r="K313" s="3">
        <f>J313-I313+1</f>
        <v>30</v>
      </c>
      <c r="L313" s="3">
        <f>ROUND(G313*H313*K313/365,0)</f>
        <v>15602</v>
      </c>
      <c r="M313" s="3">
        <v>12655000</v>
      </c>
    </row>
    <row r="314" spans="1:13" s="16" customFormat="1" outlineLevel="2">
      <c r="A314" s="17" t="s">
        <v>55</v>
      </c>
      <c r="B314" s="18" t="s">
        <v>164</v>
      </c>
      <c r="C314" s="19" t="s">
        <v>51</v>
      </c>
      <c r="D314" s="18" t="s">
        <v>50</v>
      </c>
      <c r="E314" s="3">
        <v>45000000</v>
      </c>
      <c r="F314" s="17">
        <v>43698</v>
      </c>
      <c r="G314" s="3">
        <v>45000000</v>
      </c>
      <c r="H314" s="2">
        <v>1.4999999999999999E-2</v>
      </c>
      <c r="I314" s="17">
        <v>43770</v>
      </c>
      <c r="J314" s="17">
        <v>43799</v>
      </c>
      <c r="K314" s="3">
        <f>J314-I314+1</f>
        <v>30</v>
      </c>
      <c r="L314" s="3">
        <f>ROUND(G314*H314*K314/365,0)</f>
        <v>55479</v>
      </c>
      <c r="M314" s="3">
        <v>45000000</v>
      </c>
    </row>
    <row r="315" spans="1:13" s="16" customFormat="1" outlineLevel="2">
      <c r="A315" s="17" t="s">
        <v>55</v>
      </c>
      <c r="B315" s="18" t="s">
        <v>161</v>
      </c>
      <c r="C315" s="19" t="s">
        <v>159</v>
      </c>
      <c r="D315" s="18" t="s">
        <v>158</v>
      </c>
      <c r="E315" s="3">
        <v>21241000</v>
      </c>
      <c r="F315" s="17">
        <v>43693</v>
      </c>
      <c r="G315" s="3">
        <v>21241000</v>
      </c>
      <c r="H315" s="2">
        <v>1.4999999999999999E-2</v>
      </c>
      <c r="I315" s="17">
        <v>43770</v>
      </c>
      <c r="J315" s="17">
        <v>43799</v>
      </c>
      <c r="K315" s="3">
        <f>J315-I315+1</f>
        <v>30</v>
      </c>
      <c r="L315" s="3">
        <f>ROUND(G315*H315*K315/365,0)</f>
        <v>26188</v>
      </c>
      <c r="M315" s="3">
        <v>21241000</v>
      </c>
    </row>
    <row r="316" spans="1:13" s="16" customFormat="1" outlineLevel="2">
      <c r="A316" s="17" t="s">
        <v>55</v>
      </c>
      <c r="B316" s="18" t="s">
        <v>160</v>
      </c>
      <c r="C316" s="19" t="s">
        <v>159</v>
      </c>
      <c r="D316" s="18" t="s">
        <v>158</v>
      </c>
      <c r="E316" s="3">
        <v>7741000</v>
      </c>
      <c r="F316" s="17">
        <v>43693</v>
      </c>
      <c r="G316" s="3">
        <v>7741000</v>
      </c>
      <c r="H316" s="2">
        <v>1.4999999999999999E-2</v>
      </c>
      <c r="I316" s="17">
        <v>43770</v>
      </c>
      <c r="J316" s="17">
        <v>43799</v>
      </c>
      <c r="K316" s="3">
        <f>J316-I316+1</f>
        <v>30</v>
      </c>
      <c r="L316" s="3">
        <f>ROUND(G316*H316*K316/365,0)</f>
        <v>9544</v>
      </c>
      <c r="M316" s="3">
        <v>7741000</v>
      </c>
    </row>
    <row r="317" spans="1:13" s="16" customFormat="1" outlineLevel="2">
      <c r="A317" s="17" t="s">
        <v>55</v>
      </c>
      <c r="B317" s="18" t="s">
        <v>157</v>
      </c>
      <c r="C317" s="19" t="s">
        <v>183</v>
      </c>
      <c r="D317" s="18" t="s">
        <v>182</v>
      </c>
      <c r="E317" s="3">
        <v>14360000</v>
      </c>
      <c r="F317" s="17">
        <v>43696</v>
      </c>
      <c r="G317" s="3">
        <v>14360000</v>
      </c>
      <c r="H317" s="2">
        <v>5.0000000000000001E-3</v>
      </c>
      <c r="I317" s="17">
        <v>43770</v>
      </c>
      <c r="J317" s="17">
        <v>43799</v>
      </c>
      <c r="K317" s="3">
        <f>J317-I317+1</f>
        <v>30</v>
      </c>
      <c r="L317" s="3">
        <f>ROUND(G317*H317*K317/365,0)</f>
        <v>5901</v>
      </c>
      <c r="M317" s="3">
        <v>14360000</v>
      </c>
    </row>
    <row r="318" spans="1:13" s="16" customFormat="1" outlineLevel="2">
      <c r="A318" s="17" t="s">
        <v>55</v>
      </c>
      <c r="B318" s="18" t="s">
        <v>156</v>
      </c>
      <c r="C318" s="19" t="s">
        <v>183</v>
      </c>
      <c r="D318" s="18" t="s">
        <v>182</v>
      </c>
      <c r="E318" s="3">
        <v>10871559</v>
      </c>
      <c r="F318" s="17">
        <v>43684</v>
      </c>
      <c r="G318" s="3">
        <v>10871559</v>
      </c>
      <c r="H318" s="2">
        <v>5.0000000000000001E-3</v>
      </c>
      <c r="I318" s="17">
        <v>43770</v>
      </c>
      <c r="J318" s="17">
        <v>43799</v>
      </c>
      <c r="K318" s="3">
        <f>J318-I318+1</f>
        <v>30</v>
      </c>
      <c r="L318" s="3">
        <f>ROUND(G318*H318*K318/365,0)</f>
        <v>4468</v>
      </c>
      <c r="M318" s="3">
        <v>10871559</v>
      </c>
    </row>
    <row r="319" spans="1:13" s="16" customFormat="1" outlineLevel="2">
      <c r="A319" s="17" t="s">
        <v>55</v>
      </c>
      <c r="B319" s="18" t="s">
        <v>30</v>
      </c>
      <c r="C319" s="19" t="s">
        <v>54</v>
      </c>
      <c r="D319" s="18" t="s">
        <v>34</v>
      </c>
      <c r="E319" s="3">
        <v>2382000</v>
      </c>
      <c r="F319" s="17">
        <v>43647</v>
      </c>
      <c r="G319" s="3">
        <v>2382000</v>
      </c>
      <c r="H319" s="2">
        <v>1.4999999999999999E-2</v>
      </c>
      <c r="I319" s="17">
        <v>43770</v>
      </c>
      <c r="J319" s="17">
        <v>43799</v>
      </c>
      <c r="K319" s="3">
        <f>J319-I319+1</f>
        <v>30</v>
      </c>
      <c r="L319" s="3">
        <f>ROUND(G319*H319*K319/365,0)</f>
        <v>2937</v>
      </c>
      <c r="M319" s="3">
        <v>2382000</v>
      </c>
    </row>
    <row r="320" spans="1:13" s="16" customFormat="1" outlineLevel="2">
      <c r="A320" s="17" t="s">
        <v>55</v>
      </c>
      <c r="B320" s="18" t="s">
        <v>155</v>
      </c>
      <c r="C320" s="19" t="s">
        <v>183</v>
      </c>
      <c r="D320" s="18" t="s">
        <v>182</v>
      </c>
      <c r="E320" s="3">
        <v>7669734</v>
      </c>
      <c r="F320" s="17">
        <v>43684</v>
      </c>
      <c r="G320" s="3">
        <v>7669734</v>
      </c>
      <c r="H320" s="2">
        <v>5.0000000000000001E-3</v>
      </c>
      <c r="I320" s="17">
        <v>43770</v>
      </c>
      <c r="J320" s="17">
        <v>43799</v>
      </c>
      <c r="K320" s="3">
        <f>J320-I320+1</f>
        <v>30</v>
      </c>
      <c r="L320" s="3">
        <f>ROUND(G320*H320*K320/365,0)</f>
        <v>3152</v>
      </c>
      <c r="M320" s="3">
        <v>7669734</v>
      </c>
    </row>
    <row r="321" spans="1:13" s="16" customFormat="1" outlineLevel="2">
      <c r="A321" s="17" t="s">
        <v>55</v>
      </c>
      <c r="B321" s="18" t="s">
        <v>154</v>
      </c>
      <c r="C321" s="19" t="s">
        <v>183</v>
      </c>
      <c r="D321" s="18" t="s">
        <v>182</v>
      </c>
      <c r="E321" s="3">
        <v>10512413</v>
      </c>
      <c r="F321" s="17">
        <v>43689</v>
      </c>
      <c r="G321" s="3">
        <v>10512413</v>
      </c>
      <c r="H321" s="2">
        <v>5.0000000000000001E-3</v>
      </c>
      <c r="I321" s="17">
        <v>43770</v>
      </c>
      <c r="J321" s="17">
        <v>43799</v>
      </c>
      <c r="K321" s="3">
        <f>J321-I321+1</f>
        <v>30</v>
      </c>
      <c r="L321" s="3">
        <f>ROUND(G321*H321*K321/365,0)</f>
        <v>4320</v>
      </c>
      <c r="M321" s="3">
        <v>10512413</v>
      </c>
    </row>
    <row r="322" spans="1:13" s="16" customFormat="1" outlineLevel="2">
      <c r="A322" s="17" t="s">
        <v>55</v>
      </c>
      <c r="B322" s="18" t="s">
        <v>153</v>
      </c>
      <c r="C322" s="19" t="s">
        <v>183</v>
      </c>
      <c r="D322" s="18" t="s">
        <v>182</v>
      </c>
      <c r="E322" s="3">
        <v>10012074</v>
      </c>
      <c r="F322" s="17">
        <v>43705</v>
      </c>
      <c r="G322" s="3">
        <v>10012074</v>
      </c>
      <c r="H322" s="2">
        <v>5.0000000000000001E-3</v>
      </c>
      <c r="I322" s="17">
        <v>43770</v>
      </c>
      <c r="J322" s="17">
        <v>43799</v>
      </c>
      <c r="K322" s="3">
        <f>J322-I322+1</f>
        <v>30</v>
      </c>
      <c r="L322" s="3">
        <f>ROUND(G322*H322*K322/365,0)</f>
        <v>4115</v>
      </c>
      <c r="M322" s="3">
        <v>10012074</v>
      </c>
    </row>
    <row r="323" spans="1:13" s="16" customFormat="1" outlineLevel="2">
      <c r="A323" s="17" t="s">
        <v>55</v>
      </c>
      <c r="B323" s="18" t="s">
        <v>152</v>
      </c>
      <c r="C323" s="19" t="s">
        <v>43</v>
      </c>
      <c r="D323" s="18" t="s">
        <v>26</v>
      </c>
      <c r="E323" s="3">
        <v>18630500</v>
      </c>
      <c r="F323" s="17">
        <v>43685</v>
      </c>
      <c r="G323" s="3">
        <v>18630500</v>
      </c>
      <c r="H323" s="2">
        <v>1.4999999999999999E-2</v>
      </c>
      <c r="I323" s="17">
        <v>43770</v>
      </c>
      <c r="J323" s="17">
        <v>43799</v>
      </c>
      <c r="K323" s="3">
        <f>J323-I323+1</f>
        <v>30</v>
      </c>
      <c r="L323" s="3">
        <f>ROUND(G323*H323*K323/365,0)</f>
        <v>22969</v>
      </c>
      <c r="M323" s="3">
        <v>18630500</v>
      </c>
    </row>
    <row r="324" spans="1:13" s="16" customFormat="1" outlineLevel="2">
      <c r="A324" s="17" t="s">
        <v>55</v>
      </c>
      <c r="B324" s="18" t="s">
        <v>151</v>
      </c>
      <c r="C324" s="19" t="s">
        <v>43</v>
      </c>
      <c r="D324" s="18" t="s">
        <v>26</v>
      </c>
      <c r="E324" s="3">
        <v>54790672</v>
      </c>
      <c r="F324" s="17">
        <v>43696</v>
      </c>
      <c r="G324" s="3">
        <v>54790672</v>
      </c>
      <c r="H324" s="2">
        <v>1.4999999999999999E-2</v>
      </c>
      <c r="I324" s="17">
        <v>43770</v>
      </c>
      <c r="J324" s="17">
        <v>43799</v>
      </c>
      <c r="K324" s="3">
        <f>J324-I324+1</f>
        <v>30</v>
      </c>
      <c r="L324" s="3">
        <f>ROUND(G324*H324*K324/365,0)</f>
        <v>67550</v>
      </c>
      <c r="M324" s="3">
        <v>54790672</v>
      </c>
    </row>
    <row r="325" spans="1:13" s="16" customFormat="1" outlineLevel="2">
      <c r="A325" s="17" t="s">
        <v>55</v>
      </c>
      <c r="B325" s="18" t="s">
        <v>196</v>
      </c>
      <c r="C325" s="19" t="s">
        <v>43</v>
      </c>
      <c r="D325" s="18" t="s">
        <v>26</v>
      </c>
      <c r="E325" s="3">
        <v>13244438</v>
      </c>
      <c r="F325" s="17">
        <v>43705</v>
      </c>
      <c r="G325" s="3">
        <v>13244438</v>
      </c>
      <c r="H325" s="2">
        <v>1.4999999999999999E-2</v>
      </c>
      <c r="I325" s="17">
        <v>43770</v>
      </c>
      <c r="J325" s="17">
        <v>43799</v>
      </c>
      <c r="K325" s="3">
        <f>J325-I325+1</f>
        <v>30</v>
      </c>
      <c r="L325" s="3">
        <f>ROUND(G325*H325*K325/365,0)</f>
        <v>16329</v>
      </c>
      <c r="M325" s="3">
        <v>13244438</v>
      </c>
    </row>
    <row r="326" spans="1:13" s="16" customFormat="1" outlineLevel="2">
      <c r="A326" s="17" t="s">
        <v>55</v>
      </c>
      <c r="B326" s="18" t="s">
        <v>195</v>
      </c>
      <c r="C326" s="19" t="s">
        <v>43</v>
      </c>
      <c r="D326" s="18" t="s">
        <v>26</v>
      </c>
      <c r="E326" s="3">
        <v>6140736</v>
      </c>
      <c r="F326" s="17">
        <v>43685</v>
      </c>
      <c r="G326" s="3">
        <v>6140736</v>
      </c>
      <c r="H326" s="2">
        <v>1.4999999999999999E-2</v>
      </c>
      <c r="I326" s="17">
        <v>43770</v>
      </c>
      <c r="J326" s="17">
        <v>43799</v>
      </c>
      <c r="K326" s="3">
        <f>J326-I326+1</f>
        <v>30</v>
      </c>
      <c r="L326" s="3">
        <f>ROUND(G326*H326*K326/365,0)</f>
        <v>7571</v>
      </c>
      <c r="M326" s="3">
        <v>6140736</v>
      </c>
    </row>
    <row r="327" spans="1:13" s="16" customFormat="1" outlineLevel="2">
      <c r="A327" s="17" t="s">
        <v>55</v>
      </c>
      <c r="B327" s="18" t="s">
        <v>194</v>
      </c>
      <c r="C327" s="19" t="s">
        <v>43</v>
      </c>
      <c r="D327" s="18" t="s">
        <v>26</v>
      </c>
      <c r="E327" s="3">
        <v>5716241</v>
      </c>
      <c r="F327" s="17">
        <v>43696</v>
      </c>
      <c r="G327" s="3">
        <v>5716241</v>
      </c>
      <c r="H327" s="2">
        <v>1.4999999999999999E-2</v>
      </c>
      <c r="I327" s="17">
        <v>43770</v>
      </c>
      <c r="J327" s="17">
        <v>43799</v>
      </c>
      <c r="K327" s="3">
        <f>J327-I327+1</f>
        <v>30</v>
      </c>
      <c r="L327" s="3">
        <f>ROUND(G327*H327*K327/365,0)</f>
        <v>7047</v>
      </c>
      <c r="M327" s="3">
        <v>5716241</v>
      </c>
    </row>
    <row r="328" spans="1:13" s="16" customFormat="1" outlineLevel="2">
      <c r="A328" s="17" t="s">
        <v>55</v>
      </c>
      <c r="B328" s="18" t="s">
        <v>193</v>
      </c>
      <c r="C328" s="19" t="s">
        <v>43</v>
      </c>
      <c r="D328" s="18" t="s">
        <v>26</v>
      </c>
      <c r="E328" s="3">
        <v>10167768</v>
      </c>
      <c r="F328" s="17">
        <v>43705</v>
      </c>
      <c r="G328" s="3">
        <v>10167768</v>
      </c>
      <c r="H328" s="2">
        <v>1.4999999999999999E-2</v>
      </c>
      <c r="I328" s="17">
        <v>43770</v>
      </c>
      <c r="J328" s="17">
        <v>43799</v>
      </c>
      <c r="K328" s="3">
        <f>J328-I328+1</f>
        <v>30</v>
      </c>
      <c r="L328" s="3">
        <f>ROUND(G328*H328*K328/365,0)</f>
        <v>12536</v>
      </c>
      <c r="M328" s="3">
        <v>10167768</v>
      </c>
    </row>
    <row r="329" spans="1:13" s="16" customFormat="1" outlineLevel="2">
      <c r="A329" s="17" t="s">
        <v>55</v>
      </c>
      <c r="B329" s="18" t="s">
        <v>192</v>
      </c>
      <c r="C329" s="19" t="s">
        <v>188</v>
      </c>
      <c r="D329" s="18" t="s">
        <v>187</v>
      </c>
      <c r="E329" s="3">
        <v>19530000</v>
      </c>
      <c r="F329" s="17">
        <v>43692</v>
      </c>
      <c r="G329" s="3">
        <v>19530000</v>
      </c>
      <c r="H329" s="2">
        <v>1.4999999999999999E-2</v>
      </c>
      <c r="I329" s="17">
        <v>43770</v>
      </c>
      <c r="J329" s="17">
        <v>43799</v>
      </c>
      <c r="K329" s="3">
        <f>J329-I329+1</f>
        <v>30</v>
      </c>
      <c r="L329" s="3">
        <f>ROUND(G329*H329*K329/365,0)</f>
        <v>24078</v>
      </c>
      <c r="M329" s="3">
        <v>19530000</v>
      </c>
    </row>
    <row r="330" spans="1:13" s="16" customFormat="1" outlineLevel="2">
      <c r="A330" s="17" t="s">
        <v>55</v>
      </c>
      <c r="B330" s="18" t="s">
        <v>28</v>
      </c>
      <c r="C330" s="19" t="s">
        <v>54</v>
      </c>
      <c r="D330" s="18" t="s">
        <v>34</v>
      </c>
      <c r="E330" s="3">
        <v>25917000</v>
      </c>
      <c r="F330" s="17">
        <v>43651</v>
      </c>
      <c r="G330" s="3">
        <v>25917000</v>
      </c>
      <c r="H330" s="2">
        <v>1.4999999999999999E-2</v>
      </c>
      <c r="I330" s="17">
        <v>43770</v>
      </c>
      <c r="J330" s="17">
        <v>43799</v>
      </c>
      <c r="K330" s="3">
        <f>J330-I330+1</f>
        <v>30</v>
      </c>
      <c r="L330" s="3">
        <f>ROUND(G330*H330*K330/365,0)</f>
        <v>31952</v>
      </c>
      <c r="M330" s="3">
        <v>25917000</v>
      </c>
    </row>
    <row r="331" spans="1:13" s="16" customFormat="1" outlineLevel="2">
      <c r="A331" s="17" t="s">
        <v>55</v>
      </c>
      <c r="B331" s="18" t="s">
        <v>191</v>
      </c>
      <c r="C331" s="19" t="s">
        <v>188</v>
      </c>
      <c r="D331" s="18" t="s">
        <v>187</v>
      </c>
      <c r="E331" s="3">
        <v>1096000</v>
      </c>
      <c r="F331" s="17">
        <v>43707</v>
      </c>
      <c r="G331" s="3">
        <v>1096000</v>
      </c>
      <c r="H331" s="2">
        <v>1.4999999999999999E-2</v>
      </c>
      <c r="I331" s="17">
        <v>43770</v>
      </c>
      <c r="J331" s="17">
        <v>43799</v>
      </c>
      <c r="K331" s="3">
        <f>J331-I331+1</f>
        <v>30</v>
      </c>
      <c r="L331" s="3">
        <f>ROUND(G331*H331*K331/365,0)</f>
        <v>1351</v>
      </c>
      <c r="M331" s="3">
        <v>1096000</v>
      </c>
    </row>
    <row r="332" spans="1:13" s="16" customFormat="1" outlineLevel="2">
      <c r="A332" s="17" t="s">
        <v>55</v>
      </c>
      <c r="B332" s="18" t="s">
        <v>190</v>
      </c>
      <c r="C332" s="19" t="s">
        <v>188</v>
      </c>
      <c r="D332" s="18" t="s">
        <v>187</v>
      </c>
      <c r="E332" s="3">
        <v>15507000</v>
      </c>
      <c r="F332" s="17">
        <v>43692</v>
      </c>
      <c r="G332" s="3">
        <v>15507000</v>
      </c>
      <c r="H332" s="2">
        <v>1.4999999999999999E-2</v>
      </c>
      <c r="I332" s="17">
        <v>43770</v>
      </c>
      <c r="J332" s="17">
        <v>43799</v>
      </c>
      <c r="K332" s="3">
        <f>J332-I332+1</f>
        <v>30</v>
      </c>
      <c r="L332" s="3">
        <f>ROUND(G332*H332*K332/365,0)</f>
        <v>19118</v>
      </c>
      <c r="M332" s="3">
        <v>15507000</v>
      </c>
    </row>
    <row r="333" spans="1:13" s="16" customFormat="1" outlineLevel="2">
      <c r="A333" s="17" t="s">
        <v>55</v>
      </c>
      <c r="B333" s="18" t="s">
        <v>189</v>
      </c>
      <c r="C333" s="19" t="s">
        <v>188</v>
      </c>
      <c r="D333" s="18" t="s">
        <v>187</v>
      </c>
      <c r="E333" s="3">
        <v>23876000</v>
      </c>
      <c r="F333" s="17">
        <v>43707</v>
      </c>
      <c r="G333" s="3">
        <v>23876000</v>
      </c>
      <c r="H333" s="2">
        <v>1.4999999999999999E-2</v>
      </c>
      <c r="I333" s="17">
        <v>43770</v>
      </c>
      <c r="J333" s="17">
        <v>43799</v>
      </c>
      <c r="K333" s="3">
        <f>J333-I333+1</f>
        <v>30</v>
      </c>
      <c r="L333" s="3">
        <f>ROUND(G333*H333*K333/365,0)</f>
        <v>29436</v>
      </c>
      <c r="M333" s="3">
        <v>23876000</v>
      </c>
    </row>
    <row r="334" spans="1:13" s="16" customFormat="1" outlineLevel="2">
      <c r="A334" s="17" t="s">
        <v>55</v>
      </c>
      <c r="B334" s="18" t="s">
        <v>186</v>
      </c>
      <c r="C334" s="19" t="s">
        <v>185</v>
      </c>
      <c r="D334" s="18" t="s">
        <v>184</v>
      </c>
      <c r="E334" s="3">
        <v>32780000</v>
      </c>
      <c r="F334" s="17">
        <v>43689</v>
      </c>
      <c r="G334" s="3">
        <v>32780000</v>
      </c>
      <c r="H334" s="2">
        <v>5.0000000000000001E-3</v>
      </c>
      <c r="I334" s="17">
        <v>43770</v>
      </c>
      <c r="J334" s="17">
        <v>43799</v>
      </c>
      <c r="K334" s="3">
        <f>J334-I334+1</f>
        <v>30</v>
      </c>
      <c r="L334" s="3">
        <f>ROUND(G334*H334*K334/365,0)</f>
        <v>13471</v>
      </c>
      <c r="M334" s="3">
        <v>32780000</v>
      </c>
    </row>
    <row r="335" spans="1:13" s="16" customFormat="1" outlineLevel="2">
      <c r="A335" s="17" t="s">
        <v>55</v>
      </c>
      <c r="B335" s="18" t="s">
        <v>228</v>
      </c>
      <c r="C335" s="19" t="s">
        <v>54</v>
      </c>
      <c r="D335" s="18" t="s">
        <v>34</v>
      </c>
      <c r="E335" s="3">
        <v>4871000</v>
      </c>
      <c r="F335" s="17">
        <v>43710</v>
      </c>
      <c r="G335" s="3">
        <v>4871000</v>
      </c>
      <c r="H335" s="2">
        <v>1.4999999999999999E-2</v>
      </c>
      <c r="I335" s="17">
        <v>43770</v>
      </c>
      <c r="J335" s="17">
        <v>43799</v>
      </c>
      <c r="K335" s="3">
        <f>J335-I335+1</f>
        <v>30</v>
      </c>
      <c r="L335" s="3">
        <f>ROUND(G335*H335*K335/365,0)</f>
        <v>6005</v>
      </c>
      <c r="M335" s="3">
        <v>4871000</v>
      </c>
    </row>
    <row r="336" spans="1:13" s="16" customFormat="1" outlineLevel="2">
      <c r="A336" s="17" t="s">
        <v>55</v>
      </c>
      <c r="B336" s="18" t="s">
        <v>227</v>
      </c>
      <c r="C336" s="19" t="s">
        <v>54</v>
      </c>
      <c r="D336" s="18" t="s">
        <v>34</v>
      </c>
      <c r="E336" s="3">
        <v>40225000</v>
      </c>
      <c r="F336" s="17">
        <v>43713</v>
      </c>
      <c r="G336" s="3">
        <v>40225000</v>
      </c>
      <c r="H336" s="2">
        <v>1.4999999999999999E-2</v>
      </c>
      <c r="I336" s="17">
        <v>43770</v>
      </c>
      <c r="J336" s="17">
        <v>43799</v>
      </c>
      <c r="K336" s="3">
        <f>J336-I336+1</f>
        <v>30</v>
      </c>
      <c r="L336" s="3">
        <f>ROUND(G336*H336*K336/365,0)</f>
        <v>49592</v>
      </c>
      <c r="M336" s="3">
        <v>40225000</v>
      </c>
    </row>
    <row r="337" spans="1:13" s="16" customFormat="1" outlineLevel="2">
      <c r="A337" s="17" t="s">
        <v>55</v>
      </c>
      <c r="B337" s="18" t="s">
        <v>226</v>
      </c>
      <c r="C337" s="19" t="s">
        <v>54</v>
      </c>
      <c r="D337" s="18" t="s">
        <v>34</v>
      </c>
      <c r="E337" s="3">
        <v>9037000</v>
      </c>
      <c r="F337" s="17">
        <v>43724</v>
      </c>
      <c r="G337" s="3">
        <v>9037000</v>
      </c>
      <c r="H337" s="2">
        <v>1.4999999999999999E-2</v>
      </c>
      <c r="I337" s="17">
        <v>43770</v>
      </c>
      <c r="J337" s="17">
        <v>43799</v>
      </c>
      <c r="K337" s="3">
        <f>J337-I337+1</f>
        <v>30</v>
      </c>
      <c r="L337" s="3">
        <f>ROUND(G337*H337*K337/365,0)</f>
        <v>11142</v>
      </c>
      <c r="M337" s="3">
        <v>9037000</v>
      </c>
    </row>
    <row r="338" spans="1:13" s="16" customFormat="1" outlineLevel="2">
      <c r="A338" s="17" t="s">
        <v>55</v>
      </c>
      <c r="B338" s="18" t="s">
        <v>223</v>
      </c>
      <c r="C338" s="19" t="s">
        <v>54</v>
      </c>
      <c r="D338" s="18" t="s">
        <v>34</v>
      </c>
      <c r="E338" s="3">
        <v>849000</v>
      </c>
      <c r="F338" s="17">
        <v>43732</v>
      </c>
      <c r="G338" s="3">
        <v>849000</v>
      </c>
      <c r="H338" s="2">
        <v>1.4999999999999999E-2</v>
      </c>
      <c r="I338" s="17">
        <v>43770</v>
      </c>
      <c r="J338" s="17">
        <v>43799</v>
      </c>
      <c r="K338" s="3">
        <f>J338-I338+1</f>
        <v>30</v>
      </c>
      <c r="L338" s="3">
        <f>ROUND(G338*H338*K338/365,0)</f>
        <v>1047</v>
      </c>
      <c r="M338" s="3">
        <v>849000</v>
      </c>
    </row>
    <row r="339" spans="1:13" s="16" customFormat="1" outlineLevel="2">
      <c r="A339" s="17" t="s">
        <v>55</v>
      </c>
      <c r="B339" s="18" t="s">
        <v>241</v>
      </c>
      <c r="C339" s="19" t="s">
        <v>54</v>
      </c>
      <c r="D339" s="18" t="s">
        <v>34</v>
      </c>
      <c r="E339" s="3">
        <v>27422000</v>
      </c>
      <c r="F339" s="17">
        <v>43733</v>
      </c>
      <c r="G339" s="3">
        <v>27422000</v>
      </c>
      <c r="H339" s="2">
        <v>1.4999999999999999E-2</v>
      </c>
      <c r="I339" s="17">
        <v>43770</v>
      </c>
      <c r="J339" s="17">
        <v>43799</v>
      </c>
      <c r="K339" s="3">
        <f>J339-I339+1</f>
        <v>30</v>
      </c>
      <c r="L339" s="3">
        <f>ROUND(G339*H339*K339/365,0)</f>
        <v>33808</v>
      </c>
      <c r="M339" s="3">
        <v>27422000</v>
      </c>
    </row>
    <row r="340" spans="1:13" s="16" customFormat="1" outlineLevel="2">
      <c r="A340" s="17" t="s">
        <v>55</v>
      </c>
      <c r="B340" s="18" t="s">
        <v>240</v>
      </c>
      <c r="C340" s="19" t="s">
        <v>51</v>
      </c>
      <c r="D340" s="18" t="s">
        <v>50</v>
      </c>
      <c r="E340" s="3">
        <v>8000000</v>
      </c>
      <c r="F340" s="17">
        <v>43720</v>
      </c>
      <c r="G340" s="3">
        <v>8000000</v>
      </c>
      <c r="H340" s="2">
        <v>1.4999999999999999E-2</v>
      </c>
      <c r="I340" s="17">
        <v>43770</v>
      </c>
      <c r="J340" s="17">
        <v>43799</v>
      </c>
      <c r="K340" s="3">
        <f>J340-I340+1</f>
        <v>30</v>
      </c>
      <c r="L340" s="3">
        <f>ROUND(G340*H340*K340/365,0)</f>
        <v>9863</v>
      </c>
      <c r="M340" s="3">
        <v>8000000</v>
      </c>
    </row>
    <row r="341" spans="1:13" s="16" customFormat="1" outlineLevel="2">
      <c r="A341" s="17" t="s">
        <v>55</v>
      </c>
      <c r="B341" s="18" t="s">
        <v>48</v>
      </c>
      <c r="C341" s="19" t="s">
        <v>54</v>
      </c>
      <c r="D341" s="18" t="s">
        <v>34</v>
      </c>
      <c r="E341" s="3">
        <v>5067000</v>
      </c>
      <c r="F341" s="17">
        <v>43661</v>
      </c>
      <c r="G341" s="3">
        <v>5067000</v>
      </c>
      <c r="H341" s="2">
        <v>1.4999999999999999E-2</v>
      </c>
      <c r="I341" s="17">
        <v>43770</v>
      </c>
      <c r="J341" s="17">
        <v>43799</v>
      </c>
      <c r="K341" s="3">
        <f>J341-I341+1</f>
        <v>30</v>
      </c>
      <c r="L341" s="3">
        <f>ROUND(G341*H341*K341/365,0)</f>
        <v>6247</v>
      </c>
      <c r="M341" s="3">
        <v>5067000</v>
      </c>
    </row>
    <row r="342" spans="1:13" s="16" customFormat="1" outlineLevel="2">
      <c r="A342" s="17" t="s">
        <v>55</v>
      </c>
      <c r="B342" s="18" t="s">
        <v>239</v>
      </c>
      <c r="C342" s="19" t="s">
        <v>159</v>
      </c>
      <c r="D342" s="18" t="s">
        <v>158</v>
      </c>
      <c r="E342" s="3">
        <v>22068000</v>
      </c>
      <c r="F342" s="17">
        <v>43725</v>
      </c>
      <c r="G342" s="3">
        <v>22068000</v>
      </c>
      <c r="H342" s="2">
        <v>1.4999999999999999E-2</v>
      </c>
      <c r="I342" s="17">
        <v>43770</v>
      </c>
      <c r="J342" s="17">
        <v>43799</v>
      </c>
      <c r="K342" s="3">
        <f>J342-I342+1</f>
        <v>30</v>
      </c>
      <c r="L342" s="3">
        <f>ROUND(G342*H342*K342/365,0)</f>
        <v>27207</v>
      </c>
      <c r="M342" s="3">
        <v>22068000</v>
      </c>
    </row>
    <row r="343" spans="1:13" s="16" customFormat="1" outlineLevel="2">
      <c r="A343" s="17" t="s">
        <v>55</v>
      </c>
      <c r="B343" s="18" t="s">
        <v>238</v>
      </c>
      <c r="C343" s="19" t="s">
        <v>159</v>
      </c>
      <c r="D343" s="18" t="s">
        <v>158</v>
      </c>
      <c r="E343" s="3">
        <v>4287000</v>
      </c>
      <c r="F343" s="17">
        <v>43725</v>
      </c>
      <c r="G343" s="3">
        <v>4287000</v>
      </c>
      <c r="H343" s="2">
        <v>1.4999999999999999E-2</v>
      </c>
      <c r="I343" s="17">
        <v>43770</v>
      </c>
      <c r="J343" s="17">
        <v>43799</v>
      </c>
      <c r="K343" s="3">
        <f>J343-I343+1</f>
        <v>30</v>
      </c>
      <c r="L343" s="3">
        <f>ROUND(G343*H343*K343/365,0)</f>
        <v>5285</v>
      </c>
      <c r="M343" s="3">
        <v>4287000</v>
      </c>
    </row>
    <row r="344" spans="1:13" s="16" customFormat="1" outlineLevel="2">
      <c r="A344" s="17" t="s">
        <v>55</v>
      </c>
      <c r="B344" s="18" t="s">
        <v>237</v>
      </c>
      <c r="C344" s="19" t="s">
        <v>183</v>
      </c>
      <c r="D344" s="18" t="s">
        <v>182</v>
      </c>
      <c r="E344" s="3">
        <v>11420000</v>
      </c>
      <c r="F344" s="17">
        <v>43710</v>
      </c>
      <c r="G344" s="3">
        <v>11420000</v>
      </c>
      <c r="H344" s="2">
        <v>5.0000000000000001E-3</v>
      </c>
      <c r="I344" s="17">
        <v>43770</v>
      </c>
      <c r="J344" s="17">
        <v>43799</v>
      </c>
      <c r="K344" s="3">
        <f>J344-I344+1</f>
        <v>30</v>
      </c>
      <c r="L344" s="3">
        <f>ROUND(G344*H344*K344/365,0)</f>
        <v>4693</v>
      </c>
      <c r="M344" s="3">
        <v>11420000</v>
      </c>
    </row>
    <row r="345" spans="1:13" s="16" customFormat="1" outlineLevel="2">
      <c r="A345" s="17" t="s">
        <v>55</v>
      </c>
      <c r="B345" s="18" t="s">
        <v>236</v>
      </c>
      <c r="C345" s="19" t="s">
        <v>183</v>
      </c>
      <c r="D345" s="18" t="s">
        <v>182</v>
      </c>
      <c r="E345" s="3">
        <v>9999884</v>
      </c>
      <c r="F345" s="17">
        <v>43733</v>
      </c>
      <c r="G345" s="3">
        <v>9999884</v>
      </c>
      <c r="H345" s="2">
        <v>5.0000000000000001E-3</v>
      </c>
      <c r="I345" s="17">
        <v>43770</v>
      </c>
      <c r="J345" s="17">
        <v>43799</v>
      </c>
      <c r="K345" s="3">
        <f>J345-I345+1</f>
        <v>30</v>
      </c>
      <c r="L345" s="3">
        <f>ROUND(G345*H345*K345/365,0)</f>
        <v>4110</v>
      </c>
      <c r="M345" s="3">
        <v>9999884</v>
      </c>
    </row>
    <row r="346" spans="1:13" s="16" customFormat="1" outlineLevel="2">
      <c r="A346" s="17" t="s">
        <v>55</v>
      </c>
      <c r="B346" s="18" t="s">
        <v>235</v>
      </c>
      <c r="C346" s="19" t="s">
        <v>188</v>
      </c>
      <c r="D346" s="18" t="s">
        <v>187</v>
      </c>
      <c r="E346" s="3">
        <v>19052000</v>
      </c>
      <c r="F346" s="17">
        <v>43720</v>
      </c>
      <c r="G346" s="3">
        <v>19052000</v>
      </c>
      <c r="H346" s="2">
        <v>1.4999999999999999E-2</v>
      </c>
      <c r="I346" s="17">
        <v>43770</v>
      </c>
      <c r="J346" s="17">
        <v>43799</v>
      </c>
      <c r="K346" s="3">
        <f>J346-I346+1</f>
        <v>30</v>
      </c>
      <c r="L346" s="3">
        <f>ROUND(G346*H346*K346/365,0)</f>
        <v>23489</v>
      </c>
      <c r="M346" s="3">
        <v>19052000</v>
      </c>
    </row>
    <row r="347" spans="1:13" s="16" customFormat="1" outlineLevel="2">
      <c r="A347" s="17" t="s">
        <v>55</v>
      </c>
      <c r="B347" s="18" t="s">
        <v>234</v>
      </c>
      <c r="C347" s="19" t="s">
        <v>188</v>
      </c>
      <c r="D347" s="18" t="s">
        <v>187</v>
      </c>
      <c r="E347" s="3">
        <v>5878000</v>
      </c>
      <c r="F347" s="17">
        <v>43738</v>
      </c>
      <c r="G347" s="3">
        <v>5878000</v>
      </c>
      <c r="H347" s="2">
        <v>1.4999999999999999E-2</v>
      </c>
      <c r="I347" s="17">
        <v>43770</v>
      </c>
      <c r="J347" s="17">
        <v>43799</v>
      </c>
      <c r="K347" s="3">
        <f>J347-I347+1</f>
        <v>30</v>
      </c>
      <c r="L347" s="3">
        <f>ROUND(G347*H347*K347/365,0)</f>
        <v>7247</v>
      </c>
      <c r="M347" s="3">
        <v>5878000</v>
      </c>
    </row>
    <row r="348" spans="1:13" s="16" customFormat="1" outlineLevel="2">
      <c r="A348" s="17" t="s">
        <v>55</v>
      </c>
      <c r="B348" s="18" t="s">
        <v>231</v>
      </c>
      <c r="C348" s="19" t="s">
        <v>188</v>
      </c>
      <c r="D348" s="18" t="s">
        <v>187</v>
      </c>
      <c r="E348" s="3">
        <v>26351000</v>
      </c>
      <c r="F348" s="17">
        <v>43720</v>
      </c>
      <c r="G348" s="3">
        <v>26351000</v>
      </c>
      <c r="H348" s="2">
        <v>1.4999999999999999E-2</v>
      </c>
      <c r="I348" s="17">
        <v>43770</v>
      </c>
      <c r="J348" s="17">
        <v>43799</v>
      </c>
      <c r="K348" s="3">
        <f>J348-I348+1</f>
        <v>30</v>
      </c>
      <c r="L348" s="3">
        <f>ROUND(G348*H348*K348/365,0)</f>
        <v>32488</v>
      </c>
      <c r="M348" s="3">
        <v>26351000</v>
      </c>
    </row>
    <row r="349" spans="1:13" s="16" customFormat="1" outlineLevel="2">
      <c r="A349" s="17" t="s">
        <v>55</v>
      </c>
      <c r="B349" s="18" t="s">
        <v>268</v>
      </c>
      <c r="C349" s="19" t="s">
        <v>188</v>
      </c>
      <c r="D349" s="18" t="s">
        <v>187</v>
      </c>
      <c r="E349" s="3">
        <v>5866000</v>
      </c>
      <c r="F349" s="17">
        <v>43738</v>
      </c>
      <c r="G349" s="3">
        <v>5866000</v>
      </c>
      <c r="H349" s="2">
        <v>1.4999999999999999E-2</v>
      </c>
      <c r="I349" s="17">
        <v>43770</v>
      </c>
      <c r="J349" s="17">
        <v>43799</v>
      </c>
      <c r="K349" s="3">
        <f>J349-I349+1</f>
        <v>30</v>
      </c>
      <c r="L349" s="3">
        <f>ROUND(G349*H349*K349/365,0)</f>
        <v>7232</v>
      </c>
      <c r="M349" s="3">
        <v>5866000</v>
      </c>
    </row>
    <row r="350" spans="1:13" s="16" customFormat="1" outlineLevel="2">
      <c r="A350" s="17" t="s">
        <v>55</v>
      </c>
      <c r="B350" s="18" t="s">
        <v>267</v>
      </c>
      <c r="C350" s="19" t="s">
        <v>185</v>
      </c>
      <c r="D350" s="18" t="s">
        <v>184</v>
      </c>
      <c r="E350" s="3">
        <v>46670000</v>
      </c>
      <c r="F350" s="17">
        <v>43718</v>
      </c>
      <c r="G350" s="3">
        <v>46670000</v>
      </c>
      <c r="H350" s="2">
        <v>5.0000000000000001E-3</v>
      </c>
      <c r="I350" s="17">
        <v>43770</v>
      </c>
      <c r="J350" s="17">
        <v>43799</v>
      </c>
      <c r="K350" s="3">
        <f>J350-I350+1</f>
        <v>30</v>
      </c>
      <c r="L350" s="3">
        <f>ROUND(G350*H350*K350/365,0)</f>
        <v>19179</v>
      </c>
      <c r="M350" s="3">
        <v>46670000</v>
      </c>
    </row>
    <row r="351" spans="1:13" s="16" customFormat="1" outlineLevel="2">
      <c r="A351" s="17" t="s">
        <v>55</v>
      </c>
      <c r="B351" s="18" t="s">
        <v>266</v>
      </c>
      <c r="C351" s="19" t="s">
        <v>265</v>
      </c>
      <c r="D351" s="18" t="s">
        <v>264</v>
      </c>
      <c r="E351" s="3">
        <v>1587000</v>
      </c>
      <c r="F351" s="17">
        <v>43735</v>
      </c>
      <c r="G351" s="3">
        <v>1587000</v>
      </c>
      <c r="H351" s="2">
        <v>1.4999999999999999E-2</v>
      </c>
      <c r="I351" s="17">
        <v>43770</v>
      </c>
      <c r="J351" s="17">
        <v>43799</v>
      </c>
      <c r="K351" s="3">
        <f>J351-I351+1</f>
        <v>30</v>
      </c>
      <c r="L351" s="3">
        <f>ROUND(G351*H351*K351/365,0)</f>
        <v>1957</v>
      </c>
      <c r="M351" s="3">
        <v>1587000</v>
      </c>
    </row>
    <row r="352" spans="1:13" s="16" customFormat="1" outlineLevel="2">
      <c r="A352" s="17" t="s">
        <v>55</v>
      </c>
      <c r="B352" s="18" t="s">
        <v>47</v>
      </c>
      <c r="C352" s="19" t="s">
        <v>54</v>
      </c>
      <c r="D352" s="18" t="s">
        <v>34</v>
      </c>
      <c r="E352" s="3">
        <v>1214000</v>
      </c>
      <c r="F352" s="17">
        <v>43664</v>
      </c>
      <c r="G352" s="3">
        <v>1214000</v>
      </c>
      <c r="H352" s="2">
        <v>1.4999999999999999E-2</v>
      </c>
      <c r="I352" s="17">
        <v>43770</v>
      </c>
      <c r="J352" s="17">
        <v>43799</v>
      </c>
      <c r="K352" s="3">
        <f>J352-I352+1</f>
        <v>30</v>
      </c>
      <c r="L352" s="3">
        <f>ROUND(G352*H352*K352/365,0)</f>
        <v>1497</v>
      </c>
      <c r="M352" s="3">
        <v>1214000</v>
      </c>
    </row>
    <row r="353" spans="1:13" s="16" customFormat="1" outlineLevel="2">
      <c r="A353" s="17" t="s">
        <v>55</v>
      </c>
      <c r="B353" s="18" t="s">
        <v>263</v>
      </c>
      <c r="C353" s="19" t="s">
        <v>260</v>
      </c>
      <c r="D353" s="18" t="s">
        <v>259</v>
      </c>
      <c r="E353" s="3">
        <v>14100000</v>
      </c>
      <c r="F353" s="17">
        <v>43731</v>
      </c>
      <c r="G353" s="3">
        <v>14100000</v>
      </c>
      <c r="H353" s="2">
        <v>5.0000000000000001E-3</v>
      </c>
      <c r="I353" s="17">
        <v>43770</v>
      </c>
      <c r="J353" s="17">
        <v>43799</v>
      </c>
      <c r="K353" s="3">
        <f>J353-I353+1</f>
        <v>30</v>
      </c>
      <c r="L353" s="3">
        <f>ROUND(G353*H353*K353/365,0)</f>
        <v>5795</v>
      </c>
      <c r="M353" s="3">
        <v>14100000</v>
      </c>
    </row>
    <row r="354" spans="1:13" s="16" customFormat="1" outlineLevel="2">
      <c r="A354" s="17" t="s">
        <v>55</v>
      </c>
      <c r="B354" s="18" t="s">
        <v>262</v>
      </c>
      <c r="C354" s="19" t="s">
        <v>260</v>
      </c>
      <c r="D354" s="18" t="s">
        <v>259</v>
      </c>
      <c r="E354" s="3">
        <v>12070000</v>
      </c>
      <c r="F354" s="17">
        <v>43731</v>
      </c>
      <c r="G354" s="3">
        <v>12070000</v>
      </c>
      <c r="H354" s="2">
        <v>5.0000000000000001E-3</v>
      </c>
      <c r="I354" s="17">
        <v>43770</v>
      </c>
      <c r="J354" s="17">
        <v>43799</v>
      </c>
      <c r="K354" s="3">
        <f>J354-I354+1</f>
        <v>30</v>
      </c>
      <c r="L354" s="3">
        <f>ROUND(G354*H354*K354/365,0)</f>
        <v>4960</v>
      </c>
      <c r="M354" s="3">
        <v>12070000</v>
      </c>
    </row>
    <row r="355" spans="1:13" s="16" customFormat="1" outlineLevel="2">
      <c r="A355" s="17" t="s">
        <v>55</v>
      </c>
      <c r="B355" s="18" t="s">
        <v>261</v>
      </c>
      <c r="C355" s="19" t="s">
        <v>260</v>
      </c>
      <c r="D355" s="18" t="s">
        <v>259</v>
      </c>
      <c r="E355" s="3">
        <v>12830000</v>
      </c>
      <c r="F355" s="17">
        <v>43731</v>
      </c>
      <c r="G355" s="3">
        <v>12830000</v>
      </c>
      <c r="H355" s="2">
        <v>5.0000000000000001E-3</v>
      </c>
      <c r="I355" s="17">
        <v>43770</v>
      </c>
      <c r="J355" s="17">
        <v>43799</v>
      </c>
      <c r="K355" s="3">
        <f>J355-I355+1</f>
        <v>30</v>
      </c>
      <c r="L355" s="3">
        <f>ROUND(G355*H355*K355/365,0)</f>
        <v>5273</v>
      </c>
      <c r="M355" s="3">
        <v>12830000</v>
      </c>
    </row>
    <row r="356" spans="1:13" s="16" customFormat="1" outlineLevel="2">
      <c r="A356" s="17" t="s">
        <v>55</v>
      </c>
      <c r="B356" s="18" t="s">
        <v>258</v>
      </c>
      <c r="C356" s="19" t="s">
        <v>257</v>
      </c>
      <c r="D356" s="18" t="s">
        <v>256</v>
      </c>
      <c r="E356" s="3">
        <v>201000</v>
      </c>
      <c r="F356" s="17">
        <v>43735</v>
      </c>
      <c r="G356" s="3">
        <v>201000</v>
      </c>
      <c r="H356" s="2">
        <v>1.4999999999999999E-2</v>
      </c>
      <c r="I356" s="17">
        <v>43770</v>
      </c>
      <c r="J356" s="17">
        <v>43799</v>
      </c>
      <c r="K356" s="3">
        <f>J356-I356+1</f>
        <v>30</v>
      </c>
      <c r="L356" s="3">
        <f>ROUND(G356*H356*K356/365,0)</f>
        <v>248</v>
      </c>
      <c r="M356" s="3">
        <v>201000</v>
      </c>
    </row>
    <row r="357" spans="1:13" s="16" customFormat="1" outlineLevel="2">
      <c r="A357" s="17" t="s">
        <v>55</v>
      </c>
      <c r="B357" s="18" t="s">
        <v>255</v>
      </c>
      <c r="C357" s="19" t="s">
        <v>253</v>
      </c>
      <c r="D357" s="18" t="s">
        <v>252</v>
      </c>
      <c r="E357" s="3">
        <v>12000000</v>
      </c>
      <c r="F357" s="17">
        <v>43735</v>
      </c>
      <c r="G357" s="3">
        <v>12000000</v>
      </c>
      <c r="H357" s="2">
        <v>5.0000000000000001E-3</v>
      </c>
      <c r="I357" s="17">
        <v>43770</v>
      </c>
      <c r="J357" s="17">
        <v>43799</v>
      </c>
      <c r="K357" s="3">
        <f>J357-I357+1</f>
        <v>30</v>
      </c>
      <c r="L357" s="3">
        <f>ROUND(G357*H357*K357/365,0)</f>
        <v>4932</v>
      </c>
      <c r="M357" s="3">
        <v>12000000</v>
      </c>
    </row>
    <row r="358" spans="1:13" s="16" customFormat="1" outlineLevel="2">
      <c r="A358" s="17" t="s">
        <v>55</v>
      </c>
      <c r="B358" s="18" t="s">
        <v>254</v>
      </c>
      <c r="C358" s="19" t="s">
        <v>253</v>
      </c>
      <c r="D358" s="18" t="s">
        <v>252</v>
      </c>
      <c r="E358" s="3">
        <v>38000000</v>
      </c>
      <c r="F358" s="17">
        <v>43735</v>
      </c>
      <c r="G358" s="3">
        <v>38000000</v>
      </c>
      <c r="H358" s="2">
        <v>5.0000000000000001E-3</v>
      </c>
      <c r="I358" s="17">
        <v>43770</v>
      </c>
      <c r="J358" s="17">
        <v>43799</v>
      </c>
      <c r="K358" s="3">
        <f>J358-I358+1</f>
        <v>30</v>
      </c>
      <c r="L358" s="3">
        <f>ROUND(G358*H358*K358/365,0)</f>
        <v>15616</v>
      </c>
      <c r="M358" s="3">
        <v>38000000</v>
      </c>
    </row>
    <row r="359" spans="1:13" s="16" customFormat="1" outlineLevel="2">
      <c r="A359" s="17" t="s">
        <v>55</v>
      </c>
      <c r="B359" s="18" t="s">
        <v>306</v>
      </c>
      <c r="C359" s="19" t="s">
        <v>54</v>
      </c>
      <c r="D359" s="18" t="s">
        <v>34</v>
      </c>
      <c r="E359" s="3">
        <v>5987000</v>
      </c>
      <c r="F359" s="17">
        <v>43739</v>
      </c>
      <c r="G359" s="3">
        <v>5987000</v>
      </c>
      <c r="H359" s="2">
        <v>1.4999999999999999E-2</v>
      </c>
      <c r="I359" s="17">
        <v>43770</v>
      </c>
      <c r="J359" s="17">
        <v>43799</v>
      </c>
      <c r="K359" s="3">
        <f>J359-I359+1</f>
        <v>30</v>
      </c>
      <c r="L359" s="3">
        <f>ROUND(G359*H359*K359/365,0)</f>
        <v>7381</v>
      </c>
      <c r="M359" s="3">
        <v>5987000</v>
      </c>
    </row>
    <row r="360" spans="1:13" s="16" customFormat="1" outlineLevel="2">
      <c r="A360" s="17" t="s">
        <v>55</v>
      </c>
      <c r="B360" s="18" t="s">
        <v>305</v>
      </c>
      <c r="C360" s="19" t="s">
        <v>54</v>
      </c>
      <c r="D360" s="18" t="s">
        <v>34</v>
      </c>
      <c r="E360" s="3">
        <v>62422000</v>
      </c>
      <c r="F360" s="17">
        <v>43745</v>
      </c>
      <c r="G360" s="3">
        <v>62422000</v>
      </c>
      <c r="H360" s="2">
        <v>1.4999999999999999E-2</v>
      </c>
      <c r="I360" s="17">
        <v>43770</v>
      </c>
      <c r="J360" s="17">
        <v>43799</v>
      </c>
      <c r="K360" s="3">
        <f>J360-I360+1</f>
        <v>30</v>
      </c>
      <c r="L360" s="3">
        <f>ROUND(G360*H360*K360/365,0)</f>
        <v>76959</v>
      </c>
      <c r="M360" s="3">
        <v>62422000</v>
      </c>
    </row>
    <row r="361" spans="1:13" s="16" customFormat="1" outlineLevel="2">
      <c r="A361" s="17" t="s">
        <v>55</v>
      </c>
      <c r="B361" s="18" t="s">
        <v>304</v>
      </c>
      <c r="C361" s="19" t="s">
        <v>54</v>
      </c>
      <c r="D361" s="18" t="s">
        <v>34</v>
      </c>
      <c r="E361" s="3">
        <v>8502000</v>
      </c>
      <c r="F361" s="17">
        <v>43753</v>
      </c>
      <c r="G361" s="3">
        <v>8502000</v>
      </c>
      <c r="H361" s="2">
        <v>1.4999999999999999E-2</v>
      </c>
      <c r="I361" s="17">
        <v>43770</v>
      </c>
      <c r="J361" s="17">
        <v>43799</v>
      </c>
      <c r="K361" s="3">
        <f>J361-I361+1</f>
        <v>30</v>
      </c>
      <c r="L361" s="3">
        <f>ROUND(G361*H361*K361/365,0)</f>
        <v>10482</v>
      </c>
      <c r="M361" s="3">
        <v>8502000</v>
      </c>
    </row>
    <row r="362" spans="1:13" s="16" customFormat="1" outlineLevel="2">
      <c r="A362" s="17" t="s">
        <v>55</v>
      </c>
      <c r="B362" s="18" t="s">
        <v>303</v>
      </c>
      <c r="C362" s="19" t="s">
        <v>54</v>
      </c>
      <c r="D362" s="18" t="s">
        <v>34</v>
      </c>
      <c r="E362" s="3">
        <v>24444000</v>
      </c>
      <c r="F362" s="17">
        <v>43763</v>
      </c>
      <c r="G362" s="3">
        <v>24444000</v>
      </c>
      <c r="H362" s="2">
        <v>1.4999999999999999E-2</v>
      </c>
      <c r="I362" s="17">
        <v>43770</v>
      </c>
      <c r="J362" s="17">
        <v>43799</v>
      </c>
      <c r="K362" s="3">
        <f>J362-I362+1</f>
        <v>30</v>
      </c>
      <c r="L362" s="3">
        <f>ROUND(G362*H362*K362/365,0)</f>
        <v>30136</v>
      </c>
      <c r="M362" s="3">
        <v>24444000</v>
      </c>
    </row>
    <row r="363" spans="1:13" s="16" customFormat="1" outlineLevel="2">
      <c r="A363" s="17" t="s">
        <v>55</v>
      </c>
      <c r="B363" s="18" t="s">
        <v>46</v>
      </c>
      <c r="C363" s="19" t="s">
        <v>54</v>
      </c>
      <c r="D363" s="18" t="s">
        <v>34</v>
      </c>
      <c r="E363" s="3">
        <v>8346000</v>
      </c>
      <c r="F363" s="17">
        <v>43671</v>
      </c>
      <c r="G363" s="3">
        <v>8346000</v>
      </c>
      <c r="H363" s="2">
        <v>1.4999999999999999E-2</v>
      </c>
      <c r="I363" s="17">
        <v>43770</v>
      </c>
      <c r="J363" s="17">
        <v>43799</v>
      </c>
      <c r="K363" s="3">
        <f>J363-I363+1</f>
        <v>30</v>
      </c>
      <c r="L363" s="3">
        <f>ROUND(G363*H363*K363/365,0)</f>
        <v>10290</v>
      </c>
      <c r="M363" s="3">
        <v>8346000</v>
      </c>
    </row>
    <row r="364" spans="1:13" s="16" customFormat="1" outlineLevel="2">
      <c r="A364" s="17" t="s">
        <v>55</v>
      </c>
      <c r="B364" s="18" t="s">
        <v>302</v>
      </c>
      <c r="C364" s="19" t="s">
        <v>43</v>
      </c>
      <c r="D364" s="18" t="s">
        <v>26</v>
      </c>
      <c r="E364" s="3">
        <v>41244100</v>
      </c>
      <c r="F364" s="17">
        <v>43746</v>
      </c>
      <c r="G364" s="3">
        <v>41244100</v>
      </c>
      <c r="H364" s="2">
        <v>1.4999999999999999E-2</v>
      </c>
      <c r="I364" s="17">
        <v>43770</v>
      </c>
      <c r="J364" s="17">
        <v>43799</v>
      </c>
      <c r="K364" s="3">
        <f>J364-I364+1</f>
        <v>30</v>
      </c>
      <c r="L364" s="3">
        <f>ROUND(G364*H364*K364/365,0)</f>
        <v>50849</v>
      </c>
      <c r="M364" s="3">
        <v>41244100</v>
      </c>
    </row>
    <row r="365" spans="1:13" s="16" customFormat="1" outlineLevel="2">
      <c r="A365" s="17" t="s">
        <v>55</v>
      </c>
      <c r="B365" s="18" t="s">
        <v>301</v>
      </c>
      <c r="C365" s="19" t="s">
        <v>43</v>
      </c>
      <c r="D365" s="18" t="s">
        <v>26</v>
      </c>
      <c r="E365" s="3">
        <v>101169264</v>
      </c>
      <c r="F365" s="17">
        <v>43756</v>
      </c>
      <c r="G365" s="3">
        <v>101169264</v>
      </c>
      <c r="H365" s="2">
        <v>1.4999999999999999E-2</v>
      </c>
      <c r="I365" s="17">
        <v>43770</v>
      </c>
      <c r="J365" s="17">
        <v>43799</v>
      </c>
      <c r="K365" s="3">
        <f>J365-I365+1</f>
        <v>30</v>
      </c>
      <c r="L365" s="3">
        <f>ROUND(G365*H365*K365/365,0)</f>
        <v>124729</v>
      </c>
      <c r="M365" s="3">
        <v>101169264</v>
      </c>
    </row>
    <row r="366" spans="1:13" s="16" customFormat="1" outlineLevel="2">
      <c r="A366" s="17" t="s">
        <v>55</v>
      </c>
      <c r="B366" s="18" t="s">
        <v>300</v>
      </c>
      <c r="C366" s="19" t="s">
        <v>43</v>
      </c>
      <c r="D366" s="18" t="s">
        <v>26</v>
      </c>
      <c r="E366" s="3">
        <v>5540262</v>
      </c>
      <c r="F366" s="17">
        <v>43766</v>
      </c>
      <c r="G366" s="3">
        <v>5540262</v>
      </c>
      <c r="H366" s="2">
        <v>1.4999999999999999E-2</v>
      </c>
      <c r="I366" s="17">
        <v>43770</v>
      </c>
      <c r="J366" s="17">
        <v>43799</v>
      </c>
      <c r="K366" s="3">
        <f>J366-I366+1</f>
        <v>30</v>
      </c>
      <c r="L366" s="3">
        <f>ROUND(G366*H366*K366/365,0)</f>
        <v>6830</v>
      </c>
      <c r="M366" s="3">
        <v>5540262</v>
      </c>
    </row>
    <row r="367" spans="1:13" s="16" customFormat="1" outlineLevel="2">
      <c r="A367" s="17" t="s">
        <v>55</v>
      </c>
      <c r="B367" s="18" t="s">
        <v>299</v>
      </c>
      <c r="C367" s="19" t="s">
        <v>43</v>
      </c>
      <c r="D367" s="18" t="s">
        <v>26</v>
      </c>
      <c r="E367" s="3">
        <v>14596626</v>
      </c>
      <c r="F367" s="17">
        <v>43756</v>
      </c>
      <c r="G367" s="3">
        <v>14596626</v>
      </c>
      <c r="H367" s="2">
        <v>1.4999999999999999E-2</v>
      </c>
      <c r="I367" s="17">
        <v>43770</v>
      </c>
      <c r="J367" s="17">
        <v>43799</v>
      </c>
      <c r="K367" s="3">
        <f>J367-I367+1</f>
        <v>30</v>
      </c>
      <c r="L367" s="3">
        <f>ROUND(G367*H367*K367/365,0)</f>
        <v>17996</v>
      </c>
      <c r="M367" s="3">
        <v>14596626</v>
      </c>
    </row>
    <row r="368" spans="1:13" s="16" customFormat="1" outlineLevel="2">
      <c r="A368" s="17" t="s">
        <v>55</v>
      </c>
      <c r="B368" s="18" t="s">
        <v>298</v>
      </c>
      <c r="C368" s="19" t="s">
        <v>159</v>
      </c>
      <c r="D368" s="18" t="s">
        <v>158</v>
      </c>
      <c r="E368" s="3">
        <v>22987000</v>
      </c>
      <c r="F368" s="17">
        <v>43755</v>
      </c>
      <c r="G368" s="3">
        <v>22987000</v>
      </c>
      <c r="H368" s="2">
        <v>1.4999999999999999E-2</v>
      </c>
      <c r="I368" s="17">
        <v>43770</v>
      </c>
      <c r="J368" s="17">
        <v>43799</v>
      </c>
      <c r="K368" s="3">
        <f>J368-I368+1</f>
        <v>30</v>
      </c>
      <c r="L368" s="3">
        <f>ROUND(G368*H368*K368/365,0)</f>
        <v>28340</v>
      </c>
      <c r="M368" s="3">
        <v>22987000</v>
      </c>
    </row>
    <row r="369" spans="1:13" s="16" customFormat="1" outlineLevel="2">
      <c r="A369" s="17" t="s">
        <v>55</v>
      </c>
      <c r="B369" s="18" t="s">
        <v>297</v>
      </c>
      <c r="C369" s="19" t="s">
        <v>159</v>
      </c>
      <c r="D369" s="18" t="s">
        <v>158</v>
      </c>
      <c r="E369" s="3">
        <v>6842000</v>
      </c>
      <c r="F369" s="17">
        <v>43755</v>
      </c>
      <c r="G369" s="3">
        <v>6842000</v>
      </c>
      <c r="H369" s="2">
        <v>1.4999999999999999E-2</v>
      </c>
      <c r="I369" s="17">
        <v>43770</v>
      </c>
      <c r="J369" s="17">
        <v>43799</v>
      </c>
      <c r="K369" s="3">
        <f>J369-I369+1</f>
        <v>30</v>
      </c>
      <c r="L369" s="3">
        <f>ROUND(G369*H369*K369/365,0)</f>
        <v>8435</v>
      </c>
      <c r="M369" s="3">
        <v>6842000</v>
      </c>
    </row>
    <row r="370" spans="1:13" s="16" customFormat="1" outlineLevel="2">
      <c r="A370" s="17" t="s">
        <v>55</v>
      </c>
      <c r="B370" s="18" t="s">
        <v>296</v>
      </c>
      <c r="C370" s="19" t="s">
        <v>183</v>
      </c>
      <c r="D370" s="18" t="s">
        <v>182</v>
      </c>
      <c r="E370" s="3">
        <v>6595034</v>
      </c>
      <c r="F370" s="17">
        <v>43753</v>
      </c>
      <c r="G370" s="3">
        <v>6595034</v>
      </c>
      <c r="H370" s="2">
        <v>5.0000000000000001E-3</v>
      </c>
      <c r="I370" s="17">
        <v>43770</v>
      </c>
      <c r="J370" s="17">
        <v>43799</v>
      </c>
      <c r="K370" s="3">
        <f>J370-I370+1</f>
        <v>30</v>
      </c>
      <c r="L370" s="3">
        <f>ROUND(G370*H370*K370/365,0)</f>
        <v>2710</v>
      </c>
      <c r="M370" s="3">
        <v>6595034</v>
      </c>
    </row>
    <row r="371" spans="1:13" s="16" customFormat="1" outlineLevel="2">
      <c r="A371" s="17" t="s">
        <v>55</v>
      </c>
      <c r="B371" s="18" t="s">
        <v>295</v>
      </c>
      <c r="C371" s="19" t="s">
        <v>188</v>
      </c>
      <c r="D371" s="18" t="s">
        <v>187</v>
      </c>
      <c r="E371" s="3">
        <v>33060000</v>
      </c>
      <c r="F371" s="17">
        <v>43766</v>
      </c>
      <c r="G371" s="3">
        <v>33060000</v>
      </c>
      <c r="H371" s="2">
        <v>1.4999999999999999E-2</v>
      </c>
      <c r="I371" s="17">
        <v>43770</v>
      </c>
      <c r="J371" s="17">
        <v>43799</v>
      </c>
      <c r="K371" s="3">
        <f>J371-I371+1</f>
        <v>30</v>
      </c>
      <c r="L371" s="3">
        <f>ROUND(G371*H371*K371/365,0)</f>
        <v>40759</v>
      </c>
      <c r="M371" s="3">
        <v>33060000</v>
      </c>
    </row>
    <row r="372" spans="1:13" s="16" customFormat="1" outlineLevel="2">
      <c r="A372" s="17" t="s">
        <v>55</v>
      </c>
      <c r="B372" s="18" t="s">
        <v>294</v>
      </c>
      <c r="C372" s="19" t="s">
        <v>188</v>
      </c>
      <c r="D372" s="18" t="s">
        <v>187</v>
      </c>
      <c r="E372" s="3">
        <v>17233000</v>
      </c>
      <c r="F372" s="17">
        <v>43766</v>
      </c>
      <c r="G372" s="3">
        <v>17233000</v>
      </c>
      <c r="H372" s="2">
        <v>1.4999999999999999E-2</v>
      </c>
      <c r="I372" s="17">
        <v>43770</v>
      </c>
      <c r="J372" s="17">
        <v>43799</v>
      </c>
      <c r="K372" s="3">
        <f>J372-I372+1</f>
        <v>30</v>
      </c>
      <c r="L372" s="3">
        <f>ROUND(G372*H372*K372/365,0)</f>
        <v>21246</v>
      </c>
      <c r="M372" s="3">
        <v>17233000</v>
      </c>
    </row>
    <row r="373" spans="1:13" s="16" customFormat="1" outlineLevel="2">
      <c r="A373" s="17" t="s">
        <v>55</v>
      </c>
      <c r="B373" s="18" t="s">
        <v>293</v>
      </c>
      <c r="C373" s="19" t="s">
        <v>260</v>
      </c>
      <c r="D373" s="18" t="s">
        <v>259</v>
      </c>
      <c r="E373" s="3">
        <v>1249500</v>
      </c>
      <c r="F373" s="17">
        <v>43766</v>
      </c>
      <c r="G373" s="3">
        <v>1249500</v>
      </c>
      <c r="H373" s="2">
        <v>5.0000000000000001E-3</v>
      </c>
      <c r="I373" s="17">
        <v>43770</v>
      </c>
      <c r="J373" s="17">
        <v>43799</v>
      </c>
      <c r="K373" s="3">
        <f>J373-I373+1</f>
        <v>30</v>
      </c>
      <c r="L373" s="3">
        <f>ROUND(G373*H373*K373/365,0)</f>
        <v>513</v>
      </c>
      <c r="M373" s="3">
        <v>1249500</v>
      </c>
    </row>
    <row r="374" spans="1:13" s="16" customFormat="1" outlineLevel="2">
      <c r="A374" s="17" t="s">
        <v>55</v>
      </c>
      <c r="B374" s="18" t="s">
        <v>45</v>
      </c>
      <c r="C374" s="19" t="s">
        <v>54</v>
      </c>
      <c r="D374" s="18" t="s">
        <v>34</v>
      </c>
      <c r="E374" s="3">
        <v>4626000</v>
      </c>
      <c r="F374" s="17">
        <v>43677</v>
      </c>
      <c r="G374" s="3">
        <v>4626000</v>
      </c>
      <c r="H374" s="2">
        <v>1.4999999999999999E-2</v>
      </c>
      <c r="I374" s="17">
        <v>43770</v>
      </c>
      <c r="J374" s="17">
        <v>43799</v>
      </c>
      <c r="K374" s="3">
        <f>J374-I374+1</f>
        <v>30</v>
      </c>
      <c r="L374" s="3">
        <f>ROUND(G374*H374*K374/365,0)</f>
        <v>5703</v>
      </c>
      <c r="M374" s="3">
        <v>4626000</v>
      </c>
    </row>
    <row r="375" spans="1:13" s="16" customFormat="1" outlineLevel="2">
      <c r="A375" s="17" t="s">
        <v>55</v>
      </c>
      <c r="B375" s="18" t="s">
        <v>292</v>
      </c>
      <c r="C375" s="19" t="s">
        <v>260</v>
      </c>
      <c r="D375" s="18" t="s">
        <v>259</v>
      </c>
      <c r="E375" s="3">
        <v>1029000</v>
      </c>
      <c r="F375" s="17">
        <v>43766</v>
      </c>
      <c r="G375" s="3">
        <v>1029000</v>
      </c>
      <c r="H375" s="2">
        <v>5.0000000000000001E-3</v>
      </c>
      <c r="I375" s="17">
        <v>43770</v>
      </c>
      <c r="J375" s="17">
        <v>43799</v>
      </c>
      <c r="K375" s="3">
        <f>J375-I375+1</f>
        <v>30</v>
      </c>
      <c r="L375" s="3">
        <f>ROUND(G375*H375*K375/365,0)</f>
        <v>423</v>
      </c>
      <c r="M375" s="3">
        <v>1029000</v>
      </c>
    </row>
    <row r="376" spans="1:13" s="16" customFormat="1" outlineLevel="2">
      <c r="A376" s="17" t="s">
        <v>55</v>
      </c>
      <c r="B376" s="18" t="s">
        <v>291</v>
      </c>
      <c r="C376" s="19" t="s">
        <v>257</v>
      </c>
      <c r="D376" s="18" t="s">
        <v>256</v>
      </c>
      <c r="E376" s="3">
        <v>535000</v>
      </c>
      <c r="F376" s="17">
        <v>43763</v>
      </c>
      <c r="G376" s="3">
        <v>535000</v>
      </c>
      <c r="H376" s="2">
        <v>1.4999999999999999E-2</v>
      </c>
      <c r="I376" s="17">
        <v>43770</v>
      </c>
      <c r="J376" s="17">
        <v>43799</v>
      </c>
      <c r="K376" s="3">
        <f>J376-I376+1</f>
        <v>30</v>
      </c>
      <c r="L376" s="3">
        <f>ROUND(G376*H376*K376/365,0)</f>
        <v>660</v>
      </c>
      <c r="M376" s="3">
        <v>535000</v>
      </c>
    </row>
    <row r="377" spans="1:13" s="16" customFormat="1" outlineLevel="2">
      <c r="A377" s="17" t="s">
        <v>55</v>
      </c>
      <c r="B377" s="18" t="s">
        <v>290</v>
      </c>
      <c r="C377" s="19" t="s">
        <v>288</v>
      </c>
      <c r="D377" s="18" t="s">
        <v>287</v>
      </c>
      <c r="E377" s="3">
        <v>160000000</v>
      </c>
      <c r="F377" s="17">
        <v>43753</v>
      </c>
      <c r="G377" s="3">
        <v>160000000</v>
      </c>
      <c r="H377" s="2">
        <v>1.4999999999999999E-2</v>
      </c>
      <c r="I377" s="17">
        <v>43770</v>
      </c>
      <c r="J377" s="17">
        <v>43799</v>
      </c>
      <c r="K377" s="3">
        <f>J377-I377+1</f>
        <v>30</v>
      </c>
      <c r="L377" s="3">
        <f>ROUND(G377*H377*K377/365,0)</f>
        <v>197260</v>
      </c>
      <c r="M377" s="3">
        <v>160000000</v>
      </c>
    </row>
    <row r="378" spans="1:13" s="16" customFormat="1" outlineLevel="2">
      <c r="A378" s="17" t="s">
        <v>55</v>
      </c>
      <c r="B378" s="18" t="s">
        <v>289</v>
      </c>
      <c r="C378" s="19" t="s">
        <v>310</v>
      </c>
      <c r="D378" s="18" t="s">
        <v>309</v>
      </c>
      <c r="E378" s="3">
        <v>39500000</v>
      </c>
      <c r="F378" s="17">
        <v>43767</v>
      </c>
      <c r="G378" s="3">
        <v>39500000</v>
      </c>
      <c r="H378" s="2">
        <v>5.0000000000000001E-3</v>
      </c>
      <c r="I378" s="17">
        <v>43770</v>
      </c>
      <c r="J378" s="17">
        <v>43799</v>
      </c>
      <c r="K378" s="3">
        <f>J378-I378+1</f>
        <v>30</v>
      </c>
      <c r="L378" s="3">
        <f>ROUND(G378*H378*K378/365,0)</f>
        <v>16233</v>
      </c>
      <c r="M378" s="3">
        <v>39500000</v>
      </c>
    </row>
    <row r="379" spans="1:13" s="16" customFormat="1" outlineLevel="2">
      <c r="A379" s="17" t="s">
        <v>55</v>
      </c>
      <c r="B379" s="18" t="s">
        <v>324</v>
      </c>
      <c r="C379" s="19" t="s">
        <v>204</v>
      </c>
      <c r="D379" s="18" t="s">
        <v>203</v>
      </c>
      <c r="E379" s="3">
        <v>37200000</v>
      </c>
      <c r="F379" s="17">
        <v>43739</v>
      </c>
      <c r="G379" s="3">
        <v>37200000</v>
      </c>
      <c r="H379" s="2">
        <v>5.0000000000000001E-3</v>
      </c>
      <c r="I379" s="17">
        <v>43770</v>
      </c>
      <c r="J379" s="17">
        <v>43799</v>
      </c>
      <c r="K379" s="3">
        <f>J379-I379+1</f>
        <v>30</v>
      </c>
      <c r="L379" s="3">
        <f>ROUND(G379*H379*K379/365,0)</f>
        <v>15288</v>
      </c>
      <c r="M379" s="3">
        <v>37200000</v>
      </c>
    </row>
    <row r="380" spans="1:13" s="16" customFormat="1" outlineLevel="2">
      <c r="A380" s="17" t="s">
        <v>55</v>
      </c>
      <c r="B380" s="18" t="s">
        <v>323</v>
      </c>
      <c r="C380" s="19" t="s">
        <v>320</v>
      </c>
      <c r="D380" s="18" t="s">
        <v>319</v>
      </c>
      <c r="E380" s="3">
        <v>6794400</v>
      </c>
      <c r="F380" s="17">
        <v>43763</v>
      </c>
      <c r="G380" s="3">
        <v>6794400</v>
      </c>
      <c r="H380" s="2">
        <v>1.4999999999999999E-2</v>
      </c>
      <c r="I380" s="17">
        <v>43770</v>
      </c>
      <c r="J380" s="17">
        <v>43799</v>
      </c>
      <c r="K380" s="3">
        <f>J380-I380+1</f>
        <v>30</v>
      </c>
      <c r="L380" s="3">
        <f>ROUND(G380*H380*K380/365,0)</f>
        <v>8377</v>
      </c>
      <c r="M380" s="3">
        <v>6794400</v>
      </c>
    </row>
    <row r="381" spans="1:13" s="16" customFormat="1" outlineLevel="2">
      <c r="A381" s="17" t="s">
        <v>55</v>
      </c>
      <c r="B381" s="18" t="s">
        <v>322</v>
      </c>
      <c r="C381" s="19" t="s">
        <v>320</v>
      </c>
      <c r="D381" s="18" t="s">
        <v>319</v>
      </c>
      <c r="E381" s="3">
        <v>1013040</v>
      </c>
      <c r="F381" s="17">
        <v>43763</v>
      </c>
      <c r="G381" s="3">
        <v>1013040</v>
      </c>
      <c r="H381" s="2">
        <v>1.4999999999999999E-2</v>
      </c>
      <c r="I381" s="17">
        <v>43770</v>
      </c>
      <c r="J381" s="17">
        <v>43799</v>
      </c>
      <c r="K381" s="3">
        <f>J381-I381+1</f>
        <v>30</v>
      </c>
      <c r="L381" s="3">
        <f>ROUND(G381*H381*K381/365,0)</f>
        <v>1249</v>
      </c>
      <c r="M381" s="3">
        <v>1013040</v>
      </c>
    </row>
    <row r="382" spans="1:13" s="16" customFormat="1" outlineLevel="2">
      <c r="A382" s="17" t="s">
        <v>55</v>
      </c>
      <c r="B382" s="18" t="s">
        <v>321</v>
      </c>
      <c r="C382" s="19" t="s">
        <v>320</v>
      </c>
      <c r="D382" s="18" t="s">
        <v>319</v>
      </c>
      <c r="E382" s="3">
        <v>2176016</v>
      </c>
      <c r="F382" s="17">
        <v>43763</v>
      </c>
      <c r="G382" s="3">
        <v>2176016</v>
      </c>
      <c r="H382" s="2">
        <v>1.4999999999999999E-2</v>
      </c>
      <c r="I382" s="17">
        <v>43770</v>
      </c>
      <c r="J382" s="17">
        <v>43799</v>
      </c>
      <c r="K382" s="3">
        <f>J382-I382+1</f>
        <v>30</v>
      </c>
      <c r="L382" s="3">
        <f>ROUND(G382*H382*K382/365,0)</f>
        <v>2683</v>
      </c>
      <c r="M382" s="3">
        <v>2176016</v>
      </c>
    </row>
    <row r="383" spans="1:13" s="16" customFormat="1" outlineLevel="2">
      <c r="A383" s="17" t="s">
        <v>55</v>
      </c>
      <c r="B383" s="18" t="s">
        <v>318</v>
      </c>
      <c r="C383" s="19" t="s">
        <v>316</v>
      </c>
      <c r="D383" s="18" t="s">
        <v>315</v>
      </c>
      <c r="E383" s="3">
        <v>18312000</v>
      </c>
      <c r="F383" s="17">
        <v>43753</v>
      </c>
      <c r="G383" s="3">
        <v>18312000</v>
      </c>
      <c r="H383" s="2">
        <v>1.4999999999999999E-2</v>
      </c>
      <c r="I383" s="17">
        <v>43770</v>
      </c>
      <c r="J383" s="17">
        <v>43799</v>
      </c>
      <c r="K383" s="3">
        <f>J383-I383+1</f>
        <v>30</v>
      </c>
      <c r="L383" s="3">
        <f>ROUND(G383*H383*K383/365,0)</f>
        <v>22576</v>
      </c>
      <c r="M383" s="3">
        <v>18312000</v>
      </c>
    </row>
    <row r="384" spans="1:13" s="16" customFormat="1" outlineLevel="2">
      <c r="A384" s="17" t="s">
        <v>55</v>
      </c>
      <c r="B384" s="18" t="s">
        <v>317</v>
      </c>
      <c r="C384" s="19" t="s">
        <v>316</v>
      </c>
      <c r="D384" s="18" t="s">
        <v>315</v>
      </c>
      <c r="E384" s="3">
        <v>2983000</v>
      </c>
      <c r="F384" s="17">
        <v>43769</v>
      </c>
      <c r="G384" s="3">
        <v>2983000</v>
      </c>
      <c r="H384" s="2">
        <v>1.4999999999999999E-2</v>
      </c>
      <c r="I384" s="17">
        <v>43770</v>
      </c>
      <c r="J384" s="17">
        <v>43799</v>
      </c>
      <c r="K384" s="3">
        <f>J384-I384+1</f>
        <v>30</v>
      </c>
      <c r="L384" s="3">
        <f>ROUND(G384*H384*K384/365,0)</f>
        <v>3678</v>
      </c>
      <c r="M384" s="3">
        <v>2983000</v>
      </c>
    </row>
    <row r="385" spans="1:13" s="16" customFormat="1" outlineLevel="2">
      <c r="A385" s="17" t="s">
        <v>55</v>
      </c>
      <c r="B385" s="18" t="s">
        <v>44</v>
      </c>
      <c r="C385" s="19" t="s">
        <v>51</v>
      </c>
      <c r="D385" s="18" t="s">
        <v>50</v>
      </c>
      <c r="E385" s="3">
        <v>900000000</v>
      </c>
      <c r="F385" s="17">
        <v>43649</v>
      </c>
      <c r="G385" s="3">
        <v>900000000</v>
      </c>
      <c r="H385" s="2">
        <v>1.4999999999999999E-2</v>
      </c>
      <c r="I385" s="17">
        <v>43770</v>
      </c>
      <c r="J385" s="17">
        <v>43799</v>
      </c>
      <c r="K385" s="3">
        <f>J385-I385+1</f>
        <v>30</v>
      </c>
      <c r="L385" s="3">
        <f>ROUND(G385*H385*K385/365,0)</f>
        <v>1109589</v>
      </c>
      <c r="M385" s="3">
        <v>900000000</v>
      </c>
    </row>
    <row r="386" spans="1:13" s="16" customFormat="1" outlineLevel="2">
      <c r="A386" s="17" t="s">
        <v>55</v>
      </c>
      <c r="B386" s="18" t="s">
        <v>314</v>
      </c>
      <c r="C386" s="19" t="s">
        <v>313</v>
      </c>
      <c r="D386" s="18" t="s">
        <v>312</v>
      </c>
      <c r="E386" s="3">
        <v>20000000</v>
      </c>
      <c r="F386" s="17">
        <v>43766</v>
      </c>
      <c r="G386" s="3">
        <v>20000000</v>
      </c>
      <c r="H386" s="2">
        <v>5.0000000000000001E-3</v>
      </c>
      <c r="I386" s="17">
        <v>43770</v>
      </c>
      <c r="J386" s="17">
        <v>43799</v>
      </c>
      <c r="K386" s="3">
        <f>J386-I386+1</f>
        <v>30</v>
      </c>
      <c r="L386" s="3">
        <f>ROUND(G386*H386*K386/365,0)</f>
        <v>8219</v>
      </c>
      <c r="M386" s="3">
        <v>20000000</v>
      </c>
    </row>
    <row r="387" spans="1:13" s="16" customFormat="1" outlineLevel="2">
      <c r="A387" s="17" t="s">
        <v>55</v>
      </c>
      <c r="B387" s="18" t="s">
        <v>368</v>
      </c>
      <c r="C387" s="19" t="s">
        <v>54</v>
      </c>
      <c r="D387" s="18" t="s">
        <v>34</v>
      </c>
      <c r="E387" s="3">
        <v>75483000</v>
      </c>
      <c r="F387" s="17">
        <v>43774</v>
      </c>
      <c r="G387" s="3">
        <v>75483000</v>
      </c>
      <c r="H387" s="2">
        <v>1.4999999999999999E-2</v>
      </c>
      <c r="I387" s="17">
        <v>43774</v>
      </c>
      <c r="J387" s="17">
        <v>43799</v>
      </c>
      <c r="K387" s="3">
        <f>J387-I387+1</f>
        <v>26</v>
      </c>
      <c r="L387" s="3">
        <f>ROUND(G387*H387*K387/365,0)</f>
        <v>80653</v>
      </c>
      <c r="M387" s="3">
        <v>75483000</v>
      </c>
    </row>
    <row r="388" spans="1:13" s="16" customFormat="1" outlineLevel="2">
      <c r="A388" s="17" t="s">
        <v>55</v>
      </c>
      <c r="B388" s="18" t="s">
        <v>367</v>
      </c>
      <c r="C388" s="19" t="s">
        <v>54</v>
      </c>
      <c r="D388" s="18" t="s">
        <v>34</v>
      </c>
      <c r="E388" s="3">
        <v>13080000</v>
      </c>
      <c r="F388" s="17">
        <v>43784</v>
      </c>
      <c r="G388" s="3">
        <v>13080000</v>
      </c>
      <c r="H388" s="2">
        <v>1.4999999999999999E-2</v>
      </c>
      <c r="I388" s="17">
        <v>43784</v>
      </c>
      <c r="J388" s="17">
        <v>43799</v>
      </c>
      <c r="K388" s="3">
        <f>J388-I388+1</f>
        <v>16</v>
      </c>
      <c r="L388" s="3">
        <f>ROUND(G388*H388*K388/365,0)</f>
        <v>8601</v>
      </c>
      <c r="M388" s="3">
        <v>13080000</v>
      </c>
    </row>
    <row r="389" spans="1:13" s="16" customFormat="1" outlineLevel="2">
      <c r="A389" s="17" t="s">
        <v>55</v>
      </c>
      <c r="B389" s="18" t="s">
        <v>366</v>
      </c>
      <c r="C389" s="19" t="s">
        <v>54</v>
      </c>
      <c r="D389" s="18" t="s">
        <v>34</v>
      </c>
      <c r="E389" s="3">
        <v>24293000</v>
      </c>
      <c r="F389" s="17">
        <v>43794</v>
      </c>
      <c r="G389" s="3">
        <v>24293000</v>
      </c>
      <c r="H389" s="2">
        <v>1.4999999999999999E-2</v>
      </c>
      <c r="I389" s="17">
        <v>43794</v>
      </c>
      <c r="J389" s="17">
        <v>43799</v>
      </c>
      <c r="K389" s="3">
        <f>J389-I389+1</f>
        <v>6</v>
      </c>
      <c r="L389" s="3">
        <f>ROUND(G389*H389*K389/365,0)</f>
        <v>5990</v>
      </c>
      <c r="M389" s="3">
        <v>24293000</v>
      </c>
    </row>
    <row r="390" spans="1:13" s="16" customFormat="1" outlineLevel="2">
      <c r="A390" s="17" t="s">
        <v>55</v>
      </c>
      <c r="B390" s="18" t="s">
        <v>365</v>
      </c>
      <c r="C390" s="19" t="s">
        <v>43</v>
      </c>
      <c r="D390" s="18" t="s">
        <v>26</v>
      </c>
      <c r="E390" s="3">
        <v>116544750</v>
      </c>
      <c r="F390" s="17">
        <v>43777</v>
      </c>
      <c r="G390" s="3">
        <v>116544750</v>
      </c>
      <c r="H390" s="2">
        <v>1.4999999999999999E-2</v>
      </c>
      <c r="I390" s="17">
        <v>43777</v>
      </c>
      <c r="J390" s="17">
        <v>43799</v>
      </c>
      <c r="K390" s="3">
        <f>J390-I390+1</f>
        <v>23</v>
      </c>
      <c r="L390" s="3">
        <f>ROUND(G390*H390*K390/365,0)</f>
        <v>110159</v>
      </c>
      <c r="M390" s="3">
        <v>116544750</v>
      </c>
    </row>
    <row r="391" spans="1:13" s="16" customFormat="1" outlineLevel="2">
      <c r="A391" s="17" t="s">
        <v>55</v>
      </c>
      <c r="B391" s="18" t="s">
        <v>364</v>
      </c>
      <c r="C391" s="19" t="s">
        <v>159</v>
      </c>
      <c r="D391" s="18" t="s">
        <v>158</v>
      </c>
      <c r="E391" s="3">
        <v>13938000</v>
      </c>
      <c r="F391" s="17">
        <v>43784</v>
      </c>
      <c r="G391" s="3">
        <v>13938000</v>
      </c>
      <c r="H391" s="2">
        <v>1.4999999999999999E-2</v>
      </c>
      <c r="I391" s="17">
        <v>43784</v>
      </c>
      <c r="J391" s="17">
        <v>43799</v>
      </c>
      <c r="K391" s="3">
        <f>J391-I391+1</f>
        <v>16</v>
      </c>
      <c r="L391" s="3">
        <f>ROUND(G391*H391*K391/365,0)</f>
        <v>9165</v>
      </c>
      <c r="M391" s="3">
        <v>13938000</v>
      </c>
    </row>
    <row r="392" spans="1:13" s="16" customFormat="1" outlineLevel="2">
      <c r="A392" s="17" t="s">
        <v>55</v>
      </c>
      <c r="B392" s="18" t="s">
        <v>363</v>
      </c>
      <c r="C392" s="19" t="s">
        <v>159</v>
      </c>
      <c r="D392" s="18" t="s">
        <v>158</v>
      </c>
      <c r="E392" s="3">
        <v>7406000</v>
      </c>
      <c r="F392" s="17">
        <v>43784</v>
      </c>
      <c r="G392" s="3">
        <v>7406000</v>
      </c>
      <c r="H392" s="2">
        <v>1.4999999999999999E-2</v>
      </c>
      <c r="I392" s="17">
        <v>43784</v>
      </c>
      <c r="J392" s="17">
        <v>43799</v>
      </c>
      <c r="K392" s="3">
        <f>J392-I392+1</f>
        <v>16</v>
      </c>
      <c r="L392" s="3">
        <f>ROUND(G392*H392*K392/365,0)</f>
        <v>4870</v>
      </c>
      <c r="M392" s="3">
        <v>7406000</v>
      </c>
    </row>
    <row r="393" spans="1:13" s="16" customFormat="1" outlineLevel="2">
      <c r="A393" s="17" t="s">
        <v>55</v>
      </c>
      <c r="B393" s="18" t="s">
        <v>362</v>
      </c>
      <c r="C393" s="19" t="s">
        <v>183</v>
      </c>
      <c r="D393" s="18" t="s">
        <v>182</v>
      </c>
      <c r="E393" s="3">
        <v>9813550</v>
      </c>
      <c r="F393" s="17">
        <v>43783</v>
      </c>
      <c r="G393" s="3">
        <v>9813550</v>
      </c>
      <c r="H393" s="2">
        <v>5.0000000000000001E-3</v>
      </c>
      <c r="I393" s="17">
        <v>43783</v>
      </c>
      <c r="J393" s="17">
        <v>43799</v>
      </c>
      <c r="K393" s="3">
        <f>J393-I393+1</f>
        <v>17</v>
      </c>
      <c r="L393" s="3">
        <f>ROUND(G393*H393*K393/365,0)</f>
        <v>2285</v>
      </c>
      <c r="M393" s="3">
        <v>9813550</v>
      </c>
    </row>
    <row r="394" spans="1:13" s="16" customFormat="1" outlineLevel="2">
      <c r="A394" s="17" t="s">
        <v>55</v>
      </c>
      <c r="B394" s="18" t="s">
        <v>361</v>
      </c>
      <c r="C394" s="19" t="s">
        <v>183</v>
      </c>
      <c r="D394" s="18" t="s">
        <v>182</v>
      </c>
      <c r="E394" s="3">
        <v>9999531</v>
      </c>
      <c r="F394" s="17">
        <v>43788</v>
      </c>
      <c r="G394" s="3">
        <v>9999531</v>
      </c>
      <c r="H394" s="2">
        <v>5.0000000000000001E-3</v>
      </c>
      <c r="I394" s="17">
        <v>43788</v>
      </c>
      <c r="J394" s="17">
        <v>43799</v>
      </c>
      <c r="K394" s="3">
        <f>J394-I394+1</f>
        <v>12</v>
      </c>
      <c r="L394" s="3">
        <f>ROUND(G394*H394*K394/365,0)</f>
        <v>1644</v>
      </c>
      <c r="M394" s="3">
        <v>9999531</v>
      </c>
    </row>
    <row r="395" spans="1:13" s="16" customFormat="1" outlineLevel="2">
      <c r="A395" s="17" t="s">
        <v>55</v>
      </c>
      <c r="B395" s="18" t="s">
        <v>360</v>
      </c>
      <c r="C395" s="19" t="s">
        <v>188</v>
      </c>
      <c r="D395" s="18" t="s">
        <v>187</v>
      </c>
      <c r="E395" s="3">
        <v>31432000</v>
      </c>
      <c r="F395" s="17">
        <v>43783</v>
      </c>
      <c r="G395" s="3">
        <v>31432000</v>
      </c>
      <c r="H395" s="2">
        <v>1.4999999999999999E-2</v>
      </c>
      <c r="I395" s="17">
        <v>43783</v>
      </c>
      <c r="J395" s="17">
        <v>43799</v>
      </c>
      <c r="K395" s="3">
        <f>J395-I395+1</f>
        <v>17</v>
      </c>
      <c r="L395" s="3">
        <f>ROUND(G395*H395*K395/365,0)</f>
        <v>21959</v>
      </c>
      <c r="M395" s="3">
        <v>31432000</v>
      </c>
    </row>
    <row r="396" spans="1:13" s="16" customFormat="1" outlineLevel="1">
      <c r="A396" s="28" t="s">
        <v>53</v>
      </c>
      <c r="B396" s="21"/>
      <c r="C396" s="22"/>
      <c r="D396" s="21"/>
      <c r="E396" s="23">
        <f>SUBTOTAL(9,E284:E395)</f>
        <v>4761865424</v>
      </c>
      <c r="F396" s="20"/>
      <c r="G396" s="23"/>
      <c r="H396" s="24"/>
      <c r="I396" s="20"/>
      <c r="J396" s="20"/>
      <c r="K396" s="23"/>
      <c r="L396" s="23">
        <f>SUBTOTAL(9,L284:L395)</f>
        <v>5170294</v>
      </c>
      <c r="M396" s="23">
        <f>SUBTOTAL(9,M284:M395)</f>
        <v>4761865424</v>
      </c>
    </row>
    <row r="397" spans="1:13" s="16" customFormat="1" outlineLevel="2">
      <c r="A397" s="17" t="s">
        <v>251</v>
      </c>
      <c r="B397" s="18" t="s">
        <v>17</v>
      </c>
      <c r="C397" s="19" t="s">
        <v>159</v>
      </c>
      <c r="D397" s="18" t="s">
        <v>158</v>
      </c>
      <c r="E397" s="3">
        <v>10000000</v>
      </c>
      <c r="F397" s="17">
        <v>43725</v>
      </c>
      <c r="G397" s="3">
        <v>10000000</v>
      </c>
      <c r="H397" s="2">
        <v>3.0000000000000001E-3</v>
      </c>
      <c r="I397" s="17">
        <v>43770</v>
      </c>
      <c r="J397" s="17">
        <v>43799</v>
      </c>
      <c r="K397" s="3">
        <f>J397-I397+1</f>
        <v>30</v>
      </c>
      <c r="L397" s="3">
        <f>ROUND(G397*H397*K397/365,0)</f>
        <v>2466</v>
      </c>
      <c r="M397" s="3">
        <v>10000000</v>
      </c>
    </row>
    <row r="398" spans="1:13" s="16" customFormat="1" outlineLevel="1">
      <c r="A398" s="28" t="s">
        <v>250</v>
      </c>
      <c r="B398" s="21"/>
      <c r="C398" s="22"/>
      <c r="D398" s="21"/>
      <c r="E398" s="23">
        <f>SUBTOTAL(9,E397:E397)</f>
        <v>10000000</v>
      </c>
      <c r="F398" s="20"/>
      <c r="G398" s="23"/>
      <c r="H398" s="24"/>
      <c r="I398" s="20"/>
      <c r="J398" s="20"/>
      <c r="K398" s="23"/>
      <c r="L398" s="23">
        <f>SUBTOTAL(9,L397:L397)</f>
        <v>2466</v>
      </c>
      <c r="M398" s="23">
        <f>SUBTOTAL(9,M397:M397)</f>
        <v>10000000</v>
      </c>
    </row>
    <row r="399" spans="1:13" s="16" customFormat="1" outlineLevel="2">
      <c r="A399" s="17" t="s">
        <v>249</v>
      </c>
      <c r="B399" s="18" t="s">
        <v>17</v>
      </c>
      <c r="C399" s="19" t="s">
        <v>248</v>
      </c>
      <c r="D399" s="18" t="s">
        <v>247</v>
      </c>
      <c r="E399" s="3">
        <v>300000000</v>
      </c>
      <c r="F399" s="17">
        <v>43726</v>
      </c>
      <c r="G399" s="3">
        <v>300000000</v>
      </c>
      <c r="H399" s="2">
        <v>5.0000000000000001E-3</v>
      </c>
      <c r="I399" s="17">
        <v>43770</v>
      </c>
      <c r="J399" s="17">
        <v>43799</v>
      </c>
      <c r="K399" s="3">
        <f>J399-I399+1</f>
        <v>30</v>
      </c>
      <c r="L399" s="3">
        <f>ROUND(G399*H399*K399/365,0)</f>
        <v>123288</v>
      </c>
      <c r="M399" s="3">
        <v>300000000</v>
      </c>
    </row>
    <row r="400" spans="1:13" s="16" customFormat="1" outlineLevel="2">
      <c r="A400" s="17" t="s">
        <v>249</v>
      </c>
      <c r="B400" s="18" t="s">
        <v>31</v>
      </c>
      <c r="C400" s="19" t="s">
        <v>248</v>
      </c>
      <c r="D400" s="18" t="s">
        <v>247</v>
      </c>
      <c r="E400" s="3">
        <v>100000000</v>
      </c>
      <c r="F400" s="17">
        <v>43752</v>
      </c>
      <c r="G400" s="3">
        <v>100000000</v>
      </c>
      <c r="H400" s="2">
        <v>5.0000000000000001E-3</v>
      </c>
      <c r="I400" s="17">
        <v>43770</v>
      </c>
      <c r="J400" s="17">
        <v>43799</v>
      </c>
      <c r="K400" s="3">
        <f>J400-I400+1</f>
        <v>30</v>
      </c>
      <c r="L400" s="3">
        <f>ROUND(G400*H400*K400/365,0)</f>
        <v>41096</v>
      </c>
      <c r="M400" s="3">
        <v>100000000</v>
      </c>
    </row>
    <row r="401" spans="1:13" s="16" customFormat="1" outlineLevel="2">
      <c r="A401" s="17" t="s">
        <v>249</v>
      </c>
      <c r="B401" s="18" t="s">
        <v>30</v>
      </c>
      <c r="C401" s="19" t="s">
        <v>280</v>
      </c>
      <c r="D401" s="18" t="s">
        <v>279</v>
      </c>
      <c r="E401" s="3">
        <v>30000000</v>
      </c>
      <c r="F401" s="17">
        <v>43775</v>
      </c>
      <c r="G401" s="3">
        <v>30000000</v>
      </c>
      <c r="H401" s="2">
        <v>5.0000000000000001E-3</v>
      </c>
      <c r="I401" s="17">
        <v>43775</v>
      </c>
      <c r="J401" s="17">
        <v>43799</v>
      </c>
      <c r="K401" s="3">
        <f>J401-I401+1</f>
        <v>25</v>
      </c>
      <c r="L401" s="3">
        <f>ROUND(G401*H401*K401/365,0)</f>
        <v>10274</v>
      </c>
      <c r="M401" s="3">
        <v>30000000</v>
      </c>
    </row>
    <row r="402" spans="1:13" s="16" customFormat="1" outlineLevel="1">
      <c r="A402" s="28" t="s">
        <v>246</v>
      </c>
      <c r="B402" s="21"/>
      <c r="C402" s="22"/>
      <c r="D402" s="21"/>
      <c r="E402" s="23">
        <f>SUBTOTAL(9,E399:E401)</f>
        <v>430000000</v>
      </c>
      <c r="F402" s="20"/>
      <c r="G402" s="23"/>
      <c r="H402" s="24"/>
      <c r="I402" s="20"/>
      <c r="J402" s="20"/>
      <c r="K402" s="23"/>
      <c r="L402" s="23">
        <f>SUBTOTAL(9,L399:L401)</f>
        <v>174658</v>
      </c>
      <c r="M402" s="23">
        <f>SUBTOTAL(9,M399:M401)</f>
        <v>430000000</v>
      </c>
    </row>
    <row r="403" spans="1:13" s="16" customFormat="1" outlineLevel="2">
      <c r="A403" s="17" t="s">
        <v>52</v>
      </c>
      <c r="B403" s="18" t="s">
        <v>17</v>
      </c>
      <c r="C403" s="19" t="s">
        <v>51</v>
      </c>
      <c r="D403" s="18" t="s">
        <v>50</v>
      </c>
      <c r="E403" s="3">
        <v>350000000</v>
      </c>
      <c r="F403" s="17">
        <v>43644</v>
      </c>
      <c r="G403" s="3">
        <v>350000000</v>
      </c>
      <c r="H403" s="2">
        <v>1.4999999999999999E-2</v>
      </c>
      <c r="I403" s="17">
        <v>43770</v>
      </c>
      <c r="J403" s="17">
        <v>43799</v>
      </c>
      <c r="K403" s="3">
        <f>J403-I403+1</f>
        <v>30</v>
      </c>
      <c r="L403" s="3">
        <f>ROUND(G403*H403*K403/365,0)</f>
        <v>431507</v>
      </c>
      <c r="M403" s="3">
        <v>350000000</v>
      </c>
    </row>
    <row r="404" spans="1:13" s="16" customFormat="1" outlineLevel="2">
      <c r="A404" s="17" t="s">
        <v>52</v>
      </c>
      <c r="B404" s="18" t="s">
        <v>181</v>
      </c>
      <c r="C404" s="19" t="s">
        <v>245</v>
      </c>
      <c r="D404" s="18" t="s">
        <v>244</v>
      </c>
      <c r="E404" s="3">
        <v>28000000</v>
      </c>
      <c r="F404" s="17">
        <v>43732</v>
      </c>
      <c r="G404" s="3">
        <v>28000000</v>
      </c>
      <c r="H404" s="2">
        <v>5.0000000000000001E-3</v>
      </c>
      <c r="I404" s="17">
        <v>43770</v>
      </c>
      <c r="J404" s="17">
        <v>43799</v>
      </c>
      <c r="K404" s="3">
        <f>J404-I404+1</f>
        <v>30</v>
      </c>
      <c r="L404" s="3">
        <f>ROUND(G404*H404*K404/365,0)</f>
        <v>11507</v>
      </c>
      <c r="M404" s="3">
        <v>28000000</v>
      </c>
    </row>
    <row r="405" spans="1:13" s="16" customFormat="1" outlineLevel="2">
      <c r="A405" s="17" t="s">
        <v>52</v>
      </c>
      <c r="B405" s="18" t="s">
        <v>180</v>
      </c>
      <c r="C405" s="19" t="s">
        <v>243</v>
      </c>
      <c r="D405" s="18" t="s">
        <v>242</v>
      </c>
      <c r="E405" s="3">
        <v>100000000</v>
      </c>
      <c r="F405" s="17">
        <v>43732</v>
      </c>
      <c r="G405" s="3">
        <v>100000000</v>
      </c>
      <c r="H405" s="2">
        <v>5.0000000000000001E-3</v>
      </c>
      <c r="I405" s="17">
        <v>43770</v>
      </c>
      <c r="J405" s="17">
        <v>43799</v>
      </c>
      <c r="K405" s="3">
        <f>J405-I405+1</f>
        <v>30</v>
      </c>
      <c r="L405" s="3">
        <f>ROUND(G405*H405*K405/365,0)</f>
        <v>41096</v>
      </c>
      <c r="M405" s="3">
        <v>100000000</v>
      </c>
    </row>
    <row r="406" spans="1:13" s="16" customFormat="1" outlineLevel="2">
      <c r="A406" s="17" t="s">
        <v>52</v>
      </c>
      <c r="B406" s="18" t="s">
        <v>179</v>
      </c>
      <c r="C406" s="19" t="s">
        <v>183</v>
      </c>
      <c r="D406" s="18" t="s">
        <v>182</v>
      </c>
      <c r="E406" s="3">
        <v>9828000</v>
      </c>
      <c r="F406" s="17">
        <v>43741</v>
      </c>
      <c r="G406" s="3">
        <v>9828000</v>
      </c>
      <c r="H406" s="2">
        <v>5.0000000000000001E-3</v>
      </c>
      <c r="I406" s="17">
        <v>43770</v>
      </c>
      <c r="J406" s="17">
        <v>43799</v>
      </c>
      <c r="K406" s="3">
        <f>J406-I406+1</f>
        <v>30</v>
      </c>
      <c r="L406" s="3">
        <f>ROUND(G406*H406*K406/365,0)</f>
        <v>4039</v>
      </c>
      <c r="M406" s="3">
        <v>9828000</v>
      </c>
    </row>
    <row r="407" spans="1:13" s="16" customFormat="1" outlineLevel="2">
      <c r="A407" s="17" t="s">
        <v>52</v>
      </c>
      <c r="B407" s="18" t="s">
        <v>178</v>
      </c>
      <c r="C407" s="19" t="s">
        <v>183</v>
      </c>
      <c r="D407" s="18" t="s">
        <v>182</v>
      </c>
      <c r="E407" s="3">
        <v>10165719</v>
      </c>
      <c r="F407" s="17">
        <v>43759</v>
      </c>
      <c r="G407" s="3">
        <v>10165719</v>
      </c>
      <c r="H407" s="2">
        <v>5.0000000000000001E-3</v>
      </c>
      <c r="I407" s="17">
        <v>43770</v>
      </c>
      <c r="J407" s="17">
        <v>43799</v>
      </c>
      <c r="K407" s="3">
        <f>J407-I407+1</f>
        <v>30</v>
      </c>
      <c r="L407" s="3">
        <f>ROUND(G407*H407*K407/365,0)</f>
        <v>4178</v>
      </c>
      <c r="M407" s="3">
        <v>10165719</v>
      </c>
    </row>
    <row r="408" spans="1:13" s="16" customFormat="1" outlineLevel="2">
      <c r="A408" s="17" t="s">
        <v>52</v>
      </c>
      <c r="B408" s="18" t="s">
        <v>177</v>
      </c>
      <c r="C408" s="19" t="s">
        <v>243</v>
      </c>
      <c r="D408" s="18" t="s">
        <v>242</v>
      </c>
      <c r="E408" s="3">
        <v>165000000</v>
      </c>
      <c r="F408" s="17">
        <v>43747</v>
      </c>
      <c r="G408" s="3">
        <v>165000000</v>
      </c>
      <c r="H408" s="2">
        <v>5.0000000000000001E-3</v>
      </c>
      <c r="I408" s="17">
        <v>43770</v>
      </c>
      <c r="J408" s="17">
        <v>43799</v>
      </c>
      <c r="K408" s="3">
        <f>J408-I408+1</f>
        <v>30</v>
      </c>
      <c r="L408" s="3">
        <f>ROUND(G408*H408*K408/365,0)</f>
        <v>67808</v>
      </c>
      <c r="M408" s="3">
        <v>165000000</v>
      </c>
    </row>
    <row r="409" spans="1:13" s="16" customFormat="1" outlineLevel="2">
      <c r="A409" s="17" t="s">
        <v>52</v>
      </c>
      <c r="B409" s="18" t="s">
        <v>176</v>
      </c>
      <c r="C409" s="19" t="s">
        <v>243</v>
      </c>
      <c r="D409" s="18" t="s">
        <v>242</v>
      </c>
      <c r="E409" s="3">
        <v>574000000</v>
      </c>
      <c r="F409" s="17">
        <v>43752</v>
      </c>
      <c r="G409" s="3">
        <v>574000000</v>
      </c>
      <c r="H409" s="2">
        <v>5.0000000000000001E-3</v>
      </c>
      <c r="I409" s="17">
        <v>43770</v>
      </c>
      <c r="J409" s="17">
        <v>43799</v>
      </c>
      <c r="K409" s="3">
        <f>J409-I409+1</f>
        <v>30</v>
      </c>
      <c r="L409" s="3">
        <f>ROUND(G409*H409*K409/365,0)</f>
        <v>235890</v>
      </c>
      <c r="M409" s="3">
        <v>574000000</v>
      </c>
    </row>
    <row r="410" spans="1:13" s="16" customFormat="1" outlineLevel="2">
      <c r="A410" s="17" t="s">
        <v>52</v>
      </c>
      <c r="B410" s="18" t="s">
        <v>175</v>
      </c>
      <c r="C410" s="19" t="s">
        <v>243</v>
      </c>
      <c r="D410" s="18" t="s">
        <v>242</v>
      </c>
      <c r="E410" s="3">
        <v>491000000</v>
      </c>
      <c r="F410" s="17">
        <v>43762</v>
      </c>
      <c r="G410" s="3">
        <v>491000000</v>
      </c>
      <c r="H410" s="2">
        <v>5.0000000000000001E-3</v>
      </c>
      <c r="I410" s="17">
        <v>43770</v>
      </c>
      <c r="J410" s="17">
        <v>43799</v>
      </c>
      <c r="K410" s="3">
        <f>J410-I410+1</f>
        <v>30</v>
      </c>
      <c r="L410" s="3">
        <f>ROUND(G410*H410*K410/365,0)</f>
        <v>201781</v>
      </c>
      <c r="M410" s="3">
        <v>491000000</v>
      </c>
    </row>
    <row r="411" spans="1:13" s="16" customFormat="1" outlineLevel="2">
      <c r="A411" s="17" t="s">
        <v>52</v>
      </c>
      <c r="B411" s="18" t="s">
        <v>174</v>
      </c>
      <c r="C411" s="19" t="s">
        <v>311</v>
      </c>
      <c r="D411" s="18" t="s">
        <v>200</v>
      </c>
      <c r="E411" s="3">
        <v>16800000</v>
      </c>
      <c r="F411" s="17">
        <v>43741</v>
      </c>
      <c r="G411" s="3">
        <v>16800000</v>
      </c>
      <c r="H411" s="2">
        <v>5.0000000000000001E-3</v>
      </c>
      <c r="I411" s="17">
        <v>43770</v>
      </c>
      <c r="J411" s="17">
        <v>43799</v>
      </c>
      <c r="K411" s="3">
        <f>J411-I411+1</f>
        <v>30</v>
      </c>
      <c r="L411" s="3">
        <f>ROUND(G411*H411*K411/365,0)</f>
        <v>6904</v>
      </c>
      <c r="M411" s="3">
        <v>16800000</v>
      </c>
    </row>
    <row r="412" spans="1:13" s="16" customFormat="1" outlineLevel="2">
      <c r="A412" s="17" t="s">
        <v>52</v>
      </c>
      <c r="B412" s="18" t="s">
        <v>171</v>
      </c>
      <c r="C412" s="19" t="s">
        <v>310</v>
      </c>
      <c r="D412" s="18" t="s">
        <v>309</v>
      </c>
      <c r="E412" s="3">
        <v>50248600</v>
      </c>
      <c r="F412" s="17">
        <v>43753</v>
      </c>
      <c r="G412" s="3">
        <v>50248600</v>
      </c>
      <c r="H412" s="2">
        <v>5.0000000000000001E-3</v>
      </c>
      <c r="I412" s="17">
        <v>43770</v>
      </c>
      <c r="J412" s="17">
        <v>43799</v>
      </c>
      <c r="K412" s="3">
        <f>J412-I412+1</f>
        <v>30</v>
      </c>
      <c r="L412" s="3">
        <f>ROUND(G412*H412*K412/365,0)</f>
        <v>20650</v>
      </c>
      <c r="M412" s="3">
        <v>50248600</v>
      </c>
    </row>
    <row r="413" spans="1:13" s="16" customFormat="1" outlineLevel="2">
      <c r="A413" s="17" t="s">
        <v>52</v>
      </c>
      <c r="B413" s="18" t="s">
        <v>170</v>
      </c>
      <c r="C413" s="19" t="s">
        <v>253</v>
      </c>
      <c r="D413" s="18" t="s">
        <v>252</v>
      </c>
      <c r="E413" s="3">
        <v>4800000</v>
      </c>
      <c r="F413" s="17">
        <v>43754</v>
      </c>
      <c r="G413" s="3">
        <v>4800000</v>
      </c>
      <c r="H413" s="2">
        <v>5.0000000000000001E-3</v>
      </c>
      <c r="I413" s="17">
        <v>43770</v>
      </c>
      <c r="J413" s="17">
        <v>43799</v>
      </c>
      <c r="K413" s="3">
        <f>J413-I413+1</f>
        <v>30</v>
      </c>
      <c r="L413" s="3">
        <f>ROUND(G413*H413*K413/365,0)</f>
        <v>1973</v>
      </c>
      <c r="M413" s="3">
        <v>4800000</v>
      </c>
    </row>
    <row r="414" spans="1:13" s="16" customFormat="1" outlineLevel="2">
      <c r="A414" s="17" t="s">
        <v>52</v>
      </c>
      <c r="B414" s="18" t="s">
        <v>31</v>
      </c>
      <c r="C414" s="19" t="s">
        <v>51</v>
      </c>
      <c r="D414" s="18" t="s">
        <v>50</v>
      </c>
      <c r="E414" s="3">
        <v>200000000</v>
      </c>
      <c r="F414" s="17">
        <v>43620</v>
      </c>
      <c r="G414" s="3">
        <v>200000000</v>
      </c>
      <c r="H414" s="2">
        <v>1.4999999999999999E-2</v>
      </c>
      <c r="I414" s="17">
        <v>43770</v>
      </c>
      <c r="J414" s="17">
        <v>43799</v>
      </c>
      <c r="K414" s="3">
        <f>J414-I414+1</f>
        <v>30</v>
      </c>
      <c r="L414" s="3">
        <f>ROUND(G414*H414*K414/365,0)</f>
        <v>246575</v>
      </c>
      <c r="M414" s="3">
        <v>200000000</v>
      </c>
    </row>
    <row r="415" spans="1:13" s="16" customFormat="1" outlineLevel="2">
      <c r="A415" s="17" t="s">
        <v>52</v>
      </c>
      <c r="B415" s="18" t="s">
        <v>169</v>
      </c>
      <c r="C415" s="19" t="s">
        <v>308</v>
      </c>
      <c r="D415" s="18" t="s">
        <v>307</v>
      </c>
      <c r="E415" s="3">
        <v>400000000</v>
      </c>
      <c r="F415" s="17">
        <v>43739</v>
      </c>
      <c r="G415" s="3">
        <v>400000000</v>
      </c>
      <c r="H415" s="2">
        <v>5.0000000000000001E-3</v>
      </c>
      <c r="I415" s="17">
        <v>43770</v>
      </c>
      <c r="J415" s="17">
        <v>43799</v>
      </c>
      <c r="K415" s="3">
        <f>J415-I415+1</f>
        <v>30</v>
      </c>
      <c r="L415" s="3">
        <f>ROUND(G415*H415*K415/365,0)</f>
        <v>164384</v>
      </c>
      <c r="M415" s="3">
        <v>400000000</v>
      </c>
    </row>
    <row r="416" spans="1:13" s="16" customFormat="1" outlineLevel="2">
      <c r="A416" s="17" t="s">
        <v>52</v>
      </c>
      <c r="B416" s="18" t="s">
        <v>168</v>
      </c>
      <c r="C416" s="19" t="s">
        <v>308</v>
      </c>
      <c r="D416" s="18" t="s">
        <v>307</v>
      </c>
      <c r="E416" s="3">
        <v>14700000</v>
      </c>
      <c r="F416" s="17">
        <v>43768</v>
      </c>
      <c r="G416" s="3">
        <v>14700000</v>
      </c>
      <c r="H416" s="2">
        <v>5.0000000000000001E-3</v>
      </c>
      <c r="I416" s="17">
        <v>43770</v>
      </c>
      <c r="J416" s="17">
        <v>43799</v>
      </c>
      <c r="K416" s="3">
        <f>J416-I416+1</f>
        <v>30</v>
      </c>
      <c r="L416" s="3">
        <f>ROUND(G416*H416*K416/365,0)</f>
        <v>6041</v>
      </c>
      <c r="M416" s="3">
        <v>14700000</v>
      </c>
    </row>
    <row r="417" spans="1:13" s="16" customFormat="1" outlineLevel="2">
      <c r="A417" s="17" t="s">
        <v>52</v>
      </c>
      <c r="B417" s="18" t="s">
        <v>167</v>
      </c>
      <c r="C417" s="19" t="s">
        <v>243</v>
      </c>
      <c r="D417" s="18" t="s">
        <v>242</v>
      </c>
      <c r="E417" s="3">
        <v>150000000</v>
      </c>
      <c r="F417" s="17">
        <v>43777</v>
      </c>
      <c r="G417" s="3">
        <v>150000000</v>
      </c>
      <c r="H417" s="2">
        <v>5.0000000000000001E-3</v>
      </c>
      <c r="I417" s="17">
        <v>43777</v>
      </c>
      <c r="J417" s="17">
        <v>43799</v>
      </c>
      <c r="K417" s="3">
        <f>J417-I417+1</f>
        <v>23</v>
      </c>
      <c r="L417" s="3">
        <f>ROUND(G417*H417*K417/365,0)</f>
        <v>47260</v>
      </c>
      <c r="M417" s="3">
        <v>150000000</v>
      </c>
    </row>
    <row r="418" spans="1:13" s="16" customFormat="1" outlineLevel="2">
      <c r="A418" s="17" t="s">
        <v>52</v>
      </c>
      <c r="B418" s="18" t="s">
        <v>166</v>
      </c>
      <c r="C418" s="19" t="s">
        <v>243</v>
      </c>
      <c r="D418" s="18" t="s">
        <v>242</v>
      </c>
      <c r="E418" s="3">
        <v>285000000</v>
      </c>
      <c r="F418" s="17">
        <v>43780</v>
      </c>
      <c r="G418" s="3">
        <v>285000000</v>
      </c>
      <c r="H418" s="2">
        <v>5.0000000000000001E-3</v>
      </c>
      <c r="I418" s="17">
        <v>43780</v>
      </c>
      <c r="J418" s="17">
        <v>43799</v>
      </c>
      <c r="K418" s="3">
        <f>J418-I418+1</f>
        <v>20</v>
      </c>
      <c r="L418" s="3">
        <f>ROUND(G418*H418*K418/365,0)</f>
        <v>78082</v>
      </c>
      <c r="M418" s="3">
        <v>285000000</v>
      </c>
    </row>
    <row r="419" spans="1:13" s="16" customFormat="1" outlineLevel="2">
      <c r="A419" s="17" t="s">
        <v>52</v>
      </c>
      <c r="B419" s="18" t="s">
        <v>165</v>
      </c>
      <c r="C419" s="19" t="s">
        <v>243</v>
      </c>
      <c r="D419" s="18" t="s">
        <v>242</v>
      </c>
      <c r="E419" s="3">
        <v>74000000</v>
      </c>
      <c r="F419" s="17">
        <v>43780</v>
      </c>
      <c r="G419" s="3">
        <v>74000000</v>
      </c>
      <c r="H419" s="2">
        <v>5.0000000000000001E-3</v>
      </c>
      <c r="I419" s="17">
        <v>43780</v>
      </c>
      <c r="J419" s="17">
        <v>43799</v>
      </c>
      <c r="K419" s="3">
        <f>J419-I419+1</f>
        <v>20</v>
      </c>
      <c r="L419" s="3">
        <f>ROUND(G419*H419*K419/365,0)</f>
        <v>20274</v>
      </c>
      <c r="M419" s="3">
        <v>74000000</v>
      </c>
    </row>
    <row r="420" spans="1:13" s="16" customFormat="1" outlineLevel="2">
      <c r="A420" s="17" t="s">
        <v>52</v>
      </c>
      <c r="B420" s="18" t="s">
        <v>164</v>
      </c>
      <c r="C420" s="19" t="s">
        <v>243</v>
      </c>
      <c r="D420" s="18" t="s">
        <v>242</v>
      </c>
      <c r="E420" s="3">
        <v>161000000</v>
      </c>
      <c r="F420" s="17">
        <v>43794</v>
      </c>
      <c r="G420" s="3">
        <v>161000000</v>
      </c>
      <c r="H420" s="2">
        <v>5.0000000000000001E-3</v>
      </c>
      <c r="I420" s="17">
        <v>43794</v>
      </c>
      <c r="J420" s="17">
        <v>43799</v>
      </c>
      <c r="K420" s="3">
        <f>J420-I420+1</f>
        <v>6</v>
      </c>
      <c r="L420" s="3">
        <f>ROUND(G420*H420*K420/365,0)</f>
        <v>13233</v>
      </c>
      <c r="M420" s="3">
        <v>161000000</v>
      </c>
    </row>
    <row r="421" spans="1:13" s="16" customFormat="1" outlineLevel="2">
      <c r="A421" s="17" t="s">
        <v>52</v>
      </c>
      <c r="B421" s="18" t="s">
        <v>164</v>
      </c>
      <c r="C421" s="19" t="s">
        <v>386</v>
      </c>
      <c r="D421" s="18" t="s">
        <v>385</v>
      </c>
      <c r="E421" s="3">
        <v>400000000</v>
      </c>
      <c r="F421" s="17">
        <v>43797</v>
      </c>
      <c r="G421" s="3">
        <v>400000000</v>
      </c>
      <c r="H421" s="2">
        <v>1.4999999999999999E-2</v>
      </c>
      <c r="I421" s="17">
        <v>43797</v>
      </c>
      <c r="J421" s="17">
        <v>43799</v>
      </c>
      <c r="K421" s="3">
        <f>J421-I421+1</f>
        <v>3</v>
      </c>
      <c r="L421" s="3">
        <f>ROUND(G421*H421*K421/365,0)</f>
        <v>49315</v>
      </c>
      <c r="M421" s="3">
        <v>400000000</v>
      </c>
    </row>
    <row r="422" spans="1:13" s="16" customFormat="1" outlineLevel="2">
      <c r="A422" s="17" t="s">
        <v>52</v>
      </c>
      <c r="B422" s="18" t="s">
        <v>30</v>
      </c>
      <c r="C422" s="19" t="s">
        <v>51</v>
      </c>
      <c r="D422" s="18" t="s">
        <v>50</v>
      </c>
      <c r="E422" s="3">
        <v>200000000</v>
      </c>
      <c r="F422" s="17">
        <v>43644</v>
      </c>
      <c r="G422" s="3">
        <v>200000000</v>
      </c>
      <c r="H422" s="2">
        <v>1.4999999999999999E-2</v>
      </c>
      <c r="I422" s="17">
        <v>43770</v>
      </c>
      <c r="J422" s="17">
        <v>43799</v>
      </c>
      <c r="K422" s="3">
        <f>J422-I422+1</f>
        <v>30</v>
      </c>
      <c r="L422" s="3">
        <f>ROUND(G422*H422*K422/365,0)</f>
        <v>246575</v>
      </c>
      <c r="M422" s="3">
        <v>200000000</v>
      </c>
    </row>
    <row r="423" spans="1:13" s="16" customFormat="1" outlineLevel="2">
      <c r="A423" s="17" t="s">
        <v>52</v>
      </c>
      <c r="B423" s="18" t="s">
        <v>28</v>
      </c>
      <c r="C423" s="19" t="s">
        <v>51</v>
      </c>
      <c r="D423" s="18" t="s">
        <v>50</v>
      </c>
      <c r="E423" s="3">
        <v>380000000</v>
      </c>
      <c r="F423" s="17">
        <v>43656</v>
      </c>
      <c r="G423" s="3">
        <v>380000000</v>
      </c>
      <c r="H423" s="2">
        <v>1.4999999999999999E-2</v>
      </c>
      <c r="I423" s="17">
        <v>43770</v>
      </c>
      <c r="J423" s="17">
        <v>43799</v>
      </c>
      <c r="K423" s="3">
        <f>J423-I423+1</f>
        <v>30</v>
      </c>
      <c r="L423" s="3">
        <f>ROUND(G423*H423*K423/365,0)</f>
        <v>468493</v>
      </c>
      <c r="M423" s="3">
        <v>380000000</v>
      </c>
    </row>
    <row r="424" spans="1:13" s="16" customFormat="1" outlineLevel="2">
      <c r="A424" s="17" t="s">
        <v>52</v>
      </c>
      <c r="B424" s="18" t="s">
        <v>48</v>
      </c>
      <c r="C424" s="19" t="s">
        <v>51</v>
      </c>
      <c r="D424" s="18" t="s">
        <v>50</v>
      </c>
      <c r="E424" s="3">
        <v>370000000</v>
      </c>
      <c r="F424" s="17">
        <v>43677</v>
      </c>
      <c r="G424" s="3">
        <v>370000000</v>
      </c>
      <c r="H424" s="2">
        <v>1.4999999999999999E-2</v>
      </c>
      <c r="I424" s="17">
        <v>43770</v>
      </c>
      <c r="J424" s="17">
        <v>43799</v>
      </c>
      <c r="K424" s="3">
        <f>J424-I424+1</f>
        <v>30</v>
      </c>
      <c r="L424" s="3">
        <f>ROUND(G424*H424*K424/365,0)</f>
        <v>456164</v>
      </c>
      <c r="M424" s="3">
        <v>370000000</v>
      </c>
    </row>
    <row r="425" spans="1:13" s="16" customFormat="1" outlineLevel="2">
      <c r="A425" s="17" t="s">
        <v>52</v>
      </c>
      <c r="B425" s="18" t="s">
        <v>47</v>
      </c>
      <c r="C425" s="19" t="s">
        <v>183</v>
      </c>
      <c r="D425" s="18" t="s">
        <v>182</v>
      </c>
      <c r="E425" s="3">
        <v>49200000</v>
      </c>
      <c r="F425" s="17">
        <v>43683</v>
      </c>
      <c r="G425" s="3">
        <v>49200000</v>
      </c>
      <c r="H425" s="2">
        <v>5.0000000000000001E-3</v>
      </c>
      <c r="I425" s="17">
        <v>43770</v>
      </c>
      <c r="J425" s="17">
        <v>43799</v>
      </c>
      <c r="K425" s="3">
        <f>J425-I425+1</f>
        <v>30</v>
      </c>
      <c r="L425" s="3">
        <f>ROUND(G425*H425*K425/365,0)</f>
        <v>20219</v>
      </c>
      <c r="M425" s="3">
        <v>49200000</v>
      </c>
    </row>
    <row r="426" spans="1:13" s="16" customFormat="1" outlineLevel="2">
      <c r="A426" s="17" t="s">
        <v>52</v>
      </c>
      <c r="B426" s="18" t="s">
        <v>46</v>
      </c>
      <c r="C426" s="19" t="s">
        <v>183</v>
      </c>
      <c r="D426" s="18" t="s">
        <v>182</v>
      </c>
      <c r="E426" s="3">
        <v>10098793</v>
      </c>
      <c r="F426" s="17">
        <v>43698</v>
      </c>
      <c r="G426" s="3">
        <v>10098793</v>
      </c>
      <c r="H426" s="2">
        <v>5.0000000000000001E-3</v>
      </c>
      <c r="I426" s="17">
        <v>43770</v>
      </c>
      <c r="J426" s="17">
        <v>43799</v>
      </c>
      <c r="K426" s="3">
        <f>J426-I426+1</f>
        <v>30</v>
      </c>
      <c r="L426" s="3">
        <f>ROUND(G426*H426*K426/365,0)</f>
        <v>4150</v>
      </c>
      <c r="M426" s="3">
        <v>10098793</v>
      </c>
    </row>
    <row r="427" spans="1:13" s="16" customFormat="1" outlineLevel="2">
      <c r="A427" s="17" t="s">
        <v>52</v>
      </c>
      <c r="B427" s="18" t="s">
        <v>45</v>
      </c>
      <c r="C427" s="19" t="s">
        <v>183</v>
      </c>
      <c r="D427" s="18" t="s">
        <v>182</v>
      </c>
      <c r="E427" s="3">
        <v>9667674</v>
      </c>
      <c r="F427" s="17">
        <v>43713</v>
      </c>
      <c r="G427" s="3">
        <v>9667674</v>
      </c>
      <c r="H427" s="2">
        <v>5.0000000000000001E-3</v>
      </c>
      <c r="I427" s="17">
        <v>43770</v>
      </c>
      <c r="J427" s="17">
        <v>43799</v>
      </c>
      <c r="K427" s="3">
        <f>J427-I427+1</f>
        <v>30</v>
      </c>
      <c r="L427" s="3">
        <f>ROUND(G427*H427*K427/365,0)</f>
        <v>3973</v>
      </c>
      <c r="M427" s="3">
        <v>9667674</v>
      </c>
    </row>
    <row r="428" spans="1:13" s="16" customFormat="1" outlineLevel="2">
      <c r="A428" s="17" t="s">
        <v>52</v>
      </c>
      <c r="B428" s="18" t="s">
        <v>44</v>
      </c>
      <c r="C428" s="19" t="s">
        <v>183</v>
      </c>
      <c r="D428" s="18" t="s">
        <v>182</v>
      </c>
      <c r="E428" s="3">
        <v>10239814</v>
      </c>
      <c r="F428" s="17">
        <v>43727</v>
      </c>
      <c r="G428" s="3">
        <v>10239814</v>
      </c>
      <c r="H428" s="2">
        <v>5.0000000000000001E-3</v>
      </c>
      <c r="I428" s="17">
        <v>43770</v>
      </c>
      <c r="J428" s="17">
        <v>43799</v>
      </c>
      <c r="K428" s="3">
        <f>J428-I428+1</f>
        <v>30</v>
      </c>
      <c r="L428" s="3">
        <f>ROUND(G428*H428*K428/365,0)</f>
        <v>4208</v>
      </c>
      <c r="M428" s="3">
        <v>10239814</v>
      </c>
    </row>
    <row r="429" spans="1:13" s="16" customFormat="1" outlineLevel="1">
      <c r="A429" s="28" t="s">
        <v>49</v>
      </c>
      <c r="B429" s="21"/>
      <c r="C429" s="22"/>
      <c r="D429" s="21"/>
      <c r="E429" s="23">
        <f>SUBTOTAL(9,E403:E428)</f>
        <v>4513748600</v>
      </c>
      <c r="F429" s="20"/>
      <c r="G429" s="23"/>
      <c r="H429" s="24"/>
      <c r="I429" s="20"/>
      <c r="J429" s="20"/>
      <c r="K429" s="23"/>
      <c r="L429" s="23">
        <f>SUBTOTAL(9,L403:L428)</f>
        <v>2856279</v>
      </c>
      <c r="M429" s="23">
        <f>SUBTOTAL(9,M403:M428)</f>
        <v>4513748600</v>
      </c>
    </row>
    <row r="430" spans="1:13" s="16" customFormat="1" outlineLevel="2">
      <c r="A430" s="17" t="s">
        <v>29</v>
      </c>
      <c r="B430" s="18" t="s">
        <v>17</v>
      </c>
      <c r="C430" s="19" t="s">
        <v>43</v>
      </c>
      <c r="D430" s="18" t="s">
        <v>26</v>
      </c>
      <c r="E430" s="3">
        <v>25874221</v>
      </c>
      <c r="F430" s="17">
        <v>43605</v>
      </c>
      <c r="G430" s="3">
        <v>25874221</v>
      </c>
      <c r="H430" s="2">
        <v>1.4999999999999999E-2</v>
      </c>
      <c r="I430" s="17">
        <v>43770</v>
      </c>
      <c r="J430" s="17">
        <v>43799</v>
      </c>
      <c r="K430" s="3">
        <f>J430-I430+1</f>
        <v>30</v>
      </c>
      <c r="L430" s="3">
        <f>ROUND(G430*H430*K430/365,0)</f>
        <v>31900</v>
      </c>
      <c r="M430" s="3">
        <v>25874221</v>
      </c>
    </row>
    <row r="431" spans="1:13" s="16" customFormat="1" outlineLevel="2">
      <c r="A431" s="17" t="s">
        <v>29</v>
      </c>
      <c r="B431" s="18" t="s">
        <v>181</v>
      </c>
      <c r="C431" s="19" t="s">
        <v>43</v>
      </c>
      <c r="D431" s="18" t="s">
        <v>26</v>
      </c>
      <c r="E431" s="3">
        <v>3361050</v>
      </c>
      <c r="F431" s="17">
        <v>43654</v>
      </c>
      <c r="G431" s="3">
        <v>3361050</v>
      </c>
      <c r="H431" s="2">
        <v>1.4999999999999999E-2</v>
      </c>
      <c r="I431" s="17">
        <v>43770</v>
      </c>
      <c r="J431" s="17">
        <v>43799</v>
      </c>
      <c r="K431" s="3">
        <f>J431-I431+1</f>
        <v>30</v>
      </c>
      <c r="L431" s="3">
        <f>ROUND(G431*H431*K431/365,0)</f>
        <v>4144</v>
      </c>
      <c r="M431" s="3">
        <v>3361050</v>
      </c>
    </row>
    <row r="432" spans="1:13" s="16" customFormat="1" outlineLevel="2">
      <c r="A432" s="17" t="s">
        <v>29</v>
      </c>
      <c r="B432" s="18" t="s">
        <v>384</v>
      </c>
      <c r="C432" s="19" t="s">
        <v>150</v>
      </c>
      <c r="D432" s="18" t="s">
        <v>149</v>
      </c>
      <c r="E432" s="3">
        <v>2811800</v>
      </c>
      <c r="F432" s="17">
        <v>43789</v>
      </c>
      <c r="G432" s="3">
        <v>2811800</v>
      </c>
      <c r="H432" s="2">
        <v>5.0000000000000001E-3</v>
      </c>
      <c r="I432" s="17">
        <v>43789</v>
      </c>
      <c r="J432" s="17">
        <v>43799</v>
      </c>
      <c r="K432" s="3">
        <f>J432-I432+1</f>
        <v>11</v>
      </c>
      <c r="L432" s="3">
        <f>ROUND(G432*H432*K432/365,0)</f>
        <v>424</v>
      </c>
      <c r="M432" s="3">
        <v>2811800</v>
      </c>
    </row>
    <row r="433" spans="1:13" s="16" customFormat="1" outlineLevel="2">
      <c r="A433" s="17" t="s">
        <v>29</v>
      </c>
      <c r="B433" s="18" t="s">
        <v>383</v>
      </c>
      <c r="C433" s="19" t="s">
        <v>150</v>
      </c>
      <c r="D433" s="18" t="s">
        <v>149</v>
      </c>
      <c r="E433" s="3">
        <v>12358240</v>
      </c>
      <c r="F433" s="17">
        <v>43796</v>
      </c>
      <c r="G433" s="3">
        <v>12358240</v>
      </c>
      <c r="H433" s="2">
        <v>5.0000000000000001E-3</v>
      </c>
      <c r="I433" s="17">
        <v>43796</v>
      </c>
      <c r="J433" s="17">
        <v>43799</v>
      </c>
      <c r="K433" s="3">
        <f>J433-I433+1</f>
        <v>4</v>
      </c>
      <c r="L433" s="3">
        <f>ROUND(G433*H433*K433/365,0)</f>
        <v>677</v>
      </c>
      <c r="M433" s="3">
        <v>12358240</v>
      </c>
    </row>
    <row r="434" spans="1:13" s="16" customFormat="1" outlineLevel="2">
      <c r="A434" s="17" t="s">
        <v>29</v>
      </c>
      <c r="B434" s="18" t="s">
        <v>382</v>
      </c>
      <c r="C434" s="19" t="s">
        <v>150</v>
      </c>
      <c r="D434" s="18" t="s">
        <v>149</v>
      </c>
      <c r="E434" s="3">
        <v>2373023</v>
      </c>
      <c r="F434" s="17">
        <v>43796</v>
      </c>
      <c r="G434" s="3">
        <v>2373023</v>
      </c>
      <c r="H434" s="2">
        <v>5.0000000000000001E-3</v>
      </c>
      <c r="I434" s="17">
        <v>43796</v>
      </c>
      <c r="J434" s="17">
        <v>43799</v>
      </c>
      <c r="K434" s="3">
        <f>J434-I434+1</f>
        <v>4</v>
      </c>
      <c r="L434" s="3">
        <f>ROUND(G434*H434*K434/365,0)</f>
        <v>130</v>
      </c>
      <c r="M434" s="3">
        <v>2373023</v>
      </c>
    </row>
    <row r="435" spans="1:13" s="16" customFormat="1" outlineLevel="2">
      <c r="A435" s="17" t="s">
        <v>29</v>
      </c>
      <c r="B435" s="18" t="s">
        <v>381</v>
      </c>
      <c r="C435" s="19" t="s">
        <v>150</v>
      </c>
      <c r="D435" s="18" t="s">
        <v>149</v>
      </c>
      <c r="E435" s="3">
        <v>6000000</v>
      </c>
      <c r="F435" s="17">
        <v>43797</v>
      </c>
      <c r="G435" s="3">
        <v>6000000</v>
      </c>
      <c r="H435" s="2">
        <v>5.0000000000000001E-3</v>
      </c>
      <c r="I435" s="17">
        <v>43797</v>
      </c>
      <c r="J435" s="17">
        <v>43799</v>
      </c>
      <c r="K435" s="3">
        <f>J435-I435+1</f>
        <v>3</v>
      </c>
      <c r="L435" s="3">
        <f>ROUND(G435*H435*K435/365,0)</f>
        <v>247</v>
      </c>
      <c r="M435" s="3">
        <v>6000000</v>
      </c>
    </row>
    <row r="436" spans="1:13" s="16" customFormat="1" outlineLevel="2">
      <c r="A436" s="17" t="s">
        <v>29</v>
      </c>
      <c r="B436" s="18" t="s">
        <v>380</v>
      </c>
      <c r="C436" s="19" t="s">
        <v>150</v>
      </c>
      <c r="D436" s="18" t="s">
        <v>149</v>
      </c>
      <c r="E436" s="3">
        <v>12370219</v>
      </c>
      <c r="F436" s="17">
        <v>43787</v>
      </c>
      <c r="G436" s="3">
        <v>12370219</v>
      </c>
      <c r="H436" s="2">
        <v>3.0000000000000001E-3</v>
      </c>
      <c r="I436" s="17">
        <v>43787</v>
      </c>
      <c r="J436" s="17">
        <v>43799</v>
      </c>
      <c r="K436" s="3">
        <f>J436-I436+1</f>
        <v>13</v>
      </c>
      <c r="L436" s="3">
        <f>ROUND(G436*H436*K436/365,0)</f>
        <v>1322</v>
      </c>
      <c r="M436" s="3">
        <v>12370219</v>
      </c>
    </row>
    <row r="437" spans="1:13" s="16" customFormat="1" outlineLevel="2">
      <c r="A437" s="17" t="s">
        <v>29</v>
      </c>
      <c r="B437" s="18" t="s">
        <v>379</v>
      </c>
      <c r="C437" s="19" t="s">
        <v>150</v>
      </c>
      <c r="D437" s="18" t="s">
        <v>149</v>
      </c>
      <c r="E437" s="3">
        <v>6092127</v>
      </c>
      <c r="F437" s="17">
        <v>43788</v>
      </c>
      <c r="G437" s="3">
        <v>6092127</v>
      </c>
      <c r="H437" s="2">
        <v>3.0000000000000001E-3</v>
      </c>
      <c r="I437" s="17">
        <v>43788</v>
      </c>
      <c r="J437" s="17">
        <v>43799</v>
      </c>
      <c r="K437" s="3">
        <f>J437-I437+1</f>
        <v>12</v>
      </c>
      <c r="L437" s="3">
        <f>ROUND(G437*H437*K437/365,0)</f>
        <v>601</v>
      </c>
      <c r="M437" s="3">
        <v>6092127</v>
      </c>
    </row>
    <row r="438" spans="1:13" s="16" customFormat="1" outlineLevel="2">
      <c r="A438" s="17" t="s">
        <v>29</v>
      </c>
      <c r="B438" s="18" t="s">
        <v>378</v>
      </c>
      <c r="C438" s="19" t="s">
        <v>150</v>
      </c>
      <c r="D438" s="18" t="s">
        <v>149</v>
      </c>
      <c r="E438" s="3">
        <v>18018574</v>
      </c>
      <c r="F438" s="17">
        <v>43789</v>
      </c>
      <c r="G438" s="3">
        <v>18018574</v>
      </c>
      <c r="H438" s="2">
        <v>3.0000000000000001E-3</v>
      </c>
      <c r="I438" s="17">
        <v>43789</v>
      </c>
      <c r="J438" s="17">
        <v>43799</v>
      </c>
      <c r="K438" s="3">
        <f>J438-I438+1</f>
        <v>11</v>
      </c>
      <c r="L438" s="3">
        <f>ROUND(G438*H438*K438/365,0)</f>
        <v>1629</v>
      </c>
      <c r="M438" s="3">
        <v>18018574</v>
      </c>
    </row>
    <row r="439" spans="1:13" s="16" customFormat="1" outlineLevel="2">
      <c r="A439" s="17" t="s">
        <v>29</v>
      </c>
      <c r="B439" s="18" t="s">
        <v>377</v>
      </c>
      <c r="C439" s="19" t="s">
        <v>150</v>
      </c>
      <c r="D439" s="18" t="s">
        <v>149</v>
      </c>
      <c r="E439" s="3">
        <v>6850200</v>
      </c>
      <c r="F439" s="17">
        <v>43789</v>
      </c>
      <c r="G439" s="3">
        <v>6850200</v>
      </c>
      <c r="H439" s="2">
        <v>3.0000000000000001E-3</v>
      </c>
      <c r="I439" s="17">
        <v>43789</v>
      </c>
      <c r="J439" s="17">
        <v>43799</v>
      </c>
      <c r="K439" s="3">
        <f>J439-I439+1</f>
        <v>11</v>
      </c>
      <c r="L439" s="3">
        <f>ROUND(G439*H439*K439/365,0)</f>
        <v>619</v>
      </c>
      <c r="M439" s="3">
        <v>6850200</v>
      </c>
    </row>
    <row r="440" spans="1:13" s="16" customFormat="1" outlineLevel="2">
      <c r="A440" s="17" t="s">
        <v>29</v>
      </c>
      <c r="B440" s="18" t="s">
        <v>376</v>
      </c>
      <c r="C440" s="19" t="s">
        <v>150</v>
      </c>
      <c r="D440" s="18" t="s">
        <v>149</v>
      </c>
      <c r="E440" s="3">
        <v>2509955</v>
      </c>
      <c r="F440" s="17">
        <v>43794</v>
      </c>
      <c r="G440" s="3">
        <v>2509955</v>
      </c>
      <c r="H440" s="2">
        <v>3.0000000000000001E-3</v>
      </c>
      <c r="I440" s="17">
        <v>43794</v>
      </c>
      <c r="J440" s="17">
        <v>43799</v>
      </c>
      <c r="K440" s="3">
        <f>J440-I440+1</f>
        <v>6</v>
      </c>
      <c r="L440" s="3">
        <f>ROUND(G440*H440*K440/365,0)</f>
        <v>124</v>
      </c>
      <c r="M440" s="3">
        <v>2509955</v>
      </c>
    </row>
    <row r="441" spans="1:13" s="16" customFormat="1" outlineLevel="2">
      <c r="A441" s="17" t="s">
        <v>29</v>
      </c>
      <c r="B441" s="18" t="s">
        <v>375</v>
      </c>
      <c r="C441" s="19" t="s">
        <v>233</v>
      </c>
      <c r="D441" s="18" t="s">
        <v>232</v>
      </c>
      <c r="E441" s="3">
        <v>2429648</v>
      </c>
      <c r="F441" s="17">
        <v>43798</v>
      </c>
      <c r="G441" s="3">
        <v>2429648</v>
      </c>
      <c r="H441" s="2">
        <v>1.4999999999999999E-2</v>
      </c>
      <c r="I441" s="17">
        <v>43798</v>
      </c>
      <c r="J441" s="17">
        <v>43799</v>
      </c>
      <c r="K441" s="3">
        <f>J441-I441+1</f>
        <v>2</v>
      </c>
      <c r="L441" s="3">
        <f>ROUND(G441*H441*K441/365,0)</f>
        <v>200</v>
      </c>
      <c r="M441" s="3">
        <v>2429648</v>
      </c>
    </row>
    <row r="442" spans="1:13" s="16" customFormat="1" outlineLevel="2">
      <c r="A442" s="17" t="s">
        <v>29</v>
      </c>
      <c r="B442" s="18" t="s">
        <v>180</v>
      </c>
      <c r="C442" s="19" t="s">
        <v>43</v>
      </c>
      <c r="D442" s="18" t="s">
        <v>26</v>
      </c>
      <c r="E442" s="3">
        <v>23833840</v>
      </c>
      <c r="F442" s="17">
        <v>43664</v>
      </c>
      <c r="G442" s="3">
        <v>23833840</v>
      </c>
      <c r="H442" s="2">
        <v>1.4999999999999999E-2</v>
      </c>
      <c r="I442" s="17">
        <v>43770</v>
      </c>
      <c r="J442" s="17">
        <v>43799</v>
      </c>
      <c r="K442" s="3">
        <f>J442-I442+1</f>
        <v>30</v>
      </c>
      <c r="L442" s="3">
        <f>ROUND(G442*H442*K442/365,0)</f>
        <v>29384</v>
      </c>
      <c r="M442" s="3">
        <v>23833840</v>
      </c>
    </row>
    <row r="443" spans="1:13" s="16" customFormat="1" outlineLevel="2">
      <c r="A443" s="17" t="s">
        <v>29</v>
      </c>
      <c r="B443" s="18" t="s">
        <v>374</v>
      </c>
      <c r="C443" s="19" t="s">
        <v>233</v>
      </c>
      <c r="D443" s="18" t="s">
        <v>232</v>
      </c>
      <c r="E443" s="3">
        <v>9761568</v>
      </c>
      <c r="F443" s="17">
        <v>43770</v>
      </c>
      <c r="G443" s="3">
        <v>9761568</v>
      </c>
      <c r="H443" s="2">
        <v>1.4999999999999999E-2</v>
      </c>
      <c r="I443" s="17">
        <v>43770</v>
      </c>
      <c r="J443" s="17">
        <v>43799</v>
      </c>
      <c r="K443" s="3">
        <f>J443-I443+1</f>
        <v>30</v>
      </c>
      <c r="L443" s="3">
        <f>ROUND(G443*H443*K443/365,0)</f>
        <v>12035</v>
      </c>
      <c r="M443" s="3">
        <v>9761568</v>
      </c>
    </row>
    <row r="444" spans="1:13" s="16" customFormat="1" outlineLevel="2">
      <c r="A444" s="17" t="s">
        <v>29</v>
      </c>
      <c r="B444" s="18" t="s">
        <v>373</v>
      </c>
      <c r="C444" s="19" t="s">
        <v>233</v>
      </c>
      <c r="D444" s="18" t="s">
        <v>232</v>
      </c>
      <c r="E444" s="3">
        <v>43469644</v>
      </c>
      <c r="F444" s="17">
        <v>43784</v>
      </c>
      <c r="G444" s="3">
        <v>43469644</v>
      </c>
      <c r="H444" s="2">
        <v>1.4999999999999999E-2</v>
      </c>
      <c r="I444" s="17">
        <v>43784</v>
      </c>
      <c r="J444" s="17">
        <v>43799</v>
      </c>
      <c r="K444" s="3">
        <f>J444-I444+1</f>
        <v>16</v>
      </c>
      <c r="L444" s="3">
        <f>ROUND(G444*H444*K444/365,0)</f>
        <v>28583</v>
      </c>
      <c r="M444" s="3">
        <v>43469644</v>
      </c>
    </row>
    <row r="445" spans="1:13" s="16" customFormat="1" outlineLevel="2">
      <c r="A445" s="17" t="s">
        <v>29</v>
      </c>
      <c r="B445" s="18" t="s">
        <v>372</v>
      </c>
      <c r="C445" s="19" t="s">
        <v>313</v>
      </c>
      <c r="D445" s="18" t="s">
        <v>312</v>
      </c>
      <c r="E445" s="3">
        <v>5000000</v>
      </c>
      <c r="F445" s="17">
        <v>43788</v>
      </c>
      <c r="G445" s="3">
        <v>5000000</v>
      </c>
      <c r="H445" s="2">
        <v>5.0000000000000001E-3</v>
      </c>
      <c r="I445" s="17">
        <v>43788</v>
      </c>
      <c r="J445" s="17">
        <v>43799</v>
      </c>
      <c r="K445" s="3">
        <f>J445-I445+1</f>
        <v>12</v>
      </c>
      <c r="L445" s="3">
        <f>ROUND(G445*H445*K445/365,0)</f>
        <v>822</v>
      </c>
      <c r="M445" s="3">
        <v>5000000</v>
      </c>
    </row>
    <row r="446" spans="1:13" s="16" customFormat="1" outlineLevel="2">
      <c r="A446" s="17" t="s">
        <v>29</v>
      </c>
      <c r="B446" s="18" t="s">
        <v>371</v>
      </c>
      <c r="C446" s="19" t="s">
        <v>370</v>
      </c>
      <c r="D446" s="18" t="s">
        <v>369</v>
      </c>
      <c r="E446" s="3">
        <v>40000000</v>
      </c>
      <c r="F446" s="17">
        <v>43798</v>
      </c>
      <c r="G446" s="3">
        <v>40000000</v>
      </c>
      <c r="H446" s="2">
        <v>5.0000000000000001E-3</v>
      </c>
      <c r="I446" s="17">
        <v>43798</v>
      </c>
      <c r="J446" s="17">
        <v>43799</v>
      </c>
      <c r="K446" s="3">
        <f>J446-I446+1</f>
        <v>2</v>
      </c>
      <c r="L446" s="3">
        <f>ROUND(G446*H446*K446/365,0)</f>
        <v>1096</v>
      </c>
      <c r="M446" s="3">
        <v>40000000</v>
      </c>
    </row>
    <row r="447" spans="1:13" s="16" customFormat="1" outlineLevel="2">
      <c r="A447" s="17" t="s">
        <v>29</v>
      </c>
      <c r="B447" s="18" t="s">
        <v>179</v>
      </c>
      <c r="C447" s="19" t="s">
        <v>43</v>
      </c>
      <c r="D447" s="18" t="s">
        <v>26</v>
      </c>
      <c r="E447" s="3">
        <v>92130451</v>
      </c>
      <c r="F447" s="17">
        <v>43665</v>
      </c>
      <c r="G447" s="3">
        <v>92130451</v>
      </c>
      <c r="H447" s="2">
        <v>1.4999999999999999E-2</v>
      </c>
      <c r="I447" s="17">
        <v>43770</v>
      </c>
      <c r="J447" s="17">
        <v>43799</v>
      </c>
      <c r="K447" s="3">
        <f>J447-I447+1</f>
        <v>30</v>
      </c>
      <c r="L447" s="3">
        <f>ROUND(G447*H447*K447/365,0)</f>
        <v>113585</v>
      </c>
      <c r="M447" s="3">
        <v>92130451</v>
      </c>
    </row>
    <row r="448" spans="1:13" s="16" customFormat="1" outlineLevel="2">
      <c r="A448" s="17" t="s">
        <v>29</v>
      </c>
      <c r="B448" s="18" t="s">
        <v>178</v>
      </c>
      <c r="C448" s="19" t="s">
        <v>43</v>
      </c>
      <c r="D448" s="18" t="s">
        <v>26</v>
      </c>
      <c r="E448" s="3">
        <v>13975915</v>
      </c>
      <c r="F448" s="17">
        <v>43675</v>
      </c>
      <c r="G448" s="3">
        <v>13975915</v>
      </c>
      <c r="H448" s="2">
        <v>1.4999999999999999E-2</v>
      </c>
      <c r="I448" s="17">
        <v>43770</v>
      </c>
      <c r="J448" s="17">
        <v>43799</v>
      </c>
      <c r="K448" s="3">
        <f>J448-I448+1</f>
        <v>30</v>
      </c>
      <c r="L448" s="3">
        <f>ROUND(G448*H448*K448/365,0)</f>
        <v>17231</v>
      </c>
      <c r="M448" s="3">
        <v>13975915</v>
      </c>
    </row>
    <row r="449" spans="1:13" s="16" customFormat="1" outlineLevel="2">
      <c r="A449" s="17" t="s">
        <v>29</v>
      </c>
      <c r="B449" s="18" t="s">
        <v>177</v>
      </c>
      <c r="C449" s="19" t="s">
        <v>43</v>
      </c>
      <c r="D449" s="18" t="s">
        <v>26</v>
      </c>
      <c r="E449" s="3">
        <v>16675884</v>
      </c>
      <c r="F449" s="17">
        <v>43654</v>
      </c>
      <c r="G449" s="3">
        <v>16675884</v>
      </c>
      <c r="H449" s="2">
        <v>1.4999999999999999E-2</v>
      </c>
      <c r="I449" s="17">
        <v>43770</v>
      </c>
      <c r="J449" s="17">
        <v>43799</v>
      </c>
      <c r="K449" s="3">
        <f>J449-I449+1</f>
        <v>30</v>
      </c>
      <c r="L449" s="3">
        <f>ROUND(G449*H449*K449/365,0)</f>
        <v>20559</v>
      </c>
      <c r="M449" s="3">
        <v>16675884</v>
      </c>
    </row>
    <row r="450" spans="1:13" s="16" customFormat="1" outlineLevel="2">
      <c r="A450" s="17" t="s">
        <v>29</v>
      </c>
      <c r="B450" s="18" t="s">
        <v>176</v>
      </c>
      <c r="C450" s="19" t="s">
        <v>43</v>
      </c>
      <c r="D450" s="18" t="s">
        <v>26</v>
      </c>
      <c r="E450" s="3">
        <v>44604939</v>
      </c>
      <c r="F450" s="17">
        <v>43664</v>
      </c>
      <c r="G450" s="3">
        <v>44604939</v>
      </c>
      <c r="H450" s="2">
        <v>1.4999999999999999E-2</v>
      </c>
      <c r="I450" s="17">
        <v>43770</v>
      </c>
      <c r="J450" s="17">
        <v>43799</v>
      </c>
      <c r="K450" s="3">
        <f>J450-I450+1</f>
        <v>30</v>
      </c>
      <c r="L450" s="3">
        <f>ROUND(G450*H450*K450/365,0)</f>
        <v>54992</v>
      </c>
      <c r="M450" s="3">
        <v>44604939</v>
      </c>
    </row>
    <row r="451" spans="1:13" s="16" customFormat="1" outlineLevel="2">
      <c r="A451" s="17" t="s">
        <v>29</v>
      </c>
      <c r="B451" s="18" t="s">
        <v>175</v>
      </c>
      <c r="C451" s="19" t="s">
        <v>43</v>
      </c>
      <c r="D451" s="18" t="s">
        <v>26</v>
      </c>
      <c r="E451" s="3">
        <v>3069360</v>
      </c>
      <c r="F451" s="17">
        <v>43675</v>
      </c>
      <c r="G451" s="3">
        <v>3069360</v>
      </c>
      <c r="H451" s="2">
        <v>1.4999999999999999E-2</v>
      </c>
      <c r="I451" s="17">
        <v>43770</v>
      </c>
      <c r="J451" s="17">
        <v>43799</v>
      </c>
      <c r="K451" s="3">
        <f>J451-I451+1</f>
        <v>30</v>
      </c>
      <c r="L451" s="3">
        <f>ROUND(G451*H451*K451/365,0)</f>
        <v>3784</v>
      </c>
      <c r="M451" s="3">
        <v>3069360</v>
      </c>
    </row>
    <row r="452" spans="1:13" s="16" customFormat="1" outlineLevel="2">
      <c r="A452" s="17" t="s">
        <v>29</v>
      </c>
      <c r="B452" s="18" t="s">
        <v>174</v>
      </c>
      <c r="C452" s="19" t="s">
        <v>173</v>
      </c>
      <c r="D452" s="18" t="s">
        <v>172</v>
      </c>
      <c r="E452" s="3">
        <v>1000000000</v>
      </c>
      <c r="F452" s="17">
        <v>43672</v>
      </c>
      <c r="G452" s="3">
        <v>1000000000</v>
      </c>
      <c r="H452" s="2">
        <v>1.4999999999999999E-2</v>
      </c>
      <c r="I452" s="17">
        <v>43770</v>
      </c>
      <c r="J452" s="17">
        <v>43799</v>
      </c>
      <c r="K452" s="3">
        <f>J452-I452+1</f>
        <v>30</v>
      </c>
      <c r="L452" s="3">
        <f>ROUND(G452*H452*K452/365,0)</f>
        <v>1232877</v>
      </c>
      <c r="M452" s="3">
        <v>1000000000</v>
      </c>
    </row>
    <row r="453" spans="1:13" s="16" customFormat="1" outlineLevel="2">
      <c r="A453" s="17" t="s">
        <v>29</v>
      </c>
      <c r="B453" s="18" t="s">
        <v>171</v>
      </c>
      <c r="C453" s="19" t="s">
        <v>163</v>
      </c>
      <c r="D453" s="18" t="s">
        <v>162</v>
      </c>
      <c r="E453" s="3">
        <v>1300000</v>
      </c>
      <c r="F453" s="17">
        <v>43672</v>
      </c>
      <c r="G453" s="3">
        <v>1300000</v>
      </c>
      <c r="H453" s="2">
        <v>1.4999999999999999E-2</v>
      </c>
      <c r="I453" s="17">
        <v>43770</v>
      </c>
      <c r="J453" s="17">
        <v>43799</v>
      </c>
      <c r="K453" s="3">
        <f>J453-I453+1</f>
        <v>30</v>
      </c>
      <c r="L453" s="3">
        <f>ROUND(G453*H453*K453/365,0)</f>
        <v>1603</v>
      </c>
      <c r="M453" s="3">
        <v>1300000</v>
      </c>
    </row>
    <row r="454" spans="1:13" s="16" customFormat="1" outlineLevel="2">
      <c r="A454" s="17" t="s">
        <v>29</v>
      </c>
      <c r="B454" s="18" t="s">
        <v>170</v>
      </c>
      <c r="C454" s="19" t="s">
        <v>163</v>
      </c>
      <c r="D454" s="18" t="s">
        <v>162</v>
      </c>
      <c r="E454" s="3">
        <v>7780000</v>
      </c>
      <c r="F454" s="17">
        <v>43672</v>
      </c>
      <c r="G454" s="3">
        <v>7780000</v>
      </c>
      <c r="H454" s="2">
        <v>1.4999999999999999E-2</v>
      </c>
      <c r="I454" s="17">
        <v>43770</v>
      </c>
      <c r="J454" s="17">
        <v>43799</v>
      </c>
      <c r="K454" s="3">
        <f>J454-I454+1</f>
        <v>30</v>
      </c>
      <c r="L454" s="3">
        <f>ROUND(G454*H454*K454/365,0)</f>
        <v>9592</v>
      </c>
      <c r="M454" s="3">
        <v>7780000</v>
      </c>
    </row>
    <row r="455" spans="1:13" s="16" customFormat="1" outlineLevel="2">
      <c r="A455" s="17" t="s">
        <v>29</v>
      </c>
      <c r="B455" s="18" t="s">
        <v>31</v>
      </c>
      <c r="C455" s="19" t="s">
        <v>43</v>
      </c>
      <c r="D455" s="18" t="s">
        <v>26</v>
      </c>
      <c r="E455" s="3">
        <v>7967807</v>
      </c>
      <c r="F455" s="17">
        <v>43613</v>
      </c>
      <c r="G455" s="3">
        <v>7967807</v>
      </c>
      <c r="H455" s="2">
        <v>1.4999999999999999E-2</v>
      </c>
      <c r="I455" s="17">
        <v>43770</v>
      </c>
      <c r="J455" s="17">
        <v>43799</v>
      </c>
      <c r="K455" s="3">
        <f>J455-I455+1</f>
        <v>30</v>
      </c>
      <c r="L455" s="3">
        <f>ROUND(G455*H455*K455/365,0)</f>
        <v>9823</v>
      </c>
      <c r="M455" s="3">
        <v>7967807</v>
      </c>
    </row>
    <row r="456" spans="1:13" s="16" customFormat="1" outlineLevel="2">
      <c r="A456" s="17" t="s">
        <v>29</v>
      </c>
      <c r="B456" s="18" t="s">
        <v>169</v>
      </c>
      <c r="C456" s="19" t="s">
        <v>51</v>
      </c>
      <c r="D456" s="18" t="s">
        <v>50</v>
      </c>
      <c r="E456" s="3">
        <v>81000000</v>
      </c>
      <c r="F456" s="17">
        <v>43650</v>
      </c>
      <c r="G456" s="3">
        <v>81000000</v>
      </c>
      <c r="H456" s="2">
        <v>1.4999999999999999E-2</v>
      </c>
      <c r="I456" s="17">
        <v>43770</v>
      </c>
      <c r="J456" s="17">
        <v>43799</v>
      </c>
      <c r="K456" s="3">
        <f>J456-I456+1</f>
        <v>30</v>
      </c>
      <c r="L456" s="3">
        <f>ROUND(G456*H456*K456/365,0)</f>
        <v>99863</v>
      </c>
      <c r="M456" s="3">
        <v>81000000</v>
      </c>
    </row>
    <row r="457" spans="1:13" s="16" customFormat="1" outlineLevel="2">
      <c r="A457" s="17" t="s">
        <v>29</v>
      </c>
      <c r="B457" s="18" t="s">
        <v>168</v>
      </c>
      <c r="C457" s="19" t="s">
        <v>51</v>
      </c>
      <c r="D457" s="18" t="s">
        <v>50</v>
      </c>
      <c r="E457" s="3">
        <v>500000000</v>
      </c>
      <c r="F457" s="17">
        <v>43651</v>
      </c>
      <c r="G457" s="3">
        <v>500000000</v>
      </c>
      <c r="H457" s="2">
        <v>1.4999999999999999E-2</v>
      </c>
      <c r="I457" s="17">
        <v>43770</v>
      </c>
      <c r="J457" s="17">
        <v>43799</v>
      </c>
      <c r="K457" s="3">
        <f>J457-I457+1</f>
        <v>30</v>
      </c>
      <c r="L457" s="3">
        <f>ROUND(G457*H457*K457/365,0)</f>
        <v>616438</v>
      </c>
      <c r="M457" s="3">
        <v>500000000</v>
      </c>
    </row>
    <row r="458" spans="1:13" s="16" customFormat="1" outlineLevel="2">
      <c r="A458" s="17" t="s">
        <v>29</v>
      </c>
      <c r="B458" s="18" t="s">
        <v>167</v>
      </c>
      <c r="C458" s="19" t="s">
        <v>159</v>
      </c>
      <c r="D458" s="18" t="s">
        <v>158</v>
      </c>
      <c r="E458" s="3">
        <v>79839000</v>
      </c>
      <c r="F458" s="17">
        <v>43663</v>
      </c>
      <c r="G458" s="3">
        <v>79839000</v>
      </c>
      <c r="H458" s="2">
        <v>1.4999999999999999E-2</v>
      </c>
      <c r="I458" s="17">
        <v>43770</v>
      </c>
      <c r="J458" s="17">
        <v>43799</v>
      </c>
      <c r="K458" s="3">
        <f>J458-I458+1</f>
        <v>30</v>
      </c>
      <c r="L458" s="3">
        <f>ROUND(G458*H458*K458/365,0)</f>
        <v>98432</v>
      </c>
      <c r="M458" s="3">
        <v>79839000</v>
      </c>
    </row>
    <row r="459" spans="1:13" s="16" customFormat="1" outlineLevel="2">
      <c r="A459" s="17" t="s">
        <v>29</v>
      </c>
      <c r="B459" s="18" t="s">
        <v>166</v>
      </c>
      <c r="C459" s="19" t="s">
        <v>159</v>
      </c>
      <c r="D459" s="18" t="s">
        <v>158</v>
      </c>
      <c r="E459" s="3">
        <v>38097000</v>
      </c>
      <c r="F459" s="17">
        <v>43663</v>
      </c>
      <c r="G459" s="3">
        <v>38097000</v>
      </c>
      <c r="H459" s="2">
        <v>1.4999999999999999E-2</v>
      </c>
      <c r="I459" s="17">
        <v>43770</v>
      </c>
      <c r="J459" s="17">
        <v>43799</v>
      </c>
      <c r="K459" s="3">
        <f>J459-I459+1</f>
        <v>30</v>
      </c>
      <c r="L459" s="3">
        <f>ROUND(G459*H459*K459/365,0)</f>
        <v>46969</v>
      </c>
      <c r="M459" s="3">
        <v>38097000</v>
      </c>
    </row>
    <row r="460" spans="1:13" s="16" customFormat="1" outlineLevel="2">
      <c r="A460" s="17" t="s">
        <v>29</v>
      </c>
      <c r="B460" s="18" t="s">
        <v>165</v>
      </c>
      <c r="C460" s="19" t="s">
        <v>43</v>
      </c>
      <c r="D460" s="18" t="s">
        <v>26</v>
      </c>
      <c r="E460" s="3">
        <v>78330067</v>
      </c>
      <c r="F460" s="17">
        <v>43692</v>
      </c>
      <c r="G460" s="3">
        <v>78330067</v>
      </c>
      <c r="H460" s="2">
        <v>1.4999999999999999E-2</v>
      </c>
      <c r="I460" s="17">
        <v>43770</v>
      </c>
      <c r="J460" s="17">
        <v>43799</v>
      </c>
      <c r="K460" s="3">
        <f>J460-I460+1</f>
        <v>30</v>
      </c>
      <c r="L460" s="3">
        <f>ROUND(G460*H460*K460/365,0)</f>
        <v>96571</v>
      </c>
      <c r="M460" s="3">
        <v>78330067</v>
      </c>
    </row>
    <row r="461" spans="1:13" s="16" customFormat="1" outlineLevel="2">
      <c r="A461" s="17" t="s">
        <v>29</v>
      </c>
      <c r="B461" s="18" t="s">
        <v>164</v>
      </c>
      <c r="C461" s="19" t="s">
        <v>163</v>
      </c>
      <c r="D461" s="18" t="s">
        <v>162</v>
      </c>
      <c r="E461" s="3">
        <v>6600000</v>
      </c>
      <c r="F461" s="17">
        <v>43700</v>
      </c>
      <c r="G461" s="3">
        <v>6600000</v>
      </c>
      <c r="H461" s="2">
        <v>1.4999999999999999E-2</v>
      </c>
      <c r="I461" s="17">
        <v>43770</v>
      </c>
      <c r="J461" s="17">
        <v>43799</v>
      </c>
      <c r="K461" s="3">
        <f>J461-I461+1</f>
        <v>30</v>
      </c>
      <c r="L461" s="3">
        <f>ROUND(G461*H461*K461/365,0)</f>
        <v>8137</v>
      </c>
      <c r="M461" s="3">
        <v>6600000</v>
      </c>
    </row>
    <row r="462" spans="1:13" s="16" customFormat="1" outlineLevel="2">
      <c r="A462" s="17" t="s">
        <v>29</v>
      </c>
      <c r="B462" s="18" t="s">
        <v>161</v>
      </c>
      <c r="C462" s="19" t="s">
        <v>159</v>
      </c>
      <c r="D462" s="18" t="s">
        <v>158</v>
      </c>
      <c r="E462" s="3">
        <v>18206000</v>
      </c>
      <c r="F462" s="17">
        <v>43693</v>
      </c>
      <c r="G462" s="3">
        <v>18206000</v>
      </c>
      <c r="H462" s="2">
        <v>1.4999999999999999E-2</v>
      </c>
      <c r="I462" s="17">
        <v>43770</v>
      </c>
      <c r="J462" s="17">
        <v>43799</v>
      </c>
      <c r="K462" s="3">
        <f>J462-I462+1</f>
        <v>30</v>
      </c>
      <c r="L462" s="3">
        <f>ROUND(G462*H462*K462/365,0)</f>
        <v>22446</v>
      </c>
      <c r="M462" s="3">
        <v>18206000</v>
      </c>
    </row>
    <row r="463" spans="1:13" s="16" customFormat="1" outlineLevel="2">
      <c r="A463" s="17" t="s">
        <v>29</v>
      </c>
      <c r="B463" s="18" t="s">
        <v>160</v>
      </c>
      <c r="C463" s="19" t="s">
        <v>159</v>
      </c>
      <c r="D463" s="18" t="s">
        <v>158</v>
      </c>
      <c r="E463" s="3">
        <v>6635000</v>
      </c>
      <c r="F463" s="17">
        <v>43693</v>
      </c>
      <c r="G463" s="3">
        <v>6635000</v>
      </c>
      <c r="H463" s="2">
        <v>1.4999999999999999E-2</v>
      </c>
      <c r="I463" s="17">
        <v>43770</v>
      </c>
      <c r="J463" s="17">
        <v>43799</v>
      </c>
      <c r="K463" s="3">
        <f>J463-I463+1</f>
        <v>30</v>
      </c>
      <c r="L463" s="3">
        <f>ROUND(G463*H463*K463/365,0)</f>
        <v>8180</v>
      </c>
      <c r="M463" s="3">
        <v>6635000</v>
      </c>
    </row>
    <row r="464" spans="1:13" s="16" customFormat="1" outlineLevel="2">
      <c r="A464" s="17" t="s">
        <v>29</v>
      </c>
      <c r="B464" s="18" t="s">
        <v>157</v>
      </c>
      <c r="C464" s="19" t="s">
        <v>150</v>
      </c>
      <c r="D464" s="18" t="s">
        <v>149</v>
      </c>
      <c r="E464" s="3">
        <v>145793089</v>
      </c>
      <c r="F464" s="17">
        <v>43697</v>
      </c>
      <c r="G464" s="3">
        <v>145793089</v>
      </c>
      <c r="H464" s="2">
        <v>5.0000000000000001E-3</v>
      </c>
      <c r="I464" s="17">
        <v>43770</v>
      </c>
      <c r="J464" s="17">
        <v>43799</v>
      </c>
      <c r="K464" s="3">
        <f>J464-I464+1</f>
        <v>30</v>
      </c>
      <c r="L464" s="3">
        <f>ROUND(G464*H464*K464/365,0)</f>
        <v>59915</v>
      </c>
      <c r="M464" s="3">
        <v>145793089</v>
      </c>
    </row>
    <row r="465" spans="1:13" s="16" customFormat="1" outlineLevel="2">
      <c r="A465" s="17" t="s">
        <v>29</v>
      </c>
      <c r="B465" s="18" t="s">
        <v>156</v>
      </c>
      <c r="C465" s="19" t="s">
        <v>150</v>
      </c>
      <c r="D465" s="18" t="s">
        <v>149</v>
      </c>
      <c r="E465" s="3">
        <v>53362182</v>
      </c>
      <c r="F465" s="17">
        <v>43697</v>
      </c>
      <c r="G465" s="3">
        <v>53362182</v>
      </c>
      <c r="H465" s="2">
        <v>5.0000000000000001E-3</v>
      </c>
      <c r="I465" s="17">
        <v>43770</v>
      </c>
      <c r="J465" s="17">
        <v>43799</v>
      </c>
      <c r="K465" s="3">
        <f>J465-I465+1</f>
        <v>30</v>
      </c>
      <c r="L465" s="3">
        <f>ROUND(G465*H465*K465/365,0)</f>
        <v>21930</v>
      </c>
      <c r="M465" s="3">
        <v>53362182</v>
      </c>
    </row>
    <row r="466" spans="1:13" s="16" customFormat="1" outlineLevel="2">
      <c r="A466" s="17" t="s">
        <v>29</v>
      </c>
      <c r="B466" s="18" t="s">
        <v>30</v>
      </c>
      <c r="C466" s="19" t="s">
        <v>43</v>
      </c>
      <c r="D466" s="18" t="s">
        <v>26</v>
      </c>
      <c r="E466" s="3">
        <v>40136695</v>
      </c>
      <c r="F466" s="17">
        <v>43605</v>
      </c>
      <c r="G466" s="3">
        <v>40136695</v>
      </c>
      <c r="H466" s="2">
        <v>1.4999999999999999E-2</v>
      </c>
      <c r="I466" s="17">
        <v>43770</v>
      </c>
      <c r="J466" s="17">
        <v>43799</v>
      </c>
      <c r="K466" s="3">
        <f>J466-I466+1</f>
        <v>30</v>
      </c>
      <c r="L466" s="3">
        <f>ROUND(G466*H466*K466/365,0)</f>
        <v>49484</v>
      </c>
      <c r="M466" s="3">
        <v>40136695</v>
      </c>
    </row>
    <row r="467" spans="1:13" s="16" customFormat="1" outlineLevel="2">
      <c r="A467" s="17" t="s">
        <v>29</v>
      </c>
      <c r="B467" s="18" t="s">
        <v>155</v>
      </c>
      <c r="C467" s="19" t="s">
        <v>150</v>
      </c>
      <c r="D467" s="18" t="s">
        <v>149</v>
      </c>
      <c r="E467" s="3">
        <v>6066888</v>
      </c>
      <c r="F467" s="17">
        <v>43698</v>
      </c>
      <c r="G467" s="3">
        <v>6066888</v>
      </c>
      <c r="H467" s="2">
        <v>5.0000000000000001E-3</v>
      </c>
      <c r="I467" s="17">
        <v>43770</v>
      </c>
      <c r="J467" s="17">
        <v>43799</v>
      </c>
      <c r="K467" s="3">
        <f>J467-I467+1</f>
        <v>30</v>
      </c>
      <c r="L467" s="3">
        <f>ROUND(G467*H467*K467/365,0)</f>
        <v>2493</v>
      </c>
      <c r="M467" s="3">
        <v>6066888</v>
      </c>
    </row>
    <row r="468" spans="1:13" s="16" customFormat="1" outlineLevel="2">
      <c r="A468" s="17" t="s">
        <v>29</v>
      </c>
      <c r="B468" s="18" t="s">
        <v>154</v>
      </c>
      <c r="C468" s="19" t="s">
        <v>150</v>
      </c>
      <c r="D468" s="18" t="s">
        <v>149</v>
      </c>
      <c r="E468" s="3">
        <v>8672311</v>
      </c>
      <c r="F468" s="17">
        <v>43705</v>
      </c>
      <c r="G468" s="3">
        <v>8672311</v>
      </c>
      <c r="H468" s="2">
        <v>5.0000000000000001E-3</v>
      </c>
      <c r="I468" s="17">
        <v>43770</v>
      </c>
      <c r="J468" s="17">
        <v>43799</v>
      </c>
      <c r="K468" s="3">
        <f>J468-I468+1</f>
        <v>30</v>
      </c>
      <c r="L468" s="3">
        <f>ROUND(G468*H468*K468/365,0)</f>
        <v>3564</v>
      </c>
      <c r="M468" s="3">
        <v>8672311</v>
      </c>
    </row>
    <row r="469" spans="1:13" s="16" customFormat="1" outlineLevel="2">
      <c r="A469" s="17" t="s">
        <v>29</v>
      </c>
      <c r="B469" s="18" t="s">
        <v>153</v>
      </c>
      <c r="C469" s="19" t="s">
        <v>150</v>
      </c>
      <c r="D469" s="18" t="s">
        <v>149</v>
      </c>
      <c r="E469" s="3">
        <v>72772468</v>
      </c>
      <c r="F469" s="17">
        <v>43697</v>
      </c>
      <c r="G469" s="3">
        <v>72772468</v>
      </c>
      <c r="H469" s="2">
        <v>3.0000000000000001E-3</v>
      </c>
      <c r="I469" s="17">
        <v>43770</v>
      </c>
      <c r="J469" s="17">
        <v>43799</v>
      </c>
      <c r="K469" s="3">
        <f>J469-I469+1</f>
        <v>30</v>
      </c>
      <c r="L469" s="3">
        <f>ROUND(G469*H469*K469/365,0)</f>
        <v>17944</v>
      </c>
      <c r="M469" s="3">
        <v>72772468</v>
      </c>
    </row>
    <row r="470" spans="1:13" s="16" customFormat="1" outlineLevel="2">
      <c r="A470" s="17" t="s">
        <v>29</v>
      </c>
      <c r="B470" s="18" t="s">
        <v>152</v>
      </c>
      <c r="C470" s="19" t="s">
        <v>150</v>
      </c>
      <c r="D470" s="18" t="s">
        <v>149</v>
      </c>
      <c r="E470" s="3">
        <v>21070723</v>
      </c>
      <c r="F470" s="17">
        <v>43697</v>
      </c>
      <c r="G470" s="3">
        <v>21070723</v>
      </c>
      <c r="H470" s="2">
        <v>3.0000000000000001E-3</v>
      </c>
      <c r="I470" s="17">
        <v>43770</v>
      </c>
      <c r="J470" s="17">
        <v>43799</v>
      </c>
      <c r="K470" s="3">
        <f>J470-I470+1</f>
        <v>30</v>
      </c>
      <c r="L470" s="3">
        <f>ROUND(G470*H470*K470/365,0)</f>
        <v>5196</v>
      </c>
      <c r="M470" s="3">
        <v>21070723</v>
      </c>
    </row>
    <row r="471" spans="1:13" s="16" customFormat="1" outlineLevel="2">
      <c r="A471" s="17" t="s">
        <v>29</v>
      </c>
      <c r="B471" s="18" t="s">
        <v>151</v>
      </c>
      <c r="C471" s="19" t="s">
        <v>150</v>
      </c>
      <c r="D471" s="18" t="s">
        <v>149</v>
      </c>
      <c r="E471" s="3">
        <v>3227640</v>
      </c>
      <c r="F471" s="17">
        <v>43705</v>
      </c>
      <c r="G471" s="3">
        <v>3227640</v>
      </c>
      <c r="H471" s="2">
        <v>3.0000000000000001E-3</v>
      </c>
      <c r="I471" s="17">
        <v>43770</v>
      </c>
      <c r="J471" s="17">
        <v>43799</v>
      </c>
      <c r="K471" s="3">
        <f>J471-I471+1</f>
        <v>30</v>
      </c>
      <c r="L471" s="3">
        <f>ROUND(G471*H471*K471/365,0)</f>
        <v>796</v>
      </c>
      <c r="M471" s="3">
        <v>3227640</v>
      </c>
    </row>
    <row r="472" spans="1:13" s="16" customFormat="1" outlineLevel="2">
      <c r="A472" s="17" t="s">
        <v>29</v>
      </c>
      <c r="B472" s="18" t="s">
        <v>196</v>
      </c>
      <c r="C472" s="19" t="s">
        <v>43</v>
      </c>
      <c r="D472" s="18" t="s">
        <v>26</v>
      </c>
      <c r="E472" s="3">
        <v>670189</v>
      </c>
      <c r="F472" s="17">
        <v>43717</v>
      </c>
      <c r="G472" s="3">
        <v>670189</v>
      </c>
      <c r="H472" s="2">
        <v>1.4999999999999999E-2</v>
      </c>
      <c r="I472" s="17">
        <v>43770</v>
      </c>
      <c r="J472" s="17">
        <v>43799</v>
      </c>
      <c r="K472" s="3">
        <f>J472-I472+1</f>
        <v>30</v>
      </c>
      <c r="L472" s="3">
        <f>ROUND(G472*H472*K472/365,0)</f>
        <v>826</v>
      </c>
      <c r="M472" s="3">
        <v>670189</v>
      </c>
    </row>
    <row r="473" spans="1:13" s="16" customFormat="1" outlineLevel="2">
      <c r="A473" s="17" t="s">
        <v>29</v>
      </c>
      <c r="B473" s="18" t="s">
        <v>195</v>
      </c>
      <c r="C473" s="19" t="s">
        <v>43</v>
      </c>
      <c r="D473" s="18" t="s">
        <v>26</v>
      </c>
      <c r="E473" s="3">
        <v>17810846</v>
      </c>
      <c r="F473" s="17">
        <v>43726</v>
      </c>
      <c r="G473" s="3">
        <v>17810846</v>
      </c>
      <c r="H473" s="2">
        <v>1.4999999999999999E-2</v>
      </c>
      <c r="I473" s="17">
        <v>43770</v>
      </c>
      <c r="J473" s="17">
        <v>43799</v>
      </c>
      <c r="K473" s="3">
        <f>J473-I473+1</f>
        <v>30</v>
      </c>
      <c r="L473" s="3">
        <f>ROUND(G473*H473*K473/365,0)</f>
        <v>21959</v>
      </c>
      <c r="M473" s="3">
        <v>17810846</v>
      </c>
    </row>
    <row r="474" spans="1:13" s="16" customFormat="1" outlineLevel="2">
      <c r="A474" s="17" t="s">
        <v>29</v>
      </c>
      <c r="B474" s="18" t="s">
        <v>194</v>
      </c>
      <c r="C474" s="19" t="s">
        <v>43</v>
      </c>
      <c r="D474" s="18" t="s">
        <v>26</v>
      </c>
      <c r="E474" s="3">
        <v>26174136</v>
      </c>
      <c r="F474" s="17">
        <v>43717</v>
      </c>
      <c r="G474" s="3">
        <v>26174136</v>
      </c>
      <c r="H474" s="2">
        <v>1.4999999999999999E-2</v>
      </c>
      <c r="I474" s="17">
        <v>43770</v>
      </c>
      <c r="J474" s="17">
        <v>43799</v>
      </c>
      <c r="K474" s="3">
        <f>J474-I474+1</f>
        <v>30</v>
      </c>
      <c r="L474" s="3">
        <f>ROUND(G474*H474*K474/365,0)</f>
        <v>32269</v>
      </c>
      <c r="M474" s="3">
        <v>26174136</v>
      </c>
    </row>
    <row r="475" spans="1:13" s="16" customFormat="1" outlineLevel="2">
      <c r="A475" s="17" t="s">
        <v>29</v>
      </c>
      <c r="B475" s="18" t="s">
        <v>193</v>
      </c>
      <c r="C475" s="19" t="s">
        <v>43</v>
      </c>
      <c r="D475" s="18" t="s">
        <v>26</v>
      </c>
      <c r="E475" s="3">
        <v>91994545</v>
      </c>
      <c r="F475" s="17">
        <v>43726</v>
      </c>
      <c r="G475" s="3">
        <v>91994545</v>
      </c>
      <c r="H475" s="2">
        <v>1.4999999999999999E-2</v>
      </c>
      <c r="I475" s="17">
        <v>43770</v>
      </c>
      <c r="J475" s="17">
        <v>43799</v>
      </c>
      <c r="K475" s="3">
        <f>J475-I475+1</f>
        <v>30</v>
      </c>
      <c r="L475" s="3">
        <f>ROUND(G475*H475*K475/365,0)</f>
        <v>113418</v>
      </c>
      <c r="M475" s="3">
        <v>91994545</v>
      </c>
    </row>
    <row r="476" spans="1:13" s="16" customFormat="1" outlineLevel="2">
      <c r="A476" s="17" t="s">
        <v>29</v>
      </c>
      <c r="B476" s="18" t="s">
        <v>192</v>
      </c>
      <c r="C476" s="19" t="s">
        <v>173</v>
      </c>
      <c r="D476" s="18" t="s">
        <v>172</v>
      </c>
      <c r="E476" s="3">
        <v>1000000000</v>
      </c>
      <c r="F476" s="17">
        <v>43720</v>
      </c>
      <c r="G476" s="3">
        <v>1000000000</v>
      </c>
      <c r="H476" s="2">
        <v>1.4999999999999999E-2</v>
      </c>
      <c r="I476" s="17">
        <v>43770</v>
      </c>
      <c r="J476" s="17">
        <v>43799</v>
      </c>
      <c r="K476" s="3">
        <f>J476-I476+1</f>
        <v>30</v>
      </c>
      <c r="L476" s="3">
        <f>ROUND(G476*H476*K476/365,0)</f>
        <v>1232877</v>
      </c>
      <c r="M476" s="3">
        <v>1000000000</v>
      </c>
    </row>
    <row r="477" spans="1:13" s="16" customFormat="1" outlineLevel="2">
      <c r="A477" s="17" t="s">
        <v>29</v>
      </c>
      <c r="B477" s="18" t="s">
        <v>28</v>
      </c>
      <c r="C477" s="19" t="s">
        <v>43</v>
      </c>
      <c r="D477" s="18" t="s">
        <v>26</v>
      </c>
      <c r="E477" s="3">
        <v>2356988</v>
      </c>
      <c r="F477" s="17">
        <v>43613</v>
      </c>
      <c r="G477" s="3">
        <v>2356988</v>
      </c>
      <c r="H477" s="2">
        <v>1.4999999999999999E-2</v>
      </c>
      <c r="I477" s="17">
        <v>43770</v>
      </c>
      <c r="J477" s="17">
        <v>43799</v>
      </c>
      <c r="K477" s="3">
        <f>J477-I477+1</f>
        <v>30</v>
      </c>
      <c r="L477" s="3">
        <f>ROUND(G477*H477*K477/365,0)</f>
        <v>2906</v>
      </c>
      <c r="M477" s="3">
        <v>2356988</v>
      </c>
    </row>
    <row r="478" spans="1:13" s="16" customFormat="1" outlineLevel="2">
      <c r="A478" s="17" t="s">
        <v>29</v>
      </c>
      <c r="B478" s="18" t="s">
        <v>191</v>
      </c>
      <c r="C478" s="19" t="s">
        <v>159</v>
      </c>
      <c r="D478" s="18" t="s">
        <v>158</v>
      </c>
      <c r="E478" s="3">
        <v>18915000</v>
      </c>
      <c r="F478" s="17">
        <v>43725</v>
      </c>
      <c r="G478" s="3">
        <v>18915000</v>
      </c>
      <c r="H478" s="2">
        <v>1.4999999999999999E-2</v>
      </c>
      <c r="I478" s="17">
        <v>43770</v>
      </c>
      <c r="J478" s="17">
        <v>43799</v>
      </c>
      <c r="K478" s="3">
        <f>J478-I478+1</f>
        <v>30</v>
      </c>
      <c r="L478" s="3">
        <f>ROUND(G478*H478*K478/365,0)</f>
        <v>23320</v>
      </c>
      <c r="M478" s="3">
        <v>18915000</v>
      </c>
    </row>
    <row r="479" spans="1:13" s="16" customFormat="1" outlineLevel="2">
      <c r="A479" s="17" t="s">
        <v>29</v>
      </c>
      <c r="B479" s="18" t="s">
        <v>190</v>
      </c>
      <c r="C479" s="19" t="s">
        <v>159</v>
      </c>
      <c r="D479" s="18" t="s">
        <v>158</v>
      </c>
      <c r="E479" s="3">
        <v>3675000</v>
      </c>
      <c r="F479" s="17">
        <v>43725</v>
      </c>
      <c r="G479" s="3">
        <v>3675000</v>
      </c>
      <c r="H479" s="2">
        <v>1.4999999999999999E-2</v>
      </c>
      <c r="I479" s="17">
        <v>43770</v>
      </c>
      <c r="J479" s="17">
        <v>43799</v>
      </c>
      <c r="K479" s="3">
        <f>J479-I479+1</f>
        <v>30</v>
      </c>
      <c r="L479" s="3">
        <f>ROUND(G479*H479*K479/365,0)</f>
        <v>4531</v>
      </c>
      <c r="M479" s="3">
        <v>3675000</v>
      </c>
    </row>
    <row r="480" spans="1:13" s="16" customFormat="1" outlineLevel="2">
      <c r="A480" s="17" t="s">
        <v>29</v>
      </c>
      <c r="B480" s="18" t="s">
        <v>189</v>
      </c>
      <c r="C480" s="19" t="s">
        <v>51</v>
      </c>
      <c r="D480" s="18" t="s">
        <v>50</v>
      </c>
      <c r="E480" s="3">
        <v>22900000</v>
      </c>
      <c r="F480" s="17">
        <v>43720</v>
      </c>
      <c r="G480" s="3">
        <v>22900000</v>
      </c>
      <c r="H480" s="2">
        <v>1.4999999999999999E-2</v>
      </c>
      <c r="I480" s="17">
        <v>43770</v>
      </c>
      <c r="J480" s="17">
        <v>43799</v>
      </c>
      <c r="K480" s="3">
        <f>J480-I480+1</f>
        <v>30</v>
      </c>
      <c r="L480" s="3">
        <f>ROUND(G480*H480*K480/365,0)</f>
        <v>28233</v>
      </c>
      <c r="M480" s="3">
        <v>22900000</v>
      </c>
    </row>
    <row r="481" spans="1:13" s="16" customFormat="1" outlineLevel="2">
      <c r="A481" s="17" t="s">
        <v>29</v>
      </c>
      <c r="B481" s="18" t="s">
        <v>186</v>
      </c>
      <c r="C481" s="19" t="s">
        <v>150</v>
      </c>
      <c r="D481" s="18" t="s">
        <v>149</v>
      </c>
      <c r="E481" s="3">
        <v>11351225</v>
      </c>
      <c r="F481" s="17">
        <v>43726</v>
      </c>
      <c r="G481" s="3">
        <v>11351225</v>
      </c>
      <c r="H481" s="2">
        <v>3.0000000000000001E-3</v>
      </c>
      <c r="I481" s="17">
        <v>43770</v>
      </c>
      <c r="J481" s="17">
        <v>43799</v>
      </c>
      <c r="K481" s="3">
        <f>J481-I481+1</f>
        <v>30</v>
      </c>
      <c r="L481" s="3">
        <f>ROUND(G481*H481*K481/365,0)</f>
        <v>2799</v>
      </c>
      <c r="M481" s="3">
        <v>11351225</v>
      </c>
    </row>
    <row r="482" spans="1:13" s="16" customFormat="1" outlineLevel="2">
      <c r="A482" s="17" t="s">
        <v>29</v>
      </c>
      <c r="B482" s="18" t="s">
        <v>228</v>
      </c>
      <c r="C482" s="19" t="s">
        <v>150</v>
      </c>
      <c r="D482" s="18" t="s">
        <v>149</v>
      </c>
      <c r="E482" s="3">
        <v>35573768</v>
      </c>
      <c r="F482" s="17">
        <v>43728</v>
      </c>
      <c r="G482" s="3">
        <v>35573768</v>
      </c>
      <c r="H482" s="2">
        <v>3.0000000000000001E-3</v>
      </c>
      <c r="I482" s="17">
        <v>43770</v>
      </c>
      <c r="J482" s="17">
        <v>43799</v>
      </c>
      <c r="K482" s="3">
        <f>J482-I482+1</f>
        <v>30</v>
      </c>
      <c r="L482" s="3">
        <f>ROUND(G482*H482*K482/365,0)</f>
        <v>8772</v>
      </c>
      <c r="M482" s="3">
        <v>35573768</v>
      </c>
    </row>
    <row r="483" spans="1:13" s="16" customFormat="1" outlineLevel="2">
      <c r="A483" s="17" t="s">
        <v>29</v>
      </c>
      <c r="B483" s="18" t="s">
        <v>227</v>
      </c>
      <c r="C483" s="19" t="s">
        <v>150</v>
      </c>
      <c r="D483" s="18" t="s">
        <v>149</v>
      </c>
      <c r="E483" s="3">
        <v>58642675</v>
      </c>
      <c r="F483" s="17">
        <v>43710</v>
      </c>
      <c r="G483" s="3">
        <v>58642675</v>
      </c>
      <c r="H483" s="2">
        <v>5.0000000000000001E-3</v>
      </c>
      <c r="I483" s="17">
        <v>43770</v>
      </c>
      <c r="J483" s="17">
        <v>43799</v>
      </c>
      <c r="K483" s="3">
        <f>J483-I483+1</f>
        <v>30</v>
      </c>
      <c r="L483" s="3">
        <f>ROUND(G483*H483*K483/365,0)</f>
        <v>24100</v>
      </c>
      <c r="M483" s="3">
        <v>58642675</v>
      </c>
    </row>
    <row r="484" spans="1:13" s="16" customFormat="1" outlineLevel="2">
      <c r="A484" s="17" t="s">
        <v>29</v>
      </c>
      <c r="B484" s="18" t="s">
        <v>226</v>
      </c>
      <c r="C484" s="19" t="s">
        <v>150</v>
      </c>
      <c r="D484" s="18" t="s">
        <v>149</v>
      </c>
      <c r="E484" s="3">
        <v>3197383</v>
      </c>
      <c r="F484" s="17">
        <v>43712</v>
      </c>
      <c r="G484" s="3">
        <v>3197383</v>
      </c>
      <c r="H484" s="2">
        <v>5.0000000000000001E-3</v>
      </c>
      <c r="I484" s="17">
        <v>43770</v>
      </c>
      <c r="J484" s="17">
        <v>43799</v>
      </c>
      <c r="K484" s="3">
        <f>J484-I484+1</f>
        <v>30</v>
      </c>
      <c r="L484" s="3">
        <f>ROUND(G484*H484*K484/365,0)</f>
        <v>1314</v>
      </c>
      <c r="M484" s="3">
        <v>3197383</v>
      </c>
    </row>
    <row r="485" spans="1:13" s="16" customFormat="1" outlineLevel="2">
      <c r="A485" s="17" t="s">
        <v>29</v>
      </c>
      <c r="B485" s="18" t="s">
        <v>223</v>
      </c>
      <c r="C485" s="19" t="s">
        <v>150</v>
      </c>
      <c r="D485" s="18" t="s">
        <v>149</v>
      </c>
      <c r="E485" s="3">
        <v>14583793</v>
      </c>
      <c r="F485" s="17">
        <v>43712</v>
      </c>
      <c r="G485" s="3">
        <v>14583793</v>
      </c>
      <c r="H485" s="2">
        <v>5.0000000000000001E-3</v>
      </c>
      <c r="I485" s="17">
        <v>43770</v>
      </c>
      <c r="J485" s="17">
        <v>43799</v>
      </c>
      <c r="K485" s="3">
        <f>J485-I485+1</f>
        <v>30</v>
      </c>
      <c r="L485" s="3">
        <f>ROUND(G485*H485*K485/365,0)</f>
        <v>5993</v>
      </c>
      <c r="M485" s="3">
        <v>14583793</v>
      </c>
    </row>
    <row r="486" spans="1:13" s="16" customFormat="1" outlineLevel="2">
      <c r="A486" s="17" t="s">
        <v>29</v>
      </c>
      <c r="B486" s="18" t="s">
        <v>241</v>
      </c>
      <c r="C486" s="19" t="s">
        <v>150</v>
      </c>
      <c r="D486" s="18" t="s">
        <v>149</v>
      </c>
      <c r="E486" s="3">
        <v>6711605</v>
      </c>
      <c r="F486" s="17">
        <v>43719</v>
      </c>
      <c r="G486" s="3">
        <v>6711605</v>
      </c>
      <c r="H486" s="2">
        <v>5.0000000000000001E-3</v>
      </c>
      <c r="I486" s="17">
        <v>43770</v>
      </c>
      <c r="J486" s="17">
        <v>43799</v>
      </c>
      <c r="K486" s="3">
        <f>J486-I486+1</f>
        <v>30</v>
      </c>
      <c r="L486" s="3">
        <f>ROUND(G486*H486*K486/365,0)</f>
        <v>2758</v>
      </c>
      <c r="M486" s="3">
        <v>6711605</v>
      </c>
    </row>
    <row r="487" spans="1:13" s="16" customFormat="1" outlineLevel="2">
      <c r="A487" s="17" t="s">
        <v>29</v>
      </c>
      <c r="B487" s="18" t="s">
        <v>240</v>
      </c>
      <c r="C487" s="19" t="s">
        <v>150</v>
      </c>
      <c r="D487" s="18" t="s">
        <v>149</v>
      </c>
      <c r="E487" s="3">
        <v>6533824</v>
      </c>
      <c r="F487" s="17">
        <v>43724</v>
      </c>
      <c r="G487" s="3">
        <v>6533824</v>
      </c>
      <c r="H487" s="2">
        <v>5.0000000000000001E-3</v>
      </c>
      <c r="I487" s="17">
        <v>43770</v>
      </c>
      <c r="J487" s="17">
        <v>43799</v>
      </c>
      <c r="K487" s="3">
        <f>J487-I487+1</f>
        <v>30</v>
      </c>
      <c r="L487" s="3">
        <f>ROUND(G487*H487*K487/365,0)</f>
        <v>2685</v>
      </c>
      <c r="M487" s="3">
        <v>6533824</v>
      </c>
    </row>
    <row r="488" spans="1:13" s="16" customFormat="1" outlineLevel="2">
      <c r="A488" s="17" t="s">
        <v>29</v>
      </c>
      <c r="B488" s="18" t="s">
        <v>48</v>
      </c>
      <c r="C488" s="19" t="s">
        <v>43</v>
      </c>
      <c r="D488" s="18" t="s">
        <v>26</v>
      </c>
      <c r="E488" s="3">
        <v>46269826</v>
      </c>
      <c r="F488" s="17">
        <v>43626</v>
      </c>
      <c r="G488" s="3">
        <v>46269826</v>
      </c>
      <c r="H488" s="2">
        <v>1.4999999999999999E-2</v>
      </c>
      <c r="I488" s="17">
        <v>43770</v>
      </c>
      <c r="J488" s="17">
        <v>43799</v>
      </c>
      <c r="K488" s="3">
        <f>J488-I488+1</f>
        <v>30</v>
      </c>
      <c r="L488" s="3">
        <f>ROUND(G488*H488*K488/365,0)</f>
        <v>57045</v>
      </c>
      <c r="M488" s="3">
        <v>46269826</v>
      </c>
    </row>
    <row r="489" spans="1:13" s="16" customFormat="1" outlineLevel="2">
      <c r="A489" s="17" t="s">
        <v>29</v>
      </c>
      <c r="B489" s="18" t="s">
        <v>239</v>
      </c>
      <c r="C489" s="19" t="s">
        <v>150</v>
      </c>
      <c r="D489" s="18" t="s">
        <v>149</v>
      </c>
      <c r="E489" s="3">
        <v>26751801</v>
      </c>
      <c r="F489" s="17">
        <v>43726</v>
      </c>
      <c r="G489" s="3">
        <v>26751801</v>
      </c>
      <c r="H489" s="2">
        <v>5.0000000000000001E-3</v>
      </c>
      <c r="I489" s="17">
        <v>43770</v>
      </c>
      <c r="J489" s="17">
        <v>43799</v>
      </c>
      <c r="K489" s="3">
        <f>J489-I489+1</f>
        <v>30</v>
      </c>
      <c r="L489" s="3">
        <f>ROUND(G489*H489*K489/365,0)</f>
        <v>10994</v>
      </c>
      <c r="M489" s="3">
        <v>26751801</v>
      </c>
    </row>
    <row r="490" spans="1:13" s="16" customFormat="1" outlineLevel="2">
      <c r="A490" s="17" t="s">
        <v>29</v>
      </c>
      <c r="B490" s="18" t="s">
        <v>238</v>
      </c>
      <c r="C490" s="19" t="s">
        <v>150</v>
      </c>
      <c r="D490" s="18" t="s">
        <v>149</v>
      </c>
      <c r="E490" s="3">
        <v>2281113</v>
      </c>
      <c r="F490" s="17">
        <v>43726</v>
      </c>
      <c r="G490" s="3">
        <v>2281113</v>
      </c>
      <c r="H490" s="2">
        <v>5.0000000000000001E-3</v>
      </c>
      <c r="I490" s="17">
        <v>43770</v>
      </c>
      <c r="J490" s="17">
        <v>43799</v>
      </c>
      <c r="K490" s="3">
        <f>J490-I490+1</f>
        <v>30</v>
      </c>
      <c r="L490" s="3">
        <f>ROUND(G490*H490*K490/365,0)</f>
        <v>937</v>
      </c>
      <c r="M490" s="3">
        <v>2281113</v>
      </c>
    </row>
    <row r="491" spans="1:13" s="16" customFormat="1" outlineLevel="2">
      <c r="A491" s="17" t="s">
        <v>29</v>
      </c>
      <c r="B491" s="18" t="s">
        <v>237</v>
      </c>
      <c r="C491" s="19" t="s">
        <v>150</v>
      </c>
      <c r="D491" s="18" t="s">
        <v>149</v>
      </c>
      <c r="E491" s="3">
        <v>154539165</v>
      </c>
      <c r="F491" s="17">
        <v>43728</v>
      </c>
      <c r="G491" s="3">
        <v>154539165</v>
      </c>
      <c r="H491" s="2">
        <v>5.0000000000000001E-3</v>
      </c>
      <c r="I491" s="17">
        <v>43770</v>
      </c>
      <c r="J491" s="17">
        <v>43799</v>
      </c>
      <c r="K491" s="3">
        <f>J491-I491+1</f>
        <v>30</v>
      </c>
      <c r="L491" s="3">
        <f>ROUND(G491*H491*K491/365,0)</f>
        <v>63509</v>
      </c>
      <c r="M491" s="3">
        <v>154539165</v>
      </c>
    </row>
    <row r="492" spans="1:13" s="16" customFormat="1" outlineLevel="2">
      <c r="A492" s="17" t="s">
        <v>29</v>
      </c>
      <c r="B492" s="18" t="s">
        <v>236</v>
      </c>
      <c r="C492" s="19" t="s">
        <v>150</v>
      </c>
      <c r="D492" s="18" t="s">
        <v>149</v>
      </c>
      <c r="E492" s="3">
        <v>3168908</v>
      </c>
      <c r="F492" s="17">
        <v>43733</v>
      </c>
      <c r="G492" s="3">
        <v>3168908</v>
      </c>
      <c r="H492" s="2">
        <v>5.0000000000000001E-3</v>
      </c>
      <c r="I492" s="17">
        <v>43770</v>
      </c>
      <c r="J492" s="17">
        <v>43799</v>
      </c>
      <c r="K492" s="3">
        <f>J492-I492+1</f>
        <v>30</v>
      </c>
      <c r="L492" s="3">
        <f>ROUND(G492*H492*K492/365,0)</f>
        <v>1302</v>
      </c>
      <c r="M492" s="3">
        <v>3168908</v>
      </c>
    </row>
    <row r="493" spans="1:13" s="16" customFormat="1" outlineLevel="2">
      <c r="A493" s="17" t="s">
        <v>29</v>
      </c>
      <c r="B493" s="18" t="s">
        <v>235</v>
      </c>
      <c r="C493" s="19" t="s">
        <v>150</v>
      </c>
      <c r="D493" s="18" t="s">
        <v>149</v>
      </c>
      <c r="E493" s="3">
        <v>25477584</v>
      </c>
      <c r="F493" s="17">
        <v>43735</v>
      </c>
      <c r="G493" s="3">
        <v>25477584</v>
      </c>
      <c r="H493" s="2">
        <v>5.0000000000000001E-3</v>
      </c>
      <c r="I493" s="17">
        <v>43770</v>
      </c>
      <c r="J493" s="17">
        <v>43799</v>
      </c>
      <c r="K493" s="3">
        <f>J493-I493+1</f>
        <v>30</v>
      </c>
      <c r="L493" s="3">
        <f>ROUND(G493*H493*K493/365,0)</f>
        <v>10470</v>
      </c>
      <c r="M493" s="3">
        <v>25477584</v>
      </c>
    </row>
    <row r="494" spans="1:13" s="16" customFormat="1" outlineLevel="2">
      <c r="A494" s="17" t="s">
        <v>29</v>
      </c>
      <c r="B494" s="18" t="s">
        <v>234</v>
      </c>
      <c r="C494" s="19" t="s">
        <v>233</v>
      </c>
      <c r="D494" s="18" t="s">
        <v>232</v>
      </c>
      <c r="E494" s="3">
        <v>36297937</v>
      </c>
      <c r="F494" s="17">
        <v>43738</v>
      </c>
      <c r="G494" s="3">
        <v>36297937</v>
      </c>
      <c r="H494" s="2">
        <v>1.4999999999999999E-2</v>
      </c>
      <c r="I494" s="17">
        <v>43770</v>
      </c>
      <c r="J494" s="17">
        <v>43799</v>
      </c>
      <c r="K494" s="3">
        <f>J494-I494+1</f>
        <v>30</v>
      </c>
      <c r="L494" s="3">
        <f>ROUND(G494*H494*K494/365,0)</f>
        <v>44751</v>
      </c>
      <c r="M494" s="3">
        <v>36297937</v>
      </c>
    </row>
    <row r="495" spans="1:13" s="16" customFormat="1" outlineLevel="2">
      <c r="A495" s="17" t="s">
        <v>29</v>
      </c>
      <c r="B495" s="18" t="s">
        <v>231</v>
      </c>
      <c r="C495" s="19" t="s">
        <v>230</v>
      </c>
      <c r="D495" s="18" t="s">
        <v>229</v>
      </c>
      <c r="E495" s="3">
        <v>37150000</v>
      </c>
      <c r="F495" s="17">
        <v>43732</v>
      </c>
      <c r="G495" s="3">
        <v>37150000</v>
      </c>
      <c r="H495" s="2">
        <v>5.0000000000000001E-3</v>
      </c>
      <c r="I495" s="17">
        <v>43770</v>
      </c>
      <c r="J495" s="17">
        <v>43799</v>
      </c>
      <c r="K495" s="3">
        <f>J495-I495+1</f>
        <v>30</v>
      </c>
      <c r="L495" s="3">
        <f>ROUND(G495*H495*K495/365,0)</f>
        <v>15267</v>
      </c>
      <c r="M495" s="3">
        <v>37150000</v>
      </c>
    </row>
    <row r="496" spans="1:13" s="16" customFormat="1" outlineLevel="2">
      <c r="A496" s="17" t="s">
        <v>29</v>
      </c>
      <c r="B496" s="18" t="s">
        <v>268</v>
      </c>
      <c r="C496" s="19" t="s">
        <v>43</v>
      </c>
      <c r="D496" s="18" t="s">
        <v>26</v>
      </c>
      <c r="E496" s="3">
        <v>17166989</v>
      </c>
      <c r="F496" s="17">
        <v>43753</v>
      </c>
      <c r="G496" s="3">
        <v>17166989</v>
      </c>
      <c r="H496" s="2">
        <v>1.4999999999999999E-2</v>
      </c>
      <c r="I496" s="17">
        <v>43770</v>
      </c>
      <c r="J496" s="17">
        <v>43799</v>
      </c>
      <c r="K496" s="3">
        <f>J496-I496+1</f>
        <v>30</v>
      </c>
      <c r="L496" s="3">
        <f>ROUND(G496*H496*K496/365,0)</f>
        <v>21165</v>
      </c>
      <c r="M496" s="3">
        <v>17166989</v>
      </c>
    </row>
    <row r="497" spans="1:13" s="16" customFormat="1" outlineLevel="2">
      <c r="A497" s="17" t="s">
        <v>29</v>
      </c>
      <c r="B497" s="18" t="s">
        <v>267</v>
      </c>
      <c r="C497" s="19" t="s">
        <v>43</v>
      </c>
      <c r="D497" s="18" t="s">
        <v>26</v>
      </c>
      <c r="E497" s="3">
        <v>12468435</v>
      </c>
      <c r="F497" s="17">
        <v>43739</v>
      </c>
      <c r="G497" s="3">
        <v>12468435</v>
      </c>
      <c r="H497" s="2">
        <v>1.4999999999999999E-2</v>
      </c>
      <c r="I497" s="17">
        <v>43770</v>
      </c>
      <c r="J497" s="17">
        <v>43799</v>
      </c>
      <c r="K497" s="3">
        <f>J497-I497+1</f>
        <v>30</v>
      </c>
      <c r="L497" s="3">
        <f>ROUND(G497*H497*K497/365,0)</f>
        <v>15372</v>
      </c>
      <c r="M497" s="3">
        <v>12468435</v>
      </c>
    </row>
    <row r="498" spans="1:13" s="16" customFormat="1" outlineLevel="2">
      <c r="A498" s="17" t="s">
        <v>29</v>
      </c>
      <c r="B498" s="18" t="s">
        <v>266</v>
      </c>
      <c r="C498" s="19" t="s">
        <v>159</v>
      </c>
      <c r="D498" s="18" t="s">
        <v>158</v>
      </c>
      <c r="E498" s="3">
        <v>19703000</v>
      </c>
      <c r="F498" s="17">
        <v>43755</v>
      </c>
      <c r="G498" s="3">
        <v>19703000</v>
      </c>
      <c r="H498" s="2">
        <v>1.4999999999999999E-2</v>
      </c>
      <c r="I498" s="17">
        <v>43770</v>
      </c>
      <c r="J498" s="17">
        <v>43799</v>
      </c>
      <c r="K498" s="3">
        <f>J498-I498+1</f>
        <v>30</v>
      </c>
      <c r="L498" s="3">
        <f>ROUND(G498*H498*K498/365,0)</f>
        <v>24291</v>
      </c>
      <c r="M498" s="3">
        <v>19703000</v>
      </c>
    </row>
    <row r="499" spans="1:13" s="16" customFormat="1" outlineLevel="2">
      <c r="A499" s="17" t="s">
        <v>29</v>
      </c>
      <c r="B499" s="18" t="s">
        <v>47</v>
      </c>
      <c r="C499" s="19" t="s">
        <v>43</v>
      </c>
      <c r="D499" s="18" t="s">
        <v>26</v>
      </c>
      <c r="E499" s="3">
        <v>3863475</v>
      </c>
      <c r="F499" s="17">
        <v>43634</v>
      </c>
      <c r="G499" s="3">
        <v>3863475</v>
      </c>
      <c r="H499" s="2">
        <v>1.4999999999999999E-2</v>
      </c>
      <c r="I499" s="17">
        <v>43770</v>
      </c>
      <c r="J499" s="17">
        <v>43799</v>
      </c>
      <c r="K499" s="3">
        <f>J499-I499+1</f>
        <v>30</v>
      </c>
      <c r="L499" s="3">
        <f>ROUND(G499*H499*K499/365,0)</f>
        <v>4763</v>
      </c>
      <c r="M499" s="3">
        <v>3863475</v>
      </c>
    </row>
    <row r="500" spans="1:13" s="16" customFormat="1" outlineLevel="2">
      <c r="A500" s="17" t="s">
        <v>29</v>
      </c>
      <c r="B500" s="18" t="s">
        <v>263</v>
      </c>
      <c r="C500" s="19" t="s">
        <v>159</v>
      </c>
      <c r="D500" s="18" t="s">
        <v>158</v>
      </c>
      <c r="E500" s="3">
        <v>5864000</v>
      </c>
      <c r="F500" s="17">
        <v>43755</v>
      </c>
      <c r="G500" s="3">
        <v>5864000</v>
      </c>
      <c r="H500" s="2">
        <v>1.4999999999999999E-2</v>
      </c>
      <c r="I500" s="17">
        <v>43770</v>
      </c>
      <c r="J500" s="17">
        <v>43799</v>
      </c>
      <c r="K500" s="3">
        <f>J500-I500+1</f>
        <v>30</v>
      </c>
      <c r="L500" s="3">
        <f>ROUND(G500*H500*K500/365,0)</f>
        <v>7230</v>
      </c>
      <c r="M500" s="3">
        <v>5864000</v>
      </c>
    </row>
    <row r="501" spans="1:13" s="16" customFormat="1" outlineLevel="2">
      <c r="A501" s="17" t="s">
        <v>29</v>
      </c>
      <c r="B501" s="18" t="s">
        <v>262</v>
      </c>
      <c r="C501" s="19" t="s">
        <v>163</v>
      </c>
      <c r="D501" s="18" t="s">
        <v>162</v>
      </c>
      <c r="E501" s="3">
        <v>460000</v>
      </c>
      <c r="F501" s="17">
        <v>43753</v>
      </c>
      <c r="G501" s="3">
        <v>460000</v>
      </c>
      <c r="H501" s="2">
        <v>1.4999999999999999E-2</v>
      </c>
      <c r="I501" s="17">
        <v>43770</v>
      </c>
      <c r="J501" s="17">
        <v>43799</v>
      </c>
      <c r="K501" s="3">
        <f>J501-I501+1</f>
        <v>30</v>
      </c>
      <c r="L501" s="3">
        <f>ROUND(G501*H501*K501/365,0)</f>
        <v>567</v>
      </c>
      <c r="M501" s="3">
        <v>460000</v>
      </c>
    </row>
    <row r="502" spans="1:13" s="16" customFormat="1" outlineLevel="2">
      <c r="A502" s="17" t="s">
        <v>29</v>
      </c>
      <c r="B502" s="18" t="s">
        <v>261</v>
      </c>
      <c r="C502" s="19" t="s">
        <v>163</v>
      </c>
      <c r="D502" s="18" t="s">
        <v>162</v>
      </c>
      <c r="E502" s="3">
        <v>760000</v>
      </c>
      <c r="F502" s="17">
        <v>43753</v>
      </c>
      <c r="G502" s="3">
        <v>760000</v>
      </c>
      <c r="H502" s="2">
        <v>1.4999999999999999E-2</v>
      </c>
      <c r="I502" s="17">
        <v>43770</v>
      </c>
      <c r="J502" s="17">
        <v>43799</v>
      </c>
      <c r="K502" s="3">
        <f>J502-I502+1</f>
        <v>30</v>
      </c>
      <c r="L502" s="3">
        <f>ROUND(G502*H502*K502/365,0)</f>
        <v>937</v>
      </c>
      <c r="M502" s="3">
        <v>760000</v>
      </c>
    </row>
    <row r="503" spans="1:13" s="16" customFormat="1" outlineLevel="2">
      <c r="A503" s="17" t="s">
        <v>29</v>
      </c>
      <c r="B503" s="18" t="s">
        <v>258</v>
      </c>
      <c r="C503" s="19" t="s">
        <v>163</v>
      </c>
      <c r="D503" s="18" t="s">
        <v>162</v>
      </c>
      <c r="E503" s="3">
        <v>9900000</v>
      </c>
      <c r="F503" s="17">
        <v>43755</v>
      </c>
      <c r="G503" s="3">
        <v>9900000</v>
      </c>
      <c r="H503" s="2">
        <v>1.4999999999999999E-2</v>
      </c>
      <c r="I503" s="17">
        <v>43770</v>
      </c>
      <c r="J503" s="17">
        <v>43799</v>
      </c>
      <c r="K503" s="3">
        <f>J503-I503+1</f>
        <v>30</v>
      </c>
      <c r="L503" s="3">
        <f>ROUND(G503*H503*K503/365,0)</f>
        <v>12205</v>
      </c>
      <c r="M503" s="3">
        <v>9900000</v>
      </c>
    </row>
    <row r="504" spans="1:13" s="16" customFormat="1" outlineLevel="2">
      <c r="A504" s="17" t="s">
        <v>29</v>
      </c>
      <c r="B504" s="18" t="s">
        <v>255</v>
      </c>
      <c r="C504" s="19" t="s">
        <v>150</v>
      </c>
      <c r="D504" s="18" t="s">
        <v>149</v>
      </c>
      <c r="E504" s="3">
        <v>3272709</v>
      </c>
      <c r="F504" s="17">
        <v>43742</v>
      </c>
      <c r="G504" s="3">
        <v>3272709</v>
      </c>
      <c r="H504" s="2">
        <v>5.0000000000000001E-3</v>
      </c>
      <c r="I504" s="17">
        <v>43770</v>
      </c>
      <c r="J504" s="17">
        <v>43799</v>
      </c>
      <c r="K504" s="3">
        <f>J504-I504+1</f>
        <v>30</v>
      </c>
      <c r="L504" s="3">
        <f>ROUND(G504*H504*K504/365,0)</f>
        <v>1345</v>
      </c>
      <c r="M504" s="3">
        <v>3272709</v>
      </c>
    </row>
    <row r="505" spans="1:13" s="16" customFormat="1" outlineLevel="2">
      <c r="A505" s="17" t="s">
        <v>29</v>
      </c>
      <c r="B505" s="18" t="s">
        <v>254</v>
      </c>
      <c r="C505" s="19" t="s">
        <v>150</v>
      </c>
      <c r="D505" s="18" t="s">
        <v>149</v>
      </c>
      <c r="E505" s="3">
        <v>880979</v>
      </c>
      <c r="F505" s="17">
        <v>43746</v>
      </c>
      <c r="G505" s="3">
        <v>880979</v>
      </c>
      <c r="H505" s="2">
        <v>5.0000000000000001E-3</v>
      </c>
      <c r="I505" s="17">
        <v>43770</v>
      </c>
      <c r="J505" s="17">
        <v>43799</v>
      </c>
      <c r="K505" s="3">
        <f>J505-I505+1</f>
        <v>30</v>
      </c>
      <c r="L505" s="3">
        <f>ROUND(G505*H505*K505/365,0)</f>
        <v>362</v>
      </c>
      <c r="M505" s="3">
        <v>880979</v>
      </c>
    </row>
    <row r="506" spans="1:13" s="16" customFormat="1" outlineLevel="2">
      <c r="A506" s="17" t="s">
        <v>29</v>
      </c>
      <c r="B506" s="18" t="s">
        <v>306</v>
      </c>
      <c r="C506" s="19" t="s">
        <v>150</v>
      </c>
      <c r="D506" s="18" t="s">
        <v>149</v>
      </c>
      <c r="E506" s="3">
        <v>3046985</v>
      </c>
      <c r="F506" s="17">
        <v>43747</v>
      </c>
      <c r="G506" s="3">
        <v>3046985</v>
      </c>
      <c r="H506" s="2">
        <v>5.0000000000000001E-3</v>
      </c>
      <c r="I506" s="17">
        <v>43770</v>
      </c>
      <c r="J506" s="17">
        <v>43799</v>
      </c>
      <c r="K506" s="3">
        <f>J506-I506+1</f>
        <v>30</v>
      </c>
      <c r="L506" s="3">
        <f>ROUND(G506*H506*K506/365,0)</f>
        <v>1252</v>
      </c>
      <c r="M506" s="3">
        <v>3046985</v>
      </c>
    </row>
    <row r="507" spans="1:13" s="16" customFormat="1" outlineLevel="2">
      <c r="A507" s="17" t="s">
        <v>29</v>
      </c>
      <c r="B507" s="18" t="s">
        <v>305</v>
      </c>
      <c r="C507" s="19" t="s">
        <v>150</v>
      </c>
      <c r="D507" s="18" t="s">
        <v>149</v>
      </c>
      <c r="E507" s="3">
        <v>4665228</v>
      </c>
      <c r="F507" s="17">
        <v>43752</v>
      </c>
      <c r="G507" s="3">
        <v>4665228</v>
      </c>
      <c r="H507" s="2">
        <v>5.0000000000000001E-3</v>
      </c>
      <c r="I507" s="17">
        <v>43770</v>
      </c>
      <c r="J507" s="17">
        <v>43799</v>
      </c>
      <c r="K507" s="3">
        <f>J507-I507+1</f>
        <v>30</v>
      </c>
      <c r="L507" s="3">
        <f>ROUND(G507*H507*K507/365,0)</f>
        <v>1917</v>
      </c>
      <c r="M507" s="3">
        <v>4665228</v>
      </c>
    </row>
    <row r="508" spans="1:13" s="16" customFormat="1" outlineLevel="2">
      <c r="A508" s="17" t="s">
        <v>29</v>
      </c>
      <c r="B508" s="18" t="s">
        <v>304</v>
      </c>
      <c r="C508" s="19" t="s">
        <v>150</v>
      </c>
      <c r="D508" s="18" t="s">
        <v>149</v>
      </c>
      <c r="E508" s="3">
        <v>1742820</v>
      </c>
      <c r="F508" s="17">
        <v>43754</v>
      </c>
      <c r="G508" s="3">
        <v>1742820</v>
      </c>
      <c r="H508" s="2">
        <v>5.0000000000000001E-3</v>
      </c>
      <c r="I508" s="17">
        <v>43770</v>
      </c>
      <c r="J508" s="17">
        <v>43799</v>
      </c>
      <c r="K508" s="3">
        <f>J508-I508+1</f>
        <v>30</v>
      </c>
      <c r="L508" s="3">
        <f>ROUND(G508*H508*K508/365,0)</f>
        <v>716</v>
      </c>
      <c r="M508" s="3">
        <v>1742820</v>
      </c>
    </row>
    <row r="509" spans="1:13" s="16" customFormat="1" outlineLevel="2">
      <c r="A509" s="17" t="s">
        <v>29</v>
      </c>
      <c r="B509" s="18" t="s">
        <v>303</v>
      </c>
      <c r="C509" s="19" t="s">
        <v>150</v>
      </c>
      <c r="D509" s="18" t="s">
        <v>149</v>
      </c>
      <c r="E509" s="3">
        <v>41073224</v>
      </c>
      <c r="F509" s="17">
        <v>43755</v>
      </c>
      <c r="G509" s="3">
        <v>41073224</v>
      </c>
      <c r="H509" s="2">
        <v>5.0000000000000001E-3</v>
      </c>
      <c r="I509" s="17">
        <v>43770</v>
      </c>
      <c r="J509" s="17">
        <v>43799</v>
      </c>
      <c r="K509" s="3">
        <f>J509-I509+1</f>
        <v>30</v>
      </c>
      <c r="L509" s="3">
        <f>ROUND(G509*H509*K509/365,0)</f>
        <v>16879</v>
      </c>
      <c r="M509" s="3">
        <v>41073224</v>
      </c>
    </row>
    <row r="510" spans="1:13" s="16" customFormat="1" outlineLevel="2">
      <c r="A510" s="17" t="s">
        <v>29</v>
      </c>
      <c r="B510" s="18" t="s">
        <v>46</v>
      </c>
      <c r="C510" s="19" t="s">
        <v>43</v>
      </c>
      <c r="D510" s="18" t="s">
        <v>26</v>
      </c>
      <c r="E510" s="3">
        <v>8620798</v>
      </c>
      <c r="F510" s="17">
        <v>43644</v>
      </c>
      <c r="G510" s="3">
        <v>8620798</v>
      </c>
      <c r="H510" s="2">
        <v>1.4999999999999999E-2</v>
      </c>
      <c r="I510" s="17">
        <v>43770</v>
      </c>
      <c r="J510" s="17">
        <v>43799</v>
      </c>
      <c r="K510" s="3">
        <f>J510-I510+1</f>
        <v>30</v>
      </c>
      <c r="L510" s="3">
        <f>ROUND(G510*H510*K510/365,0)</f>
        <v>10628</v>
      </c>
      <c r="M510" s="3">
        <v>8620798</v>
      </c>
    </row>
    <row r="511" spans="1:13" s="16" customFormat="1" outlineLevel="2">
      <c r="A511" s="17" t="s">
        <v>29</v>
      </c>
      <c r="B511" s="18" t="s">
        <v>302</v>
      </c>
      <c r="C511" s="19" t="s">
        <v>150</v>
      </c>
      <c r="D511" s="18" t="s">
        <v>149</v>
      </c>
      <c r="E511" s="3">
        <v>141684878</v>
      </c>
      <c r="F511" s="17">
        <v>43759</v>
      </c>
      <c r="G511" s="3">
        <v>141684878</v>
      </c>
      <c r="H511" s="2">
        <v>5.0000000000000001E-3</v>
      </c>
      <c r="I511" s="17">
        <v>43770</v>
      </c>
      <c r="J511" s="17">
        <v>43799</v>
      </c>
      <c r="K511" s="3">
        <f>J511-I511+1</f>
        <v>30</v>
      </c>
      <c r="L511" s="3">
        <f>ROUND(G511*H511*K511/365,0)</f>
        <v>58227</v>
      </c>
      <c r="M511" s="3">
        <v>141684878</v>
      </c>
    </row>
    <row r="512" spans="1:13" s="16" customFormat="1" outlineLevel="2">
      <c r="A512" s="17" t="s">
        <v>29</v>
      </c>
      <c r="B512" s="18" t="s">
        <v>301</v>
      </c>
      <c r="C512" s="19" t="s">
        <v>150</v>
      </c>
      <c r="D512" s="18" t="s">
        <v>149</v>
      </c>
      <c r="E512" s="3">
        <v>1574288</v>
      </c>
      <c r="F512" s="17">
        <v>43761</v>
      </c>
      <c r="G512" s="3">
        <v>1574288</v>
      </c>
      <c r="H512" s="2">
        <v>5.0000000000000001E-3</v>
      </c>
      <c r="I512" s="17">
        <v>43770</v>
      </c>
      <c r="J512" s="17">
        <v>43799</v>
      </c>
      <c r="K512" s="3">
        <f>J512-I512+1</f>
        <v>30</v>
      </c>
      <c r="L512" s="3">
        <f>ROUND(G512*H512*K512/365,0)</f>
        <v>647</v>
      </c>
      <c r="M512" s="3">
        <v>1574288</v>
      </c>
    </row>
    <row r="513" spans="1:13" s="16" customFormat="1" outlineLevel="2">
      <c r="A513" s="17" t="s">
        <v>29</v>
      </c>
      <c r="B513" s="18" t="s">
        <v>300</v>
      </c>
      <c r="C513" s="19" t="s">
        <v>150</v>
      </c>
      <c r="D513" s="18" t="s">
        <v>149</v>
      </c>
      <c r="E513" s="3">
        <v>40272013</v>
      </c>
      <c r="F513" s="17">
        <v>43768</v>
      </c>
      <c r="G513" s="3">
        <v>40272013</v>
      </c>
      <c r="H513" s="2">
        <v>5.0000000000000001E-3</v>
      </c>
      <c r="I513" s="17">
        <v>43770</v>
      </c>
      <c r="J513" s="17">
        <v>43799</v>
      </c>
      <c r="K513" s="3">
        <f>J513-I513+1</f>
        <v>30</v>
      </c>
      <c r="L513" s="3">
        <f>ROUND(G513*H513*K513/365,0)</f>
        <v>16550</v>
      </c>
      <c r="M513" s="3">
        <v>40272013</v>
      </c>
    </row>
    <row r="514" spans="1:13" s="16" customFormat="1" outlineLevel="2">
      <c r="A514" s="17" t="s">
        <v>29</v>
      </c>
      <c r="B514" s="18" t="s">
        <v>299</v>
      </c>
      <c r="C514" s="19" t="s">
        <v>150</v>
      </c>
      <c r="D514" s="18" t="s">
        <v>149</v>
      </c>
      <c r="E514" s="3">
        <v>3821153</v>
      </c>
      <c r="F514" s="17">
        <v>43768</v>
      </c>
      <c r="G514" s="3">
        <v>3821153</v>
      </c>
      <c r="H514" s="2">
        <v>5.0000000000000001E-3</v>
      </c>
      <c r="I514" s="17">
        <v>43770</v>
      </c>
      <c r="J514" s="17">
        <v>43799</v>
      </c>
      <c r="K514" s="3">
        <f>J514-I514+1</f>
        <v>30</v>
      </c>
      <c r="L514" s="3">
        <f>ROUND(G514*H514*K514/365,0)</f>
        <v>1570</v>
      </c>
      <c r="M514" s="3">
        <v>3821153</v>
      </c>
    </row>
    <row r="515" spans="1:13" s="16" customFormat="1" outlineLevel="2">
      <c r="A515" s="17" t="s">
        <v>29</v>
      </c>
      <c r="B515" s="18" t="s">
        <v>298</v>
      </c>
      <c r="C515" s="19" t="s">
        <v>150</v>
      </c>
      <c r="D515" s="18" t="s">
        <v>149</v>
      </c>
      <c r="E515" s="3">
        <v>9008189</v>
      </c>
      <c r="F515" s="17">
        <v>43753</v>
      </c>
      <c r="G515" s="3">
        <v>9008189</v>
      </c>
      <c r="H515" s="2">
        <v>3.0000000000000001E-3</v>
      </c>
      <c r="I515" s="17">
        <v>43770</v>
      </c>
      <c r="J515" s="17">
        <v>43799</v>
      </c>
      <c r="K515" s="3">
        <f>J515-I515+1</f>
        <v>30</v>
      </c>
      <c r="L515" s="3">
        <f>ROUND(G515*H515*K515/365,0)</f>
        <v>2221</v>
      </c>
      <c r="M515" s="3">
        <v>9008189</v>
      </c>
    </row>
    <row r="516" spans="1:13" s="16" customFormat="1" outlineLevel="2">
      <c r="A516" s="17" t="s">
        <v>29</v>
      </c>
      <c r="B516" s="18" t="s">
        <v>297</v>
      </c>
      <c r="C516" s="19" t="s">
        <v>150</v>
      </c>
      <c r="D516" s="18" t="s">
        <v>149</v>
      </c>
      <c r="E516" s="3">
        <v>32340000</v>
      </c>
      <c r="F516" s="17">
        <v>43754</v>
      </c>
      <c r="G516" s="3">
        <v>32340000</v>
      </c>
      <c r="H516" s="2">
        <v>3.0000000000000001E-3</v>
      </c>
      <c r="I516" s="17">
        <v>43770</v>
      </c>
      <c r="J516" s="17">
        <v>43799</v>
      </c>
      <c r="K516" s="3">
        <f>J516-I516+1</f>
        <v>30</v>
      </c>
      <c r="L516" s="3">
        <f>ROUND(G516*H516*K516/365,0)</f>
        <v>7974</v>
      </c>
      <c r="M516" s="3">
        <v>32340000</v>
      </c>
    </row>
    <row r="517" spans="1:13" s="16" customFormat="1" outlineLevel="2">
      <c r="A517" s="17" t="s">
        <v>29</v>
      </c>
      <c r="B517" s="18" t="s">
        <v>296</v>
      </c>
      <c r="C517" s="19" t="s">
        <v>150</v>
      </c>
      <c r="D517" s="18" t="s">
        <v>149</v>
      </c>
      <c r="E517" s="3">
        <v>23254893</v>
      </c>
      <c r="F517" s="17">
        <v>43755</v>
      </c>
      <c r="G517" s="3">
        <v>23254893</v>
      </c>
      <c r="H517" s="2">
        <v>3.0000000000000001E-3</v>
      </c>
      <c r="I517" s="17">
        <v>43770</v>
      </c>
      <c r="J517" s="17">
        <v>43799</v>
      </c>
      <c r="K517" s="3">
        <f>J517-I517+1</f>
        <v>30</v>
      </c>
      <c r="L517" s="3">
        <f>ROUND(G517*H517*K517/365,0)</f>
        <v>5734</v>
      </c>
      <c r="M517" s="3">
        <v>23254893</v>
      </c>
    </row>
    <row r="518" spans="1:13" s="16" customFormat="1" outlineLevel="2">
      <c r="A518" s="17" t="s">
        <v>29</v>
      </c>
      <c r="B518" s="18" t="s">
        <v>295</v>
      </c>
      <c r="C518" s="19" t="s">
        <v>150</v>
      </c>
      <c r="D518" s="18" t="s">
        <v>149</v>
      </c>
      <c r="E518" s="3">
        <v>21377001</v>
      </c>
      <c r="F518" s="17">
        <v>43759</v>
      </c>
      <c r="G518" s="3">
        <v>21377001</v>
      </c>
      <c r="H518" s="2">
        <v>3.0000000000000001E-3</v>
      </c>
      <c r="I518" s="17">
        <v>43770</v>
      </c>
      <c r="J518" s="17">
        <v>43799</v>
      </c>
      <c r="K518" s="3">
        <f>J518-I518+1</f>
        <v>30</v>
      </c>
      <c r="L518" s="3">
        <f>ROUND(G518*H518*K518/365,0)</f>
        <v>5271</v>
      </c>
      <c r="M518" s="3">
        <v>21377001</v>
      </c>
    </row>
    <row r="519" spans="1:13" s="16" customFormat="1" outlineLevel="2">
      <c r="A519" s="17" t="s">
        <v>29</v>
      </c>
      <c r="B519" s="18" t="s">
        <v>294</v>
      </c>
      <c r="C519" s="19" t="s">
        <v>150</v>
      </c>
      <c r="D519" s="18" t="s">
        <v>149</v>
      </c>
      <c r="E519" s="3">
        <v>19682212</v>
      </c>
      <c r="F519" s="17">
        <v>43766</v>
      </c>
      <c r="G519" s="3">
        <v>19682212</v>
      </c>
      <c r="H519" s="2">
        <v>3.0000000000000001E-3</v>
      </c>
      <c r="I519" s="17">
        <v>43770</v>
      </c>
      <c r="J519" s="17">
        <v>43799</v>
      </c>
      <c r="K519" s="3">
        <f>J519-I519+1</f>
        <v>30</v>
      </c>
      <c r="L519" s="3">
        <f>ROUND(G519*H519*K519/365,0)</f>
        <v>4853</v>
      </c>
      <c r="M519" s="3">
        <v>19682212</v>
      </c>
    </row>
    <row r="520" spans="1:13" s="16" customFormat="1" outlineLevel="2">
      <c r="A520" s="17" t="s">
        <v>29</v>
      </c>
      <c r="B520" s="18" t="s">
        <v>293</v>
      </c>
      <c r="C520" s="19" t="s">
        <v>276</v>
      </c>
      <c r="D520" s="18" t="s">
        <v>275</v>
      </c>
      <c r="E520" s="3">
        <v>2760000</v>
      </c>
      <c r="F520" s="17">
        <v>43742</v>
      </c>
      <c r="G520" s="3">
        <v>2760000</v>
      </c>
      <c r="H520" s="2">
        <v>5.0000000000000001E-3</v>
      </c>
      <c r="I520" s="17">
        <v>43770</v>
      </c>
      <c r="J520" s="17">
        <v>43799</v>
      </c>
      <c r="K520" s="3">
        <f>J520-I520+1</f>
        <v>30</v>
      </c>
      <c r="L520" s="3">
        <f>ROUND(G520*H520*K520/365,0)</f>
        <v>1134</v>
      </c>
      <c r="M520" s="3">
        <v>2760000</v>
      </c>
    </row>
    <row r="521" spans="1:13" s="16" customFormat="1" outlineLevel="2">
      <c r="A521" s="17" t="s">
        <v>29</v>
      </c>
      <c r="B521" s="18" t="s">
        <v>45</v>
      </c>
      <c r="C521" s="19" t="s">
        <v>43</v>
      </c>
      <c r="D521" s="18" t="s">
        <v>26</v>
      </c>
      <c r="E521" s="3">
        <v>14180723</v>
      </c>
      <c r="F521" s="17">
        <v>43626</v>
      </c>
      <c r="G521" s="3">
        <v>14180723</v>
      </c>
      <c r="H521" s="2">
        <v>1.4999999999999999E-2</v>
      </c>
      <c r="I521" s="17">
        <v>43770</v>
      </c>
      <c r="J521" s="17">
        <v>43799</v>
      </c>
      <c r="K521" s="3">
        <f>J521-I521+1</f>
        <v>30</v>
      </c>
      <c r="L521" s="3">
        <f>ROUND(G521*H521*K521/365,0)</f>
        <v>17483</v>
      </c>
      <c r="M521" s="3">
        <v>14180723</v>
      </c>
    </row>
    <row r="522" spans="1:13" s="16" customFormat="1" outlineLevel="2">
      <c r="A522" s="17" t="s">
        <v>29</v>
      </c>
      <c r="B522" s="18" t="s">
        <v>292</v>
      </c>
      <c r="C522" s="19" t="s">
        <v>253</v>
      </c>
      <c r="D522" s="18" t="s">
        <v>252</v>
      </c>
      <c r="E522" s="3">
        <v>6500000</v>
      </c>
      <c r="F522" s="17">
        <v>43763</v>
      </c>
      <c r="G522" s="3">
        <v>6500000</v>
      </c>
      <c r="H522" s="2">
        <v>5.0000000000000001E-3</v>
      </c>
      <c r="I522" s="17">
        <v>43770</v>
      </c>
      <c r="J522" s="17">
        <v>43799</v>
      </c>
      <c r="K522" s="3">
        <f>J522-I522+1</f>
        <v>30</v>
      </c>
      <c r="L522" s="3">
        <f>ROUND(G522*H522*K522/365,0)</f>
        <v>2671</v>
      </c>
      <c r="M522" s="3">
        <v>6500000</v>
      </c>
    </row>
    <row r="523" spans="1:13" s="16" customFormat="1" outlineLevel="2">
      <c r="A523" s="17" t="s">
        <v>29</v>
      </c>
      <c r="B523" s="18" t="s">
        <v>291</v>
      </c>
      <c r="C523" s="19" t="s">
        <v>233</v>
      </c>
      <c r="D523" s="18" t="s">
        <v>232</v>
      </c>
      <c r="E523" s="3">
        <v>269474</v>
      </c>
      <c r="F523" s="17">
        <v>43739</v>
      </c>
      <c r="G523" s="3">
        <v>269474</v>
      </c>
      <c r="H523" s="2">
        <v>1.4999999999999999E-2</v>
      </c>
      <c r="I523" s="17">
        <v>43770</v>
      </c>
      <c r="J523" s="17">
        <v>43799</v>
      </c>
      <c r="K523" s="3">
        <f>J523-I523+1</f>
        <v>30</v>
      </c>
      <c r="L523" s="3">
        <f>ROUND(G523*H523*K523/365,0)</f>
        <v>332</v>
      </c>
      <c r="M523" s="3">
        <v>269474</v>
      </c>
    </row>
    <row r="524" spans="1:13" s="16" customFormat="1" outlineLevel="2">
      <c r="A524" s="17" t="s">
        <v>29</v>
      </c>
      <c r="B524" s="18" t="s">
        <v>290</v>
      </c>
      <c r="C524" s="19" t="s">
        <v>233</v>
      </c>
      <c r="D524" s="18" t="s">
        <v>232</v>
      </c>
      <c r="E524" s="3">
        <v>6182097</v>
      </c>
      <c r="F524" s="17">
        <v>43739</v>
      </c>
      <c r="G524" s="3">
        <v>6182097</v>
      </c>
      <c r="H524" s="2">
        <v>1.4999999999999999E-2</v>
      </c>
      <c r="I524" s="17">
        <v>43770</v>
      </c>
      <c r="J524" s="17">
        <v>43799</v>
      </c>
      <c r="K524" s="3">
        <f>J524-I524+1</f>
        <v>30</v>
      </c>
      <c r="L524" s="3">
        <f>ROUND(G524*H524*K524/365,0)</f>
        <v>7622</v>
      </c>
      <c r="M524" s="3">
        <v>6182097</v>
      </c>
    </row>
    <row r="525" spans="1:13" s="16" customFormat="1" outlineLevel="2">
      <c r="A525" s="17" t="s">
        <v>29</v>
      </c>
      <c r="B525" s="18" t="s">
        <v>289</v>
      </c>
      <c r="C525" s="19" t="s">
        <v>233</v>
      </c>
      <c r="D525" s="18" t="s">
        <v>232</v>
      </c>
      <c r="E525" s="3">
        <v>41714962</v>
      </c>
      <c r="F525" s="17">
        <v>43754</v>
      </c>
      <c r="G525" s="3">
        <v>41714962</v>
      </c>
      <c r="H525" s="2">
        <v>1.4999999999999999E-2</v>
      </c>
      <c r="I525" s="17">
        <v>43770</v>
      </c>
      <c r="J525" s="17">
        <v>43799</v>
      </c>
      <c r="K525" s="3">
        <f>J525-I525+1</f>
        <v>30</v>
      </c>
      <c r="L525" s="3">
        <f>ROUND(G525*H525*K525/365,0)</f>
        <v>51429</v>
      </c>
      <c r="M525" s="3">
        <v>41714962</v>
      </c>
    </row>
    <row r="526" spans="1:13" s="16" customFormat="1" outlineLevel="2">
      <c r="A526" s="17" t="s">
        <v>29</v>
      </c>
      <c r="B526" s="18" t="s">
        <v>324</v>
      </c>
      <c r="C526" s="19" t="s">
        <v>43</v>
      </c>
      <c r="D526" s="18" t="s">
        <v>26</v>
      </c>
      <c r="E526" s="3">
        <v>1653750</v>
      </c>
      <c r="F526" s="17">
        <v>43777</v>
      </c>
      <c r="G526" s="3">
        <v>1653750</v>
      </c>
      <c r="H526" s="2">
        <v>1.4999999999999999E-2</v>
      </c>
      <c r="I526" s="17">
        <v>43777</v>
      </c>
      <c r="J526" s="17">
        <v>43799</v>
      </c>
      <c r="K526" s="3">
        <f>J526-I526+1</f>
        <v>23</v>
      </c>
      <c r="L526" s="3">
        <f>ROUND(G526*H526*K526/365,0)</f>
        <v>1563</v>
      </c>
      <c r="M526" s="3">
        <v>1653750</v>
      </c>
    </row>
    <row r="527" spans="1:13" s="16" customFormat="1" outlineLevel="2">
      <c r="A527" s="17" t="s">
        <v>29</v>
      </c>
      <c r="B527" s="18" t="s">
        <v>323</v>
      </c>
      <c r="C527" s="19" t="s">
        <v>43</v>
      </c>
      <c r="D527" s="18" t="s">
        <v>26</v>
      </c>
      <c r="E527" s="3">
        <v>17957200</v>
      </c>
      <c r="F527" s="17">
        <v>43787</v>
      </c>
      <c r="G527" s="3">
        <v>17957200</v>
      </c>
      <c r="H527" s="2">
        <v>1.4999999999999999E-2</v>
      </c>
      <c r="I527" s="17">
        <v>43787</v>
      </c>
      <c r="J527" s="17">
        <v>43799</v>
      </c>
      <c r="K527" s="3">
        <f>J527-I527+1</f>
        <v>13</v>
      </c>
      <c r="L527" s="3">
        <f>ROUND(G527*H527*K527/365,0)</f>
        <v>9594</v>
      </c>
      <c r="M527" s="3">
        <v>17957200</v>
      </c>
    </row>
    <row r="528" spans="1:13" s="16" customFormat="1" outlineLevel="2">
      <c r="A528" s="17" t="s">
        <v>29</v>
      </c>
      <c r="B528" s="18" t="s">
        <v>322</v>
      </c>
      <c r="C528" s="19" t="s">
        <v>43</v>
      </c>
      <c r="D528" s="18" t="s">
        <v>26</v>
      </c>
      <c r="E528" s="3">
        <v>20065716</v>
      </c>
      <c r="F528" s="17">
        <v>43797</v>
      </c>
      <c r="G528" s="3">
        <v>20065716</v>
      </c>
      <c r="H528" s="2">
        <v>1.4999999999999999E-2</v>
      </c>
      <c r="I528" s="17">
        <v>43797</v>
      </c>
      <c r="J528" s="17">
        <v>43799</v>
      </c>
      <c r="K528" s="3">
        <f>J528-I528+1</f>
        <v>3</v>
      </c>
      <c r="L528" s="3">
        <f>ROUND(G528*H528*K528/365,0)</f>
        <v>2474</v>
      </c>
      <c r="M528" s="3">
        <v>20065716</v>
      </c>
    </row>
    <row r="529" spans="1:13" s="16" customFormat="1" outlineLevel="2">
      <c r="A529" s="17" t="s">
        <v>29</v>
      </c>
      <c r="B529" s="18" t="s">
        <v>321</v>
      </c>
      <c r="C529" s="19" t="s">
        <v>43</v>
      </c>
      <c r="D529" s="18" t="s">
        <v>26</v>
      </c>
      <c r="E529" s="3">
        <v>45982661</v>
      </c>
      <c r="F529" s="17">
        <v>43777</v>
      </c>
      <c r="G529" s="3">
        <v>45982661</v>
      </c>
      <c r="H529" s="2">
        <v>1.4999999999999999E-2</v>
      </c>
      <c r="I529" s="17">
        <v>43777</v>
      </c>
      <c r="J529" s="17">
        <v>43799</v>
      </c>
      <c r="K529" s="3">
        <f>J529-I529+1</f>
        <v>23</v>
      </c>
      <c r="L529" s="3">
        <f>ROUND(G529*H529*K529/365,0)</f>
        <v>43463</v>
      </c>
      <c r="M529" s="3">
        <v>45982661</v>
      </c>
    </row>
    <row r="530" spans="1:13" s="16" customFormat="1" outlineLevel="2">
      <c r="A530" s="17" t="s">
        <v>29</v>
      </c>
      <c r="B530" s="18" t="s">
        <v>318</v>
      </c>
      <c r="C530" s="19" t="s">
        <v>43</v>
      </c>
      <c r="D530" s="18" t="s">
        <v>26</v>
      </c>
      <c r="E530" s="3">
        <v>94625299</v>
      </c>
      <c r="F530" s="17">
        <v>43787</v>
      </c>
      <c r="G530" s="3">
        <v>94625299</v>
      </c>
      <c r="H530" s="2">
        <v>1.4999999999999999E-2</v>
      </c>
      <c r="I530" s="17">
        <v>43787</v>
      </c>
      <c r="J530" s="17">
        <v>43799</v>
      </c>
      <c r="K530" s="3">
        <f>J530-I530+1</f>
        <v>13</v>
      </c>
      <c r="L530" s="3">
        <f>ROUND(G530*H530*K530/365,0)</f>
        <v>50553</v>
      </c>
      <c r="M530" s="3">
        <v>94625299</v>
      </c>
    </row>
    <row r="531" spans="1:13" s="16" customFormat="1" outlineLevel="2">
      <c r="A531" s="17" t="s">
        <v>29</v>
      </c>
      <c r="B531" s="18" t="s">
        <v>317</v>
      </c>
      <c r="C531" s="19" t="s">
        <v>43</v>
      </c>
      <c r="D531" s="18" t="s">
        <v>26</v>
      </c>
      <c r="E531" s="3">
        <v>10399725</v>
      </c>
      <c r="F531" s="17">
        <v>43797</v>
      </c>
      <c r="G531" s="3">
        <v>10399725</v>
      </c>
      <c r="H531" s="2">
        <v>1.4999999999999999E-2</v>
      </c>
      <c r="I531" s="17">
        <v>43797</v>
      </c>
      <c r="J531" s="17">
        <v>43799</v>
      </c>
      <c r="K531" s="3">
        <f>J531-I531+1</f>
        <v>3</v>
      </c>
      <c r="L531" s="3">
        <f>ROUND(G531*H531*K531/365,0)</f>
        <v>1282</v>
      </c>
      <c r="M531" s="3">
        <v>10399725</v>
      </c>
    </row>
    <row r="532" spans="1:13" s="16" customFormat="1" outlineLevel="2">
      <c r="A532" s="17" t="s">
        <v>29</v>
      </c>
      <c r="B532" s="18" t="s">
        <v>44</v>
      </c>
      <c r="C532" s="19" t="s">
        <v>43</v>
      </c>
      <c r="D532" s="18" t="s">
        <v>26</v>
      </c>
      <c r="E532" s="3">
        <v>10848433</v>
      </c>
      <c r="F532" s="17">
        <v>43634</v>
      </c>
      <c r="G532" s="3">
        <v>10848433</v>
      </c>
      <c r="H532" s="2">
        <v>1.4999999999999999E-2</v>
      </c>
      <c r="I532" s="17">
        <v>43770</v>
      </c>
      <c r="J532" s="17">
        <v>43799</v>
      </c>
      <c r="K532" s="3">
        <f>J532-I532+1</f>
        <v>30</v>
      </c>
      <c r="L532" s="3">
        <f>ROUND(G532*H532*K532/365,0)</f>
        <v>13375</v>
      </c>
      <c r="M532" s="3">
        <v>10848433</v>
      </c>
    </row>
    <row r="533" spans="1:13" s="16" customFormat="1" outlineLevel="2">
      <c r="A533" s="17" t="s">
        <v>29</v>
      </c>
      <c r="B533" s="18" t="s">
        <v>314</v>
      </c>
      <c r="C533" s="19" t="s">
        <v>159</v>
      </c>
      <c r="D533" s="18" t="s">
        <v>158</v>
      </c>
      <c r="E533" s="3">
        <v>11946000</v>
      </c>
      <c r="F533" s="17">
        <v>43784</v>
      </c>
      <c r="G533" s="3">
        <v>11946000</v>
      </c>
      <c r="H533" s="2">
        <v>1.4999999999999999E-2</v>
      </c>
      <c r="I533" s="17">
        <v>43784</v>
      </c>
      <c r="J533" s="17">
        <v>43799</v>
      </c>
      <c r="K533" s="3">
        <f>J533-I533+1</f>
        <v>16</v>
      </c>
      <c r="L533" s="3">
        <f>ROUND(G533*H533*K533/365,0)</f>
        <v>7855</v>
      </c>
      <c r="M533" s="3">
        <v>11946000</v>
      </c>
    </row>
    <row r="534" spans="1:13" s="16" customFormat="1" outlineLevel="2">
      <c r="A534" s="17" t="s">
        <v>29</v>
      </c>
      <c r="B534" s="18" t="s">
        <v>368</v>
      </c>
      <c r="C534" s="19" t="s">
        <v>159</v>
      </c>
      <c r="D534" s="18" t="s">
        <v>158</v>
      </c>
      <c r="E534" s="3">
        <v>6348000</v>
      </c>
      <c r="F534" s="17">
        <v>43784</v>
      </c>
      <c r="G534" s="3">
        <v>6348000</v>
      </c>
      <c r="H534" s="2">
        <v>1.4999999999999999E-2</v>
      </c>
      <c r="I534" s="17">
        <v>43784</v>
      </c>
      <c r="J534" s="17">
        <v>43799</v>
      </c>
      <c r="K534" s="3">
        <f>J534-I534+1</f>
        <v>16</v>
      </c>
      <c r="L534" s="3">
        <f>ROUND(G534*H534*K534/365,0)</f>
        <v>4174</v>
      </c>
      <c r="M534" s="3">
        <v>6348000</v>
      </c>
    </row>
    <row r="535" spans="1:13" s="16" customFormat="1" outlineLevel="2">
      <c r="A535" s="17" t="s">
        <v>29</v>
      </c>
      <c r="B535" s="18" t="s">
        <v>367</v>
      </c>
      <c r="C535" s="19" t="s">
        <v>163</v>
      </c>
      <c r="D535" s="18" t="s">
        <v>162</v>
      </c>
      <c r="E535" s="3">
        <v>6500000</v>
      </c>
      <c r="F535" s="17">
        <v>43790</v>
      </c>
      <c r="G535" s="3">
        <v>6500000</v>
      </c>
      <c r="H535" s="2">
        <v>1.4999999999999999E-2</v>
      </c>
      <c r="I535" s="17">
        <v>43790</v>
      </c>
      <c r="J535" s="17">
        <v>43799</v>
      </c>
      <c r="K535" s="3">
        <f>J535-I535+1</f>
        <v>10</v>
      </c>
      <c r="L535" s="3">
        <f>ROUND(G535*H535*K535/365,0)</f>
        <v>2671</v>
      </c>
      <c r="M535" s="3">
        <v>6500000</v>
      </c>
    </row>
    <row r="536" spans="1:13" s="16" customFormat="1" outlineLevel="2">
      <c r="A536" s="17" t="s">
        <v>29</v>
      </c>
      <c r="B536" s="18" t="s">
        <v>366</v>
      </c>
      <c r="C536" s="19" t="s">
        <v>51</v>
      </c>
      <c r="D536" s="18" t="s">
        <v>50</v>
      </c>
      <c r="E536" s="3">
        <v>159000000</v>
      </c>
      <c r="F536" s="17">
        <v>43784</v>
      </c>
      <c r="G536" s="3">
        <v>159000000</v>
      </c>
      <c r="H536" s="2">
        <v>1.4999999999999999E-2</v>
      </c>
      <c r="I536" s="17">
        <v>43784</v>
      </c>
      <c r="J536" s="17">
        <v>43799</v>
      </c>
      <c r="K536" s="3">
        <f>J536-I536+1</f>
        <v>16</v>
      </c>
      <c r="L536" s="3">
        <f>ROUND(G536*H536*K536/365,0)</f>
        <v>104548</v>
      </c>
      <c r="M536" s="3">
        <v>159000000</v>
      </c>
    </row>
    <row r="537" spans="1:13" s="16" customFormat="1" outlineLevel="2">
      <c r="A537" s="17" t="s">
        <v>29</v>
      </c>
      <c r="B537" s="18" t="s">
        <v>365</v>
      </c>
      <c r="C537" s="19" t="s">
        <v>150</v>
      </c>
      <c r="D537" s="18" t="s">
        <v>149</v>
      </c>
      <c r="E537" s="3">
        <v>4670850</v>
      </c>
      <c r="F537" s="17">
        <v>43773</v>
      </c>
      <c r="G537" s="3">
        <v>4670850</v>
      </c>
      <c r="H537" s="2">
        <v>5.0000000000000001E-3</v>
      </c>
      <c r="I537" s="17">
        <v>43773</v>
      </c>
      <c r="J537" s="17">
        <v>43799</v>
      </c>
      <c r="K537" s="3">
        <f>J537-I537+1</f>
        <v>27</v>
      </c>
      <c r="L537" s="3">
        <f>ROUND(G537*H537*K537/365,0)</f>
        <v>1728</v>
      </c>
      <c r="M537" s="3">
        <v>4670850</v>
      </c>
    </row>
    <row r="538" spans="1:13" s="16" customFormat="1" outlineLevel="2">
      <c r="A538" s="17" t="s">
        <v>29</v>
      </c>
      <c r="B538" s="18" t="s">
        <v>364</v>
      </c>
      <c r="C538" s="19" t="s">
        <v>150</v>
      </c>
      <c r="D538" s="18" t="s">
        <v>149</v>
      </c>
      <c r="E538" s="3">
        <v>1244884</v>
      </c>
      <c r="F538" s="17">
        <v>43775</v>
      </c>
      <c r="G538" s="3">
        <v>1244884</v>
      </c>
      <c r="H538" s="2">
        <v>5.0000000000000001E-3</v>
      </c>
      <c r="I538" s="17">
        <v>43775</v>
      </c>
      <c r="J538" s="17">
        <v>43799</v>
      </c>
      <c r="K538" s="3">
        <f>J538-I538+1</f>
        <v>25</v>
      </c>
      <c r="L538" s="3">
        <f>ROUND(G538*H538*K538/365,0)</f>
        <v>426</v>
      </c>
      <c r="M538" s="3">
        <v>1244884</v>
      </c>
    </row>
    <row r="539" spans="1:13" s="16" customFormat="1" outlineLevel="2">
      <c r="A539" s="17" t="s">
        <v>29</v>
      </c>
      <c r="B539" s="18" t="s">
        <v>363</v>
      </c>
      <c r="C539" s="19" t="s">
        <v>150</v>
      </c>
      <c r="D539" s="18" t="s">
        <v>149</v>
      </c>
      <c r="E539" s="3">
        <v>4430720</v>
      </c>
      <c r="F539" s="17">
        <v>43782</v>
      </c>
      <c r="G539" s="3">
        <v>4430720</v>
      </c>
      <c r="H539" s="2">
        <v>5.0000000000000001E-3</v>
      </c>
      <c r="I539" s="17">
        <v>43782</v>
      </c>
      <c r="J539" s="17">
        <v>43799</v>
      </c>
      <c r="K539" s="3">
        <f>J539-I539+1</f>
        <v>18</v>
      </c>
      <c r="L539" s="3">
        <f>ROUND(G539*H539*K539/365,0)</f>
        <v>1093</v>
      </c>
      <c r="M539" s="3">
        <v>4430720</v>
      </c>
    </row>
    <row r="540" spans="1:13" s="16" customFormat="1" outlineLevel="2">
      <c r="A540" s="17" t="s">
        <v>29</v>
      </c>
      <c r="B540" s="18" t="s">
        <v>362</v>
      </c>
      <c r="C540" s="19" t="s">
        <v>150</v>
      </c>
      <c r="D540" s="18" t="s">
        <v>149</v>
      </c>
      <c r="E540" s="3">
        <v>5803431</v>
      </c>
      <c r="F540" s="17">
        <v>43783</v>
      </c>
      <c r="G540" s="3">
        <v>5803431</v>
      </c>
      <c r="H540" s="2">
        <v>5.0000000000000001E-3</v>
      </c>
      <c r="I540" s="17">
        <v>43783</v>
      </c>
      <c r="J540" s="17">
        <v>43799</v>
      </c>
      <c r="K540" s="3">
        <f>J540-I540+1</f>
        <v>17</v>
      </c>
      <c r="L540" s="3">
        <f>ROUND(G540*H540*K540/365,0)</f>
        <v>1351</v>
      </c>
      <c r="M540" s="3">
        <v>5803431</v>
      </c>
    </row>
    <row r="541" spans="1:13" s="16" customFormat="1" outlineLevel="2">
      <c r="A541" s="17" t="s">
        <v>29</v>
      </c>
      <c r="B541" s="18" t="s">
        <v>361</v>
      </c>
      <c r="C541" s="19" t="s">
        <v>150</v>
      </c>
      <c r="D541" s="18" t="s">
        <v>149</v>
      </c>
      <c r="E541" s="3">
        <v>39794860</v>
      </c>
      <c r="F541" s="17">
        <v>43787</v>
      </c>
      <c r="G541" s="3">
        <v>39794860</v>
      </c>
      <c r="H541" s="2">
        <v>5.0000000000000001E-3</v>
      </c>
      <c r="I541" s="17">
        <v>43787</v>
      </c>
      <c r="J541" s="17">
        <v>43799</v>
      </c>
      <c r="K541" s="3">
        <f>J541-I541+1</f>
        <v>13</v>
      </c>
      <c r="L541" s="3">
        <f>ROUND(G541*H541*K541/365,0)</f>
        <v>7087</v>
      </c>
      <c r="M541" s="3">
        <v>39794860</v>
      </c>
    </row>
    <row r="542" spans="1:13" s="16" customFormat="1" outlineLevel="2">
      <c r="A542" s="17" t="s">
        <v>29</v>
      </c>
      <c r="B542" s="18" t="s">
        <v>360</v>
      </c>
      <c r="C542" s="19" t="s">
        <v>150</v>
      </c>
      <c r="D542" s="18" t="s">
        <v>149</v>
      </c>
      <c r="E542" s="3">
        <v>144680623</v>
      </c>
      <c r="F542" s="17">
        <v>43789</v>
      </c>
      <c r="G542" s="3">
        <v>144680623</v>
      </c>
      <c r="H542" s="2">
        <v>5.0000000000000001E-3</v>
      </c>
      <c r="I542" s="17">
        <v>43789</v>
      </c>
      <c r="J542" s="17">
        <v>43799</v>
      </c>
      <c r="K542" s="3">
        <f>J542-I542+1</f>
        <v>11</v>
      </c>
      <c r="L542" s="3">
        <f>ROUND(G542*H542*K542/365,0)</f>
        <v>21801</v>
      </c>
      <c r="M542" s="3">
        <v>144680623</v>
      </c>
    </row>
    <row r="543" spans="1:13" s="16" customFormat="1" outlineLevel="1">
      <c r="A543" s="28" t="s">
        <v>25</v>
      </c>
      <c r="B543" s="21"/>
      <c r="C543" s="22"/>
      <c r="D543" s="21"/>
      <c r="E543" s="23">
        <f>SUBTOTAL(9,E430:E542)</f>
        <v>5307517516</v>
      </c>
      <c r="F543" s="20"/>
      <c r="G543" s="23"/>
      <c r="H543" s="24"/>
      <c r="I543" s="20"/>
      <c r="J543" s="20"/>
      <c r="K543" s="23"/>
      <c r="L543" s="23">
        <f>SUBTOTAL(9,L430:L542)</f>
        <v>5027761</v>
      </c>
      <c r="M543" s="23">
        <f>SUBTOTAL(9,M430:M542)</f>
        <v>5307517516</v>
      </c>
    </row>
    <row r="544" spans="1:13" s="35" customFormat="1" outlineLevel="1">
      <c r="A544" s="29"/>
      <c r="B544" s="30"/>
      <c r="C544" s="31"/>
      <c r="D544" s="30"/>
      <c r="E544" s="32"/>
      <c r="F544" s="33"/>
      <c r="G544" s="32"/>
      <c r="H544" s="34"/>
      <c r="I544" s="33"/>
      <c r="J544" s="33"/>
      <c r="K544" s="32"/>
      <c r="L544" s="32"/>
      <c r="M544" s="32"/>
    </row>
    <row r="545" spans="1:13" s="16" customFormat="1">
      <c r="A545" s="20" t="s">
        <v>24</v>
      </c>
      <c r="B545" s="21"/>
      <c r="C545" s="22"/>
      <c r="D545" s="21"/>
      <c r="E545" s="23">
        <v>32489196558</v>
      </c>
      <c r="F545" s="20"/>
      <c r="G545" s="23"/>
      <c r="H545" s="24"/>
      <c r="I545" s="20"/>
      <c r="J545" s="20"/>
      <c r="K545" s="23"/>
      <c r="L545" s="23">
        <v>26532256</v>
      </c>
      <c r="M545" s="23">
        <v>32460458293</v>
      </c>
    </row>
    <row r="547" spans="1:13">
      <c r="A547" s="25" t="s">
        <v>22</v>
      </c>
      <c r="B547" s="25"/>
      <c r="E547" s="26" t="s">
        <v>23</v>
      </c>
      <c r="G547" s="5"/>
      <c r="I547" s="27" t="s">
        <v>21</v>
      </c>
    </row>
  </sheetData>
  <autoFilter ref="A3:M542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57D7-3A22-45CE-8CB0-1A845F2F09E8}">
  <dimension ref="A1:M708"/>
  <sheetViews>
    <sheetView zoomScaleNormal="100" workbookViewId="0">
      <selection activeCell="E13" sqref="E13"/>
    </sheetView>
  </sheetViews>
  <sheetFormatPr defaultColWidth="5.375" defaultRowHeight="13.5" outlineLevelRow="2"/>
  <cols>
    <col min="1" max="1" width="18.5" style="5" bestFit="1" customWidth="1"/>
    <col min="2" max="2" width="8.875" style="5" bestFit="1" customWidth="1"/>
    <col min="3" max="3" width="22.75" style="5" bestFit="1" customWidth="1"/>
    <col min="4" max="4" width="12.875" style="5" bestFit="1" customWidth="1"/>
    <col min="5" max="5" width="14.875" style="8" bestFit="1" customWidth="1"/>
    <col min="6" max="6" width="12.875" style="9" bestFit="1" customWidth="1"/>
    <col min="7" max="7" width="13.75" style="8" customWidth="1"/>
    <col min="8" max="8" width="11.25" style="10" bestFit="1" customWidth="1"/>
    <col min="9" max="10" width="10" style="5" bestFit="1" customWidth="1"/>
    <col min="11" max="11" width="11.25" style="5" bestFit="1" customWidth="1"/>
    <col min="12" max="12" width="11.25" style="8" bestFit="1" customWidth="1"/>
    <col min="13" max="13" width="14.875" style="5" bestFit="1" customWidth="1"/>
    <col min="14" max="14" width="5.375" style="5"/>
    <col min="15" max="15" width="25.875" style="5" customWidth="1"/>
    <col min="16" max="16384" width="5.375" style="5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6" t="s">
        <v>1</v>
      </c>
      <c r="C2" s="7">
        <v>43830</v>
      </c>
      <c r="D2" s="53"/>
      <c r="L2" s="8" t="s">
        <v>2</v>
      </c>
    </row>
    <row r="3" spans="1:13" s="16" customFormat="1" ht="27.75" thickBot="1">
      <c r="A3" s="1" t="s">
        <v>3</v>
      </c>
      <c r="B3" s="11" t="s">
        <v>4</v>
      </c>
      <c r="C3" s="12" t="s">
        <v>5</v>
      </c>
      <c r="D3" s="12" t="s">
        <v>6</v>
      </c>
      <c r="E3" s="13" t="s">
        <v>7</v>
      </c>
      <c r="F3" s="12" t="s">
        <v>8</v>
      </c>
      <c r="G3" s="14" t="s">
        <v>9</v>
      </c>
      <c r="H3" s="15" t="s">
        <v>10</v>
      </c>
      <c r="I3" s="1" t="s">
        <v>11</v>
      </c>
      <c r="J3" s="1" t="s">
        <v>12</v>
      </c>
      <c r="K3" s="1" t="s">
        <v>13</v>
      </c>
      <c r="L3" s="13" t="s">
        <v>14</v>
      </c>
      <c r="M3" s="1" t="s">
        <v>359</v>
      </c>
    </row>
    <row r="4" spans="1:13" s="16" customFormat="1" outlineLevel="2">
      <c r="A4" s="17" t="s">
        <v>42</v>
      </c>
      <c r="B4" s="18" t="s">
        <v>17</v>
      </c>
      <c r="C4" s="19" t="s">
        <v>54</v>
      </c>
      <c r="D4" s="18" t="s">
        <v>34</v>
      </c>
      <c r="E4" s="3">
        <v>14900000</v>
      </c>
      <c r="F4" s="17">
        <v>43591</v>
      </c>
      <c r="G4" s="3">
        <v>14900000</v>
      </c>
      <c r="H4" s="2">
        <v>1.4999999999999999E-2</v>
      </c>
      <c r="I4" s="17">
        <v>43800</v>
      </c>
      <c r="J4" s="17">
        <v>43830</v>
      </c>
      <c r="K4" s="3">
        <f>J4-I4+1</f>
        <v>31</v>
      </c>
      <c r="L4" s="3">
        <f>ROUND(G4*H4*K4/365,0)</f>
        <v>18982</v>
      </c>
      <c r="M4" s="3">
        <v>14900000</v>
      </c>
    </row>
    <row r="5" spans="1:13" s="16" customFormat="1" outlineLevel="2">
      <c r="A5" s="17" t="s">
        <v>42</v>
      </c>
      <c r="B5" s="18" t="s">
        <v>181</v>
      </c>
      <c r="C5" s="19" t="s">
        <v>225</v>
      </c>
      <c r="D5" s="18" t="s">
        <v>224</v>
      </c>
      <c r="E5" s="3">
        <v>180000000</v>
      </c>
      <c r="F5" s="17">
        <v>43700</v>
      </c>
      <c r="G5" s="3">
        <v>180000000</v>
      </c>
      <c r="H5" s="2">
        <v>5.0000000000000001E-3</v>
      </c>
      <c r="I5" s="17">
        <v>43800</v>
      </c>
      <c r="J5" s="17">
        <v>43830</v>
      </c>
      <c r="K5" s="3">
        <f>J5-I5+1</f>
        <v>31</v>
      </c>
      <c r="L5" s="3">
        <f>ROUND(G5*H5*K5/365,0)</f>
        <v>76438</v>
      </c>
      <c r="M5" s="3">
        <v>180000000</v>
      </c>
    </row>
    <row r="6" spans="1:13" s="16" customFormat="1" outlineLevel="2">
      <c r="A6" s="17" t="s">
        <v>42</v>
      </c>
      <c r="B6" s="18" t="s">
        <v>180</v>
      </c>
      <c r="C6" s="19" t="s">
        <v>163</v>
      </c>
      <c r="D6" s="18" t="s">
        <v>162</v>
      </c>
      <c r="E6" s="3">
        <v>5500000</v>
      </c>
      <c r="F6" s="17">
        <v>43692</v>
      </c>
      <c r="G6" s="3">
        <v>5500000</v>
      </c>
      <c r="H6" s="2">
        <v>5.0000000000000001E-3</v>
      </c>
      <c r="I6" s="17">
        <v>43800</v>
      </c>
      <c r="J6" s="17">
        <v>43830</v>
      </c>
      <c r="K6" s="3">
        <f>J6-I6+1</f>
        <v>31</v>
      </c>
      <c r="L6" s="3">
        <f>ROUND(G6*H6*K6/365,0)</f>
        <v>2336</v>
      </c>
      <c r="M6" s="3">
        <v>5500000</v>
      </c>
    </row>
    <row r="7" spans="1:13" s="16" customFormat="1" outlineLevel="2">
      <c r="A7" s="17" t="s">
        <v>42</v>
      </c>
      <c r="B7" s="18" t="s">
        <v>179</v>
      </c>
      <c r="C7" s="19" t="s">
        <v>54</v>
      </c>
      <c r="D7" s="18" t="s">
        <v>34</v>
      </c>
      <c r="E7" s="3">
        <v>1924000</v>
      </c>
      <c r="F7" s="17">
        <v>43713</v>
      </c>
      <c r="G7" s="3">
        <v>1924000</v>
      </c>
      <c r="H7" s="2">
        <v>1.4999999999999999E-2</v>
      </c>
      <c r="I7" s="17">
        <v>43800</v>
      </c>
      <c r="J7" s="17">
        <v>43830</v>
      </c>
      <c r="K7" s="3">
        <f>J7-I7+1</f>
        <v>31</v>
      </c>
      <c r="L7" s="3">
        <f>ROUND(G7*H7*K7/365,0)</f>
        <v>2451</v>
      </c>
      <c r="M7" s="3">
        <v>1924000</v>
      </c>
    </row>
    <row r="8" spans="1:13" s="16" customFormat="1" outlineLevel="2">
      <c r="A8" s="17" t="s">
        <v>42</v>
      </c>
      <c r="B8" s="18" t="s">
        <v>178</v>
      </c>
      <c r="C8" s="19" t="s">
        <v>54</v>
      </c>
      <c r="D8" s="18" t="s">
        <v>34</v>
      </c>
      <c r="E8" s="3">
        <v>1955000</v>
      </c>
      <c r="F8" s="17">
        <v>43733</v>
      </c>
      <c r="G8" s="3">
        <v>1955000</v>
      </c>
      <c r="H8" s="2">
        <v>1.4999999999999999E-2</v>
      </c>
      <c r="I8" s="17">
        <v>43800</v>
      </c>
      <c r="J8" s="17">
        <v>43830</v>
      </c>
      <c r="K8" s="3">
        <f>J8-I8+1</f>
        <v>31</v>
      </c>
      <c r="L8" s="3">
        <f>ROUND(G8*H8*K8/365,0)</f>
        <v>2491</v>
      </c>
      <c r="M8" s="3">
        <v>1955000</v>
      </c>
    </row>
    <row r="9" spans="1:13" s="16" customFormat="1" outlineLevel="2">
      <c r="A9" s="17" t="s">
        <v>42</v>
      </c>
      <c r="B9" s="18" t="s">
        <v>177</v>
      </c>
      <c r="C9" s="19" t="s">
        <v>163</v>
      </c>
      <c r="D9" s="18" t="s">
        <v>162</v>
      </c>
      <c r="E9" s="3">
        <v>23700000</v>
      </c>
      <c r="F9" s="17">
        <v>43714</v>
      </c>
      <c r="G9" s="3">
        <v>23700000</v>
      </c>
      <c r="H9" s="2">
        <v>5.0000000000000001E-3</v>
      </c>
      <c r="I9" s="17">
        <v>43800</v>
      </c>
      <c r="J9" s="17">
        <v>43830</v>
      </c>
      <c r="K9" s="3">
        <f>J9-I9+1</f>
        <v>31</v>
      </c>
      <c r="L9" s="3">
        <f>ROUND(G9*H9*K9/365,0)</f>
        <v>10064</v>
      </c>
      <c r="M9" s="3">
        <v>23700000</v>
      </c>
    </row>
    <row r="10" spans="1:13" s="16" customFormat="1" outlineLevel="2">
      <c r="A10" s="17" t="s">
        <v>42</v>
      </c>
      <c r="B10" s="18" t="s">
        <v>176</v>
      </c>
      <c r="C10" s="19" t="s">
        <v>163</v>
      </c>
      <c r="D10" s="18" t="s">
        <v>162</v>
      </c>
      <c r="E10" s="3">
        <v>48000000</v>
      </c>
      <c r="F10" s="17">
        <v>43717</v>
      </c>
      <c r="G10" s="3">
        <v>48000000</v>
      </c>
      <c r="H10" s="2">
        <v>5.0000000000000001E-3</v>
      </c>
      <c r="I10" s="17">
        <v>43800</v>
      </c>
      <c r="J10" s="17">
        <v>43830</v>
      </c>
      <c r="K10" s="3">
        <f>J10-I10+1</f>
        <v>31</v>
      </c>
      <c r="L10" s="3">
        <f>ROUND(G10*H10*K10/365,0)</f>
        <v>20384</v>
      </c>
      <c r="M10" s="3">
        <v>48000000</v>
      </c>
    </row>
    <row r="11" spans="1:13" s="16" customFormat="1" outlineLevel="2">
      <c r="A11" s="17" t="s">
        <v>42</v>
      </c>
      <c r="B11" s="18" t="s">
        <v>175</v>
      </c>
      <c r="C11" s="19" t="s">
        <v>163</v>
      </c>
      <c r="D11" s="18" t="s">
        <v>162</v>
      </c>
      <c r="E11" s="3">
        <v>30000000</v>
      </c>
      <c r="F11" s="17">
        <v>43734</v>
      </c>
      <c r="G11" s="3">
        <v>30000000</v>
      </c>
      <c r="H11" s="2">
        <v>5.0000000000000001E-3</v>
      </c>
      <c r="I11" s="17">
        <v>43800</v>
      </c>
      <c r="J11" s="17">
        <v>43830</v>
      </c>
      <c r="K11" s="3">
        <f>J11-I11+1</f>
        <v>31</v>
      </c>
      <c r="L11" s="3">
        <f>ROUND(G11*H11*K11/365,0)</f>
        <v>12740</v>
      </c>
      <c r="M11" s="3">
        <v>30000000</v>
      </c>
    </row>
    <row r="12" spans="1:13" s="16" customFormat="1" outlineLevel="2">
      <c r="A12" s="17" t="s">
        <v>42</v>
      </c>
      <c r="B12" s="18" t="s">
        <v>174</v>
      </c>
      <c r="C12" s="19" t="s">
        <v>288</v>
      </c>
      <c r="D12" s="18" t="s">
        <v>287</v>
      </c>
      <c r="E12" s="3">
        <v>176000000</v>
      </c>
      <c r="F12" s="17">
        <v>43723</v>
      </c>
      <c r="G12" s="3">
        <v>176000000</v>
      </c>
      <c r="H12" s="2">
        <v>1.4999999999999999E-2</v>
      </c>
      <c r="I12" s="17">
        <v>43800</v>
      </c>
      <c r="J12" s="17">
        <v>43830</v>
      </c>
      <c r="K12" s="3">
        <f>J12-I12+1</f>
        <v>31</v>
      </c>
      <c r="L12" s="3">
        <f>ROUND(G12*H12*K12/365,0)</f>
        <v>224219</v>
      </c>
      <c r="M12" s="3">
        <v>176000000</v>
      </c>
    </row>
    <row r="13" spans="1:13" s="16" customFormat="1" outlineLevel="2">
      <c r="A13" s="17" t="s">
        <v>42</v>
      </c>
      <c r="B13" s="18" t="s">
        <v>171</v>
      </c>
      <c r="C13" s="19" t="s">
        <v>185</v>
      </c>
      <c r="D13" s="18" t="s">
        <v>184</v>
      </c>
      <c r="E13" s="3">
        <v>100000000</v>
      </c>
      <c r="F13" s="17">
        <v>43753</v>
      </c>
      <c r="G13" s="3">
        <v>100000000</v>
      </c>
      <c r="H13" s="2">
        <v>5.0000000000000001E-3</v>
      </c>
      <c r="I13" s="17">
        <v>43800</v>
      </c>
      <c r="J13" s="17">
        <v>43830</v>
      </c>
      <c r="K13" s="3">
        <f>J13-I13+1</f>
        <v>31</v>
      </c>
      <c r="L13" s="3">
        <f>ROUND(G13*H13*K13/365,0)</f>
        <v>42466</v>
      </c>
      <c r="M13" s="3">
        <v>100000000</v>
      </c>
    </row>
    <row r="14" spans="1:13" s="16" customFormat="1" outlineLevel="2">
      <c r="A14" s="17" t="s">
        <v>42</v>
      </c>
      <c r="B14" s="18" t="s">
        <v>170</v>
      </c>
      <c r="C14" s="19" t="s">
        <v>54</v>
      </c>
      <c r="D14" s="18" t="s">
        <v>34</v>
      </c>
      <c r="E14" s="3">
        <v>28738000</v>
      </c>
      <c r="F14" s="17">
        <v>43763</v>
      </c>
      <c r="G14" s="3">
        <v>28738000</v>
      </c>
      <c r="H14" s="2">
        <v>1.4999999999999999E-2</v>
      </c>
      <c r="I14" s="17">
        <v>43800</v>
      </c>
      <c r="J14" s="17">
        <v>43830</v>
      </c>
      <c r="K14" s="3">
        <f>J14-I14+1</f>
        <v>31</v>
      </c>
      <c r="L14" s="3">
        <f>ROUND(G14*H14*K14/365,0)</f>
        <v>36611</v>
      </c>
      <c r="M14" s="3">
        <v>28738000</v>
      </c>
    </row>
    <row r="15" spans="1:13" s="16" customFormat="1" outlineLevel="2">
      <c r="A15" s="17" t="s">
        <v>42</v>
      </c>
      <c r="B15" s="18" t="s">
        <v>31</v>
      </c>
      <c r="C15" s="19" t="s">
        <v>54</v>
      </c>
      <c r="D15" s="18" t="s">
        <v>34</v>
      </c>
      <c r="E15" s="3">
        <v>3080000</v>
      </c>
      <c r="F15" s="17">
        <v>43612</v>
      </c>
      <c r="G15" s="3">
        <v>3080000</v>
      </c>
      <c r="H15" s="2">
        <v>1.4999999999999999E-2</v>
      </c>
      <c r="I15" s="17">
        <v>43800</v>
      </c>
      <c r="J15" s="17">
        <v>43830</v>
      </c>
      <c r="K15" s="3">
        <f>J15-I15+1</f>
        <v>31</v>
      </c>
      <c r="L15" s="3">
        <f>ROUND(G15*H15*K15/365,0)</f>
        <v>3924</v>
      </c>
      <c r="M15" s="3">
        <v>3080000</v>
      </c>
    </row>
    <row r="16" spans="1:13" s="16" customFormat="1" outlineLevel="2">
      <c r="A16" s="17" t="s">
        <v>42</v>
      </c>
      <c r="B16" s="18" t="s">
        <v>169</v>
      </c>
      <c r="C16" s="19" t="s">
        <v>308</v>
      </c>
      <c r="D16" s="18" t="s">
        <v>307</v>
      </c>
      <c r="E16" s="3">
        <v>400000000</v>
      </c>
      <c r="F16" s="17">
        <v>43753</v>
      </c>
      <c r="G16" s="3">
        <v>400000000</v>
      </c>
      <c r="H16" s="2">
        <v>5.0000000000000001E-3</v>
      </c>
      <c r="I16" s="17">
        <v>43800</v>
      </c>
      <c r="J16" s="17">
        <v>43830</v>
      </c>
      <c r="K16" s="3">
        <f>J16-I16+1</f>
        <v>31</v>
      </c>
      <c r="L16" s="3">
        <f>ROUND(G16*H16*K16/365,0)</f>
        <v>169863</v>
      </c>
      <c r="M16" s="3">
        <v>400000000</v>
      </c>
    </row>
    <row r="17" spans="1:13" s="16" customFormat="1" outlineLevel="2">
      <c r="A17" s="17" t="s">
        <v>42</v>
      </c>
      <c r="B17" s="18" t="s">
        <v>168</v>
      </c>
      <c r="C17" s="19" t="s">
        <v>308</v>
      </c>
      <c r="D17" s="18" t="s">
        <v>307</v>
      </c>
      <c r="E17" s="3">
        <v>38300000</v>
      </c>
      <c r="F17" s="17">
        <v>43753</v>
      </c>
      <c r="G17" s="3">
        <v>38300000</v>
      </c>
      <c r="H17" s="2">
        <v>5.0000000000000001E-3</v>
      </c>
      <c r="I17" s="17">
        <v>43800</v>
      </c>
      <c r="J17" s="17">
        <v>43830</v>
      </c>
      <c r="K17" s="3">
        <f>J17-I17+1</f>
        <v>31</v>
      </c>
      <c r="L17" s="3">
        <f>ROUND(G17*H17*K17/365,0)</f>
        <v>16264</v>
      </c>
      <c r="M17" s="3">
        <v>38300000</v>
      </c>
    </row>
    <row r="18" spans="1:13" s="16" customFormat="1" outlineLevel="2">
      <c r="A18" s="17" t="s">
        <v>42</v>
      </c>
      <c r="B18" s="18" t="s">
        <v>167</v>
      </c>
      <c r="C18" s="19" t="s">
        <v>308</v>
      </c>
      <c r="D18" s="18" t="s">
        <v>307</v>
      </c>
      <c r="E18" s="3">
        <v>3700000</v>
      </c>
      <c r="F18" s="17">
        <v>43753</v>
      </c>
      <c r="G18" s="3">
        <v>3700000</v>
      </c>
      <c r="H18" s="2">
        <v>5.0000000000000001E-3</v>
      </c>
      <c r="I18" s="17">
        <v>43800</v>
      </c>
      <c r="J18" s="17">
        <v>43830</v>
      </c>
      <c r="K18" s="3">
        <f>J18-I18+1</f>
        <v>31</v>
      </c>
      <c r="L18" s="3">
        <f>ROUND(G18*H18*K18/365,0)</f>
        <v>1571</v>
      </c>
      <c r="M18" s="3">
        <v>3700000</v>
      </c>
    </row>
    <row r="19" spans="1:13" s="16" customFormat="1" outlineLevel="2">
      <c r="A19" s="17" t="s">
        <v>42</v>
      </c>
      <c r="B19" s="18" t="s">
        <v>166</v>
      </c>
      <c r="C19" s="19" t="s">
        <v>358</v>
      </c>
      <c r="D19" s="18" t="s">
        <v>357</v>
      </c>
      <c r="E19" s="3">
        <v>10000000</v>
      </c>
      <c r="F19" s="17">
        <v>43753</v>
      </c>
      <c r="G19" s="3">
        <v>10000000</v>
      </c>
      <c r="H19" s="2">
        <v>5.0000000000000001E-3</v>
      </c>
      <c r="I19" s="17">
        <v>43800</v>
      </c>
      <c r="J19" s="17">
        <v>43830</v>
      </c>
      <c r="K19" s="3">
        <f>J19-I19+1</f>
        <v>31</v>
      </c>
      <c r="L19" s="3">
        <f>ROUND(G19*H19*K19/365,0)</f>
        <v>4247</v>
      </c>
      <c r="M19" s="3">
        <v>10000000</v>
      </c>
    </row>
    <row r="20" spans="1:13" s="16" customFormat="1" outlineLevel="2">
      <c r="A20" s="17" t="s">
        <v>42</v>
      </c>
      <c r="B20" s="18" t="s">
        <v>165</v>
      </c>
      <c r="C20" s="19" t="s">
        <v>310</v>
      </c>
      <c r="D20" s="18" t="s">
        <v>309</v>
      </c>
      <c r="E20" s="3">
        <v>144800000</v>
      </c>
      <c r="F20" s="17">
        <v>43753</v>
      </c>
      <c r="G20" s="3">
        <v>144800000</v>
      </c>
      <c r="H20" s="2">
        <v>5.0000000000000001E-3</v>
      </c>
      <c r="I20" s="17">
        <v>43800</v>
      </c>
      <c r="J20" s="17">
        <v>43830</v>
      </c>
      <c r="K20" s="3">
        <f>J20-I20+1</f>
        <v>31</v>
      </c>
      <c r="L20" s="3">
        <f>ROUND(G20*H20*K20/365,0)</f>
        <v>61490</v>
      </c>
      <c r="M20" s="3">
        <v>144800000</v>
      </c>
    </row>
    <row r="21" spans="1:13" s="16" customFormat="1" outlineLevel="2">
      <c r="A21" s="17" t="s">
        <v>42</v>
      </c>
      <c r="B21" s="18" t="s">
        <v>164</v>
      </c>
      <c r="C21" s="19" t="s">
        <v>310</v>
      </c>
      <c r="D21" s="18" t="s">
        <v>309</v>
      </c>
      <c r="E21" s="3">
        <v>57012868</v>
      </c>
      <c r="F21" s="17">
        <v>43753</v>
      </c>
      <c r="G21" s="3">
        <v>57012868</v>
      </c>
      <c r="H21" s="2">
        <v>5.0000000000000001E-3</v>
      </c>
      <c r="I21" s="17">
        <v>43800</v>
      </c>
      <c r="J21" s="17">
        <v>43830</v>
      </c>
      <c r="K21" s="3">
        <f>J21-I21+1</f>
        <v>31</v>
      </c>
      <c r="L21" s="3">
        <f>ROUND(G21*H21*K21/365,0)</f>
        <v>24211</v>
      </c>
      <c r="M21" s="3">
        <v>57012868</v>
      </c>
    </row>
    <row r="22" spans="1:13" s="16" customFormat="1" outlineLevel="2">
      <c r="A22" s="17" t="s">
        <v>42</v>
      </c>
      <c r="B22" s="18" t="s">
        <v>161</v>
      </c>
      <c r="C22" s="19" t="s">
        <v>356</v>
      </c>
      <c r="D22" s="18" t="s">
        <v>355</v>
      </c>
      <c r="E22" s="3">
        <v>14000000</v>
      </c>
      <c r="F22" s="17">
        <v>43739</v>
      </c>
      <c r="G22" s="3">
        <v>14000000</v>
      </c>
      <c r="H22" s="2">
        <v>5.0000000000000001E-3</v>
      </c>
      <c r="I22" s="17">
        <v>43800</v>
      </c>
      <c r="J22" s="17">
        <v>43830</v>
      </c>
      <c r="K22" s="3">
        <f>J22-I22+1</f>
        <v>31</v>
      </c>
      <c r="L22" s="3">
        <f>ROUND(G22*H22*K22/365,0)</f>
        <v>5945</v>
      </c>
      <c r="M22" s="3">
        <v>14000000</v>
      </c>
    </row>
    <row r="23" spans="1:13" s="16" customFormat="1" outlineLevel="2">
      <c r="A23" s="17" t="s">
        <v>42</v>
      </c>
      <c r="B23" s="18" t="s">
        <v>160</v>
      </c>
      <c r="C23" s="19" t="s">
        <v>356</v>
      </c>
      <c r="D23" s="18" t="s">
        <v>355</v>
      </c>
      <c r="E23" s="3">
        <v>28000000</v>
      </c>
      <c r="F23" s="17">
        <v>43766</v>
      </c>
      <c r="G23" s="3">
        <v>28000000</v>
      </c>
      <c r="H23" s="2">
        <v>5.0000000000000001E-3</v>
      </c>
      <c r="I23" s="17">
        <v>43800</v>
      </c>
      <c r="J23" s="17">
        <v>43830</v>
      </c>
      <c r="K23" s="3">
        <f>J23-I23+1</f>
        <v>31</v>
      </c>
      <c r="L23" s="3">
        <f>ROUND(G23*H23*K23/365,0)</f>
        <v>11890</v>
      </c>
      <c r="M23" s="3">
        <v>28000000</v>
      </c>
    </row>
    <row r="24" spans="1:13" s="16" customFormat="1" outlineLevel="2">
      <c r="A24" s="17" t="s">
        <v>42</v>
      </c>
      <c r="B24" s="18" t="s">
        <v>157</v>
      </c>
      <c r="C24" s="19" t="s">
        <v>163</v>
      </c>
      <c r="D24" s="18" t="s">
        <v>162</v>
      </c>
      <c r="E24" s="3">
        <v>50000000</v>
      </c>
      <c r="F24" s="17">
        <v>43747</v>
      </c>
      <c r="G24" s="3">
        <v>50000000</v>
      </c>
      <c r="H24" s="2">
        <v>5.0000000000000001E-3</v>
      </c>
      <c r="I24" s="17">
        <v>43800</v>
      </c>
      <c r="J24" s="17">
        <v>43830</v>
      </c>
      <c r="K24" s="3">
        <f>J24-I24+1</f>
        <v>31</v>
      </c>
      <c r="L24" s="3">
        <f>ROUND(G24*H24*K24/365,0)</f>
        <v>21233</v>
      </c>
      <c r="M24" s="3">
        <v>50000000</v>
      </c>
    </row>
    <row r="25" spans="1:13" s="16" customFormat="1" outlineLevel="2">
      <c r="A25" s="17" t="s">
        <v>42</v>
      </c>
      <c r="B25" s="18" t="s">
        <v>156</v>
      </c>
      <c r="C25" s="19" t="s">
        <v>163</v>
      </c>
      <c r="D25" s="18" t="s">
        <v>162</v>
      </c>
      <c r="E25" s="3">
        <v>12200000</v>
      </c>
      <c r="F25" s="17">
        <v>43756</v>
      </c>
      <c r="G25" s="3">
        <v>12200000</v>
      </c>
      <c r="H25" s="2">
        <v>5.0000000000000001E-3</v>
      </c>
      <c r="I25" s="17">
        <v>43800</v>
      </c>
      <c r="J25" s="17">
        <v>43830</v>
      </c>
      <c r="K25" s="3">
        <f>J25-I25+1</f>
        <v>31</v>
      </c>
      <c r="L25" s="3">
        <f>ROUND(G25*H25*K25/365,0)</f>
        <v>5181</v>
      </c>
      <c r="M25" s="3">
        <v>12200000</v>
      </c>
    </row>
    <row r="26" spans="1:13" s="16" customFormat="1" outlineLevel="2">
      <c r="A26" s="17" t="s">
        <v>42</v>
      </c>
      <c r="B26" s="18" t="s">
        <v>30</v>
      </c>
      <c r="C26" s="19" t="s">
        <v>54</v>
      </c>
      <c r="D26" s="18" t="s">
        <v>34</v>
      </c>
      <c r="E26" s="3">
        <v>29720000</v>
      </c>
      <c r="F26" s="17">
        <v>43621</v>
      </c>
      <c r="G26" s="3">
        <v>29720000</v>
      </c>
      <c r="H26" s="2">
        <v>1.4999999999999999E-2</v>
      </c>
      <c r="I26" s="17">
        <v>43800</v>
      </c>
      <c r="J26" s="17">
        <v>43830</v>
      </c>
      <c r="K26" s="3">
        <f>J26-I26+1</f>
        <v>31</v>
      </c>
      <c r="L26" s="3">
        <f>ROUND(G26*H26*K26/365,0)</f>
        <v>37862</v>
      </c>
      <c r="M26" s="3">
        <v>29720000</v>
      </c>
    </row>
    <row r="27" spans="1:13" s="16" customFormat="1" outlineLevel="2">
      <c r="A27" s="17" t="s">
        <v>42</v>
      </c>
      <c r="B27" s="18" t="s">
        <v>155</v>
      </c>
      <c r="C27" s="19" t="s">
        <v>183</v>
      </c>
      <c r="D27" s="18" t="s">
        <v>182</v>
      </c>
      <c r="E27" s="3">
        <v>10266476</v>
      </c>
      <c r="F27" s="17">
        <v>43754</v>
      </c>
      <c r="G27" s="3">
        <v>10266476</v>
      </c>
      <c r="H27" s="2">
        <v>5.0000000000000001E-3</v>
      </c>
      <c r="I27" s="17">
        <v>43800</v>
      </c>
      <c r="J27" s="17">
        <v>43830</v>
      </c>
      <c r="K27" s="3">
        <f>J27-I27+1</f>
        <v>31</v>
      </c>
      <c r="L27" s="3">
        <f>ROUND(G27*H27*K27/365,0)</f>
        <v>4360</v>
      </c>
      <c r="M27" s="3">
        <v>10266476</v>
      </c>
    </row>
    <row r="28" spans="1:13" s="16" customFormat="1" outlineLevel="2">
      <c r="A28" s="17" t="s">
        <v>42</v>
      </c>
      <c r="B28" s="18" t="s">
        <v>154</v>
      </c>
      <c r="C28" s="19" t="s">
        <v>183</v>
      </c>
      <c r="D28" s="18" t="s">
        <v>182</v>
      </c>
      <c r="E28" s="3">
        <v>10034223</v>
      </c>
      <c r="F28" s="17">
        <v>43760</v>
      </c>
      <c r="G28" s="3">
        <v>10034223</v>
      </c>
      <c r="H28" s="2">
        <v>5.0000000000000001E-3</v>
      </c>
      <c r="I28" s="17">
        <v>43800</v>
      </c>
      <c r="J28" s="17">
        <v>43830</v>
      </c>
      <c r="K28" s="3">
        <f>J28-I28+1</f>
        <v>31</v>
      </c>
      <c r="L28" s="3">
        <f>ROUND(G28*H28*K28/365,0)</f>
        <v>4261</v>
      </c>
      <c r="M28" s="3">
        <v>10034223</v>
      </c>
    </row>
    <row r="29" spans="1:13" s="16" customFormat="1" outlineLevel="2">
      <c r="A29" s="17" t="s">
        <v>42</v>
      </c>
      <c r="B29" s="18" t="s">
        <v>153</v>
      </c>
      <c r="C29" s="19" t="s">
        <v>183</v>
      </c>
      <c r="D29" s="18" t="s">
        <v>182</v>
      </c>
      <c r="E29" s="3">
        <v>9645735</v>
      </c>
      <c r="F29" s="17">
        <v>43762</v>
      </c>
      <c r="G29" s="3">
        <v>9645735</v>
      </c>
      <c r="H29" s="2">
        <v>5.0000000000000001E-3</v>
      </c>
      <c r="I29" s="17">
        <v>43800</v>
      </c>
      <c r="J29" s="17">
        <v>43830</v>
      </c>
      <c r="K29" s="3">
        <f>J29-I29+1</f>
        <v>31</v>
      </c>
      <c r="L29" s="3">
        <f>ROUND(G29*H29*K29/365,0)</f>
        <v>4096</v>
      </c>
      <c r="M29" s="3">
        <v>9645735</v>
      </c>
    </row>
    <row r="30" spans="1:13" s="16" customFormat="1" outlineLevel="2">
      <c r="A30" s="17" t="s">
        <v>42</v>
      </c>
      <c r="B30" s="18" t="s">
        <v>152</v>
      </c>
      <c r="C30" s="19" t="s">
        <v>183</v>
      </c>
      <c r="D30" s="18" t="s">
        <v>182</v>
      </c>
      <c r="E30" s="3">
        <v>7520000</v>
      </c>
      <c r="F30" s="17">
        <v>43741</v>
      </c>
      <c r="G30" s="3">
        <v>7520000</v>
      </c>
      <c r="H30" s="2">
        <v>5.0000000000000001E-3</v>
      </c>
      <c r="I30" s="17">
        <v>43800</v>
      </c>
      <c r="J30" s="17">
        <v>43830</v>
      </c>
      <c r="K30" s="3">
        <f>J30-I30+1</f>
        <v>31</v>
      </c>
      <c r="L30" s="3">
        <f>ROUND(G30*H30*K30/365,0)</f>
        <v>3193</v>
      </c>
      <c r="M30" s="3">
        <v>7520000</v>
      </c>
    </row>
    <row r="31" spans="1:13" s="16" customFormat="1" outlineLevel="2">
      <c r="A31" s="17" t="s">
        <v>42</v>
      </c>
      <c r="B31" s="18" t="s">
        <v>151</v>
      </c>
      <c r="C31" s="19" t="s">
        <v>185</v>
      </c>
      <c r="D31" s="18" t="s">
        <v>184</v>
      </c>
      <c r="E31" s="3">
        <v>4000000</v>
      </c>
      <c r="F31" s="17">
        <v>43780</v>
      </c>
      <c r="G31" s="3">
        <v>4000000</v>
      </c>
      <c r="H31" s="2">
        <v>5.0000000000000001E-3</v>
      </c>
      <c r="I31" s="17">
        <v>43800</v>
      </c>
      <c r="J31" s="17">
        <v>43830</v>
      </c>
      <c r="K31" s="3">
        <f>J31-I31+1</f>
        <v>31</v>
      </c>
      <c r="L31" s="3">
        <f>ROUND(G31*H31*K31/365,0)</f>
        <v>1699</v>
      </c>
      <c r="M31" s="3">
        <v>4000000</v>
      </c>
    </row>
    <row r="32" spans="1:13" s="16" customFormat="1" outlineLevel="2">
      <c r="A32" s="17" t="s">
        <v>42</v>
      </c>
      <c r="B32" s="18" t="s">
        <v>196</v>
      </c>
      <c r="C32" s="19" t="s">
        <v>54</v>
      </c>
      <c r="D32" s="18" t="s">
        <v>34</v>
      </c>
      <c r="E32" s="3">
        <v>16220000</v>
      </c>
      <c r="F32" s="17">
        <v>43774</v>
      </c>
      <c r="G32" s="3">
        <v>16220000</v>
      </c>
      <c r="H32" s="2">
        <v>1.4999999999999999E-2</v>
      </c>
      <c r="I32" s="17">
        <v>43800</v>
      </c>
      <c r="J32" s="17">
        <v>43830</v>
      </c>
      <c r="K32" s="3">
        <f>J32-I32+1</f>
        <v>31</v>
      </c>
      <c r="L32" s="3">
        <f>ROUND(G32*H32*K32/365,0)</f>
        <v>20664</v>
      </c>
      <c r="M32" s="3">
        <v>16220000</v>
      </c>
    </row>
    <row r="33" spans="1:13" s="16" customFormat="1" outlineLevel="2">
      <c r="A33" s="17" t="s">
        <v>42</v>
      </c>
      <c r="B33" s="18" t="s">
        <v>195</v>
      </c>
      <c r="C33" s="19" t="s">
        <v>54</v>
      </c>
      <c r="D33" s="18" t="s">
        <v>34</v>
      </c>
      <c r="E33" s="3">
        <v>3502000</v>
      </c>
      <c r="F33" s="17">
        <v>43784</v>
      </c>
      <c r="G33" s="3">
        <v>3502000</v>
      </c>
      <c r="H33" s="2">
        <v>1.4999999999999999E-2</v>
      </c>
      <c r="I33" s="17">
        <v>43800</v>
      </c>
      <c r="J33" s="17">
        <v>43830</v>
      </c>
      <c r="K33" s="3">
        <f>J33-I33+1</f>
        <v>31</v>
      </c>
      <c r="L33" s="3">
        <f>ROUND(G33*H33*K33/365,0)</f>
        <v>4461</v>
      </c>
      <c r="M33" s="3">
        <v>3502000</v>
      </c>
    </row>
    <row r="34" spans="1:13" s="16" customFormat="1" outlineLevel="2">
      <c r="A34" s="17" t="s">
        <v>42</v>
      </c>
      <c r="B34" s="18" t="s">
        <v>194</v>
      </c>
      <c r="C34" s="19" t="s">
        <v>308</v>
      </c>
      <c r="D34" s="18" t="s">
        <v>307</v>
      </c>
      <c r="E34" s="3">
        <v>2900000</v>
      </c>
      <c r="F34" s="17">
        <v>43794</v>
      </c>
      <c r="G34" s="3">
        <v>2900000</v>
      </c>
      <c r="H34" s="2">
        <v>5.0000000000000001E-3</v>
      </c>
      <c r="I34" s="17">
        <v>43800</v>
      </c>
      <c r="J34" s="17">
        <v>43830</v>
      </c>
      <c r="K34" s="3">
        <f>J34-I34+1</f>
        <v>31</v>
      </c>
      <c r="L34" s="3">
        <f>ROUND(G34*H34*K34/365,0)</f>
        <v>1232</v>
      </c>
      <c r="M34" s="3">
        <v>2900000</v>
      </c>
    </row>
    <row r="35" spans="1:13" s="16" customFormat="1" outlineLevel="2">
      <c r="A35" s="17" t="s">
        <v>42</v>
      </c>
      <c r="B35" s="18" t="s">
        <v>193</v>
      </c>
      <c r="C35" s="19" t="s">
        <v>308</v>
      </c>
      <c r="D35" s="18" t="s">
        <v>307</v>
      </c>
      <c r="E35" s="3">
        <v>2400000</v>
      </c>
      <c r="F35" s="17">
        <v>43794</v>
      </c>
      <c r="G35" s="3">
        <v>2400000</v>
      </c>
      <c r="H35" s="2">
        <v>5.0000000000000001E-3</v>
      </c>
      <c r="I35" s="17">
        <v>43800</v>
      </c>
      <c r="J35" s="17">
        <v>43830</v>
      </c>
      <c r="K35" s="3">
        <f>J35-I35+1</f>
        <v>31</v>
      </c>
      <c r="L35" s="3">
        <f>ROUND(G35*H35*K35/365,0)</f>
        <v>1019</v>
      </c>
      <c r="M35" s="3">
        <v>2400000</v>
      </c>
    </row>
    <row r="36" spans="1:13" s="16" customFormat="1" outlineLevel="2">
      <c r="A36" s="17" t="s">
        <v>42</v>
      </c>
      <c r="B36" s="18" t="s">
        <v>192</v>
      </c>
      <c r="C36" s="19" t="s">
        <v>402</v>
      </c>
      <c r="D36" s="18" t="s">
        <v>401</v>
      </c>
      <c r="E36" s="3">
        <v>320000000</v>
      </c>
      <c r="F36" s="17">
        <v>43773</v>
      </c>
      <c r="G36" s="3">
        <v>320000000</v>
      </c>
      <c r="H36" s="2">
        <v>5.0000000000000001E-3</v>
      </c>
      <c r="I36" s="17">
        <v>43800</v>
      </c>
      <c r="J36" s="17">
        <v>43830</v>
      </c>
      <c r="K36" s="3">
        <f>J36-I36+1</f>
        <v>31</v>
      </c>
      <c r="L36" s="3">
        <f>ROUND(G36*H36*K36/365,0)</f>
        <v>135890</v>
      </c>
      <c r="M36" s="3">
        <v>320000000</v>
      </c>
    </row>
    <row r="37" spans="1:13" s="16" customFormat="1" outlineLevel="2">
      <c r="A37" s="17" t="s">
        <v>42</v>
      </c>
      <c r="B37" s="18" t="s">
        <v>28</v>
      </c>
      <c r="C37" s="19" t="s">
        <v>54</v>
      </c>
      <c r="D37" s="18" t="s">
        <v>34</v>
      </c>
      <c r="E37" s="3">
        <v>42908000</v>
      </c>
      <c r="F37" s="17">
        <v>43633</v>
      </c>
      <c r="G37" s="3">
        <v>42908000</v>
      </c>
      <c r="H37" s="2">
        <v>1.4999999999999999E-2</v>
      </c>
      <c r="I37" s="17">
        <v>43800</v>
      </c>
      <c r="J37" s="17">
        <v>43830</v>
      </c>
      <c r="K37" s="3">
        <f>J37-I37+1</f>
        <v>31</v>
      </c>
      <c r="L37" s="3">
        <f>ROUND(G37*H37*K37/365,0)</f>
        <v>54664</v>
      </c>
      <c r="M37" s="3">
        <v>42908000</v>
      </c>
    </row>
    <row r="38" spans="1:13" s="16" customFormat="1" outlineLevel="2">
      <c r="A38" s="17" t="s">
        <v>42</v>
      </c>
      <c r="B38" s="18" t="s">
        <v>191</v>
      </c>
      <c r="C38" s="19" t="s">
        <v>163</v>
      </c>
      <c r="D38" s="18" t="s">
        <v>162</v>
      </c>
      <c r="E38" s="3">
        <v>17200000</v>
      </c>
      <c r="F38" s="17">
        <v>43770</v>
      </c>
      <c r="G38" s="3">
        <v>17200000</v>
      </c>
      <c r="H38" s="2">
        <v>5.0000000000000001E-3</v>
      </c>
      <c r="I38" s="17">
        <v>43800</v>
      </c>
      <c r="J38" s="17">
        <v>43830</v>
      </c>
      <c r="K38" s="3">
        <f>J38-I38+1</f>
        <v>31</v>
      </c>
      <c r="L38" s="3">
        <f>ROUND(G38*H38*K38/365,0)</f>
        <v>7304</v>
      </c>
      <c r="M38" s="3">
        <v>17200000</v>
      </c>
    </row>
    <row r="39" spans="1:13" s="16" customFormat="1" outlineLevel="2">
      <c r="A39" s="17" t="s">
        <v>42</v>
      </c>
      <c r="B39" s="18" t="s">
        <v>190</v>
      </c>
      <c r="C39" s="19" t="s">
        <v>163</v>
      </c>
      <c r="D39" s="18" t="s">
        <v>162</v>
      </c>
      <c r="E39" s="3">
        <v>49000000</v>
      </c>
      <c r="F39" s="17">
        <v>43777</v>
      </c>
      <c r="G39" s="3">
        <v>49000000</v>
      </c>
      <c r="H39" s="2">
        <v>5.0000000000000001E-3</v>
      </c>
      <c r="I39" s="17">
        <v>43800</v>
      </c>
      <c r="J39" s="17">
        <v>43830</v>
      </c>
      <c r="K39" s="3">
        <f>J39-I39+1</f>
        <v>31</v>
      </c>
      <c r="L39" s="3">
        <f>ROUND(G39*H39*K39/365,0)</f>
        <v>20808</v>
      </c>
      <c r="M39" s="3">
        <v>49000000</v>
      </c>
    </row>
    <row r="40" spans="1:13" s="16" customFormat="1" outlineLevel="2">
      <c r="A40" s="17" t="s">
        <v>42</v>
      </c>
      <c r="B40" s="18" t="s">
        <v>189</v>
      </c>
      <c r="C40" s="19" t="s">
        <v>183</v>
      </c>
      <c r="D40" s="18" t="s">
        <v>182</v>
      </c>
      <c r="E40" s="3">
        <v>6785067</v>
      </c>
      <c r="F40" s="17">
        <v>43773</v>
      </c>
      <c r="G40" s="3">
        <v>6785067</v>
      </c>
      <c r="H40" s="2">
        <v>5.0000000000000001E-3</v>
      </c>
      <c r="I40" s="17">
        <v>43800</v>
      </c>
      <c r="J40" s="17">
        <v>43830</v>
      </c>
      <c r="K40" s="3">
        <f>J40-I40+1</f>
        <v>31</v>
      </c>
      <c r="L40" s="3">
        <f>ROUND(G40*H40*K40/365,0)</f>
        <v>2881</v>
      </c>
      <c r="M40" s="3">
        <v>6785067</v>
      </c>
    </row>
    <row r="41" spans="1:13" s="16" customFormat="1" outlineLevel="2">
      <c r="A41" s="17" t="s">
        <v>42</v>
      </c>
      <c r="B41" s="18" t="s">
        <v>186</v>
      </c>
      <c r="C41" s="19" t="s">
        <v>183</v>
      </c>
      <c r="D41" s="18" t="s">
        <v>182</v>
      </c>
      <c r="E41" s="3">
        <v>10025250</v>
      </c>
      <c r="F41" s="17">
        <v>43784</v>
      </c>
      <c r="G41" s="3">
        <v>10025250</v>
      </c>
      <c r="H41" s="2">
        <v>5.0000000000000001E-3</v>
      </c>
      <c r="I41" s="17">
        <v>43800</v>
      </c>
      <c r="J41" s="17">
        <v>43830</v>
      </c>
      <c r="K41" s="3">
        <f>J41-I41+1</f>
        <v>31</v>
      </c>
      <c r="L41" s="3">
        <f>ROUND(G41*H41*K41/365,0)</f>
        <v>4257</v>
      </c>
      <c r="M41" s="3">
        <v>10025250</v>
      </c>
    </row>
    <row r="42" spans="1:13" s="16" customFormat="1" outlineLevel="2">
      <c r="A42" s="17" t="s">
        <v>42</v>
      </c>
      <c r="B42" s="18" t="s">
        <v>228</v>
      </c>
      <c r="C42" s="19" t="s">
        <v>278</v>
      </c>
      <c r="D42" s="18" t="s">
        <v>277</v>
      </c>
      <c r="E42" s="3">
        <v>6000000</v>
      </c>
      <c r="F42" s="17">
        <v>43784</v>
      </c>
      <c r="G42" s="3">
        <v>6000000</v>
      </c>
      <c r="H42" s="2">
        <v>5.0000000000000001E-3</v>
      </c>
      <c r="I42" s="17">
        <v>43800</v>
      </c>
      <c r="J42" s="17">
        <v>43830</v>
      </c>
      <c r="K42" s="3">
        <f>J42-I42+1</f>
        <v>31</v>
      </c>
      <c r="L42" s="3">
        <f>ROUND(G42*H42*K42/365,0)</f>
        <v>2548</v>
      </c>
      <c r="M42" s="3">
        <v>6000000</v>
      </c>
    </row>
    <row r="43" spans="1:13" s="16" customFormat="1" outlineLevel="2">
      <c r="A43" s="17" t="s">
        <v>42</v>
      </c>
      <c r="B43" s="18" t="s">
        <v>227</v>
      </c>
      <c r="C43" s="19" t="s">
        <v>185</v>
      </c>
      <c r="D43" s="18" t="s">
        <v>184</v>
      </c>
      <c r="E43" s="3">
        <v>4000000</v>
      </c>
      <c r="F43" s="17">
        <v>43809</v>
      </c>
      <c r="G43" s="3">
        <v>4000000</v>
      </c>
      <c r="H43" s="2">
        <v>5.0000000000000001E-3</v>
      </c>
      <c r="I43" s="17">
        <v>43809</v>
      </c>
      <c r="J43" s="17">
        <v>43830</v>
      </c>
      <c r="K43" s="3">
        <f>J43-I43+1</f>
        <v>22</v>
      </c>
      <c r="L43" s="3">
        <f>ROUND(G43*H43*K43/365,0)</f>
        <v>1205</v>
      </c>
      <c r="M43" s="3">
        <v>4000000</v>
      </c>
    </row>
    <row r="44" spans="1:13" s="16" customFormat="1" outlineLevel="2">
      <c r="A44" s="17" t="s">
        <v>42</v>
      </c>
      <c r="B44" s="18" t="s">
        <v>226</v>
      </c>
      <c r="C44" s="19" t="s">
        <v>185</v>
      </c>
      <c r="D44" s="18" t="s">
        <v>184</v>
      </c>
      <c r="E44" s="3">
        <v>56000000</v>
      </c>
      <c r="F44" s="17">
        <v>43819</v>
      </c>
      <c r="G44" s="3">
        <v>56000000</v>
      </c>
      <c r="H44" s="2">
        <v>5.0000000000000001E-3</v>
      </c>
      <c r="I44" s="17">
        <v>43819</v>
      </c>
      <c r="J44" s="17">
        <v>43830</v>
      </c>
      <c r="K44" s="3">
        <f>J44-I44+1</f>
        <v>12</v>
      </c>
      <c r="L44" s="3">
        <f>ROUND(G44*H44*K44/365,0)</f>
        <v>9205</v>
      </c>
      <c r="M44" s="3">
        <v>56000000</v>
      </c>
    </row>
    <row r="45" spans="1:13" s="16" customFormat="1" outlineLevel="2">
      <c r="A45" s="17" t="s">
        <v>42</v>
      </c>
      <c r="B45" s="18" t="s">
        <v>223</v>
      </c>
      <c r="C45" s="19" t="s">
        <v>54</v>
      </c>
      <c r="D45" s="18" t="s">
        <v>34</v>
      </c>
      <c r="E45" s="3">
        <v>24326000</v>
      </c>
      <c r="F45" s="17">
        <v>43804</v>
      </c>
      <c r="G45" s="3">
        <v>24326000</v>
      </c>
      <c r="H45" s="2">
        <v>1.4999999999999999E-2</v>
      </c>
      <c r="I45" s="17">
        <v>43804</v>
      </c>
      <c r="J45" s="17">
        <v>43830</v>
      </c>
      <c r="K45" s="3">
        <f>J45-I45+1</f>
        <v>27</v>
      </c>
      <c r="L45" s="3">
        <f>ROUND(G45*H45*K45/365,0)</f>
        <v>26992</v>
      </c>
      <c r="M45" s="3">
        <v>24326000</v>
      </c>
    </row>
    <row r="46" spans="1:13" s="16" customFormat="1" outlineLevel="2">
      <c r="A46" s="17" t="s">
        <v>42</v>
      </c>
      <c r="B46" s="18" t="s">
        <v>241</v>
      </c>
      <c r="C46" s="19" t="s">
        <v>225</v>
      </c>
      <c r="D46" s="18" t="s">
        <v>224</v>
      </c>
      <c r="E46" s="3">
        <v>25000000</v>
      </c>
      <c r="F46" s="17">
        <v>43819</v>
      </c>
      <c r="G46" s="3">
        <v>25000000</v>
      </c>
      <c r="H46" s="2">
        <v>5.0000000000000001E-3</v>
      </c>
      <c r="I46" s="17">
        <v>43819</v>
      </c>
      <c r="J46" s="17">
        <v>43830</v>
      </c>
      <c r="K46" s="3">
        <f>J46-I46+1</f>
        <v>12</v>
      </c>
      <c r="L46" s="3">
        <f>ROUND(G46*H46*K46/365,0)</f>
        <v>4110</v>
      </c>
      <c r="M46" s="3">
        <v>25000000</v>
      </c>
    </row>
    <row r="47" spans="1:13" s="16" customFormat="1" outlineLevel="2">
      <c r="A47" s="17" t="s">
        <v>42</v>
      </c>
      <c r="B47" s="18" t="s">
        <v>240</v>
      </c>
      <c r="C47" s="19" t="s">
        <v>308</v>
      </c>
      <c r="D47" s="18" t="s">
        <v>307</v>
      </c>
      <c r="E47" s="3">
        <v>4000000</v>
      </c>
      <c r="F47" s="17">
        <v>43819</v>
      </c>
      <c r="G47" s="3">
        <v>4000000</v>
      </c>
      <c r="H47" s="2">
        <v>5.0000000000000001E-3</v>
      </c>
      <c r="I47" s="17">
        <v>43819</v>
      </c>
      <c r="J47" s="17">
        <v>43830</v>
      </c>
      <c r="K47" s="3">
        <f>J47-I47+1</f>
        <v>12</v>
      </c>
      <c r="L47" s="3">
        <f>ROUND(G47*H47*K47/365,0)</f>
        <v>658</v>
      </c>
      <c r="M47" s="3">
        <v>4000000</v>
      </c>
    </row>
    <row r="48" spans="1:13" s="16" customFormat="1" outlineLevel="2">
      <c r="A48" s="17" t="s">
        <v>42</v>
      </c>
      <c r="B48" s="18" t="s">
        <v>48</v>
      </c>
      <c r="C48" s="19" t="s">
        <v>69</v>
      </c>
      <c r="D48" s="18" t="s">
        <v>68</v>
      </c>
      <c r="E48" s="3">
        <v>315000</v>
      </c>
      <c r="F48" s="17">
        <v>43644</v>
      </c>
      <c r="G48" s="3">
        <v>315000</v>
      </c>
      <c r="H48" s="2">
        <v>1.4999999999999999E-2</v>
      </c>
      <c r="I48" s="17">
        <v>43800</v>
      </c>
      <c r="J48" s="17">
        <v>43830</v>
      </c>
      <c r="K48" s="3">
        <f>J48-I48+1</f>
        <v>31</v>
      </c>
      <c r="L48" s="3">
        <f>ROUND(G48*H48*K48/365,0)</f>
        <v>401</v>
      </c>
      <c r="M48" s="3">
        <v>315000</v>
      </c>
    </row>
    <row r="49" spans="1:13" s="16" customFormat="1" outlineLevel="2">
      <c r="A49" s="17" t="s">
        <v>42</v>
      </c>
      <c r="B49" s="18" t="s">
        <v>239</v>
      </c>
      <c r="C49" s="19" t="s">
        <v>308</v>
      </c>
      <c r="D49" s="18" t="s">
        <v>307</v>
      </c>
      <c r="E49" s="3">
        <v>2100000</v>
      </c>
      <c r="F49" s="17">
        <v>43819</v>
      </c>
      <c r="G49" s="3">
        <v>2100000</v>
      </c>
      <c r="H49" s="2">
        <v>5.0000000000000001E-3</v>
      </c>
      <c r="I49" s="17">
        <v>43819</v>
      </c>
      <c r="J49" s="17">
        <v>43830</v>
      </c>
      <c r="K49" s="3">
        <f>J49-I49+1</f>
        <v>12</v>
      </c>
      <c r="L49" s="3">
        <f>ROUND(G49*H49*K49/365,0)</f>
        <v>345</v>
      </c>
      <c r="M49" s="3">
        <v>2100000</v>
      </c>
    </row>
    <row r="50" spans="1:13" s="16" customFormat="1" outlineLevel="2">
      <c r="A50" s="17" t="s">
        <v>42</v>
      </c>
      <c r="B50" s="18" t="s">
        <v>238</v>
      </c>
      <c r="C50" s="19" t="s">
        <v>402</v>
      </c>
      <c r="D50" s="18" t="s">
        <v>401</v>
      </c>
      <c r="E50" s="3">
        <v>305000000</v>
      </c>
      <c r="F50" s="17">
        <v>43830</v>
      </c>
      <c r="G50" s="3">
        <v>305000000</v>
      </c>
      <c r="H50" s="2">
        <v>5.0000000000000001E-3</v>
      </c>
      <c r="I50" s="17">
        <v>43830</v>
      </c>
      <c r="J50" s="17">
        <v>43830</v>
      </c>
      <c r="K50" s="3">
        <f>J50-I50+1</f>
        <v>1</v>
      </c>
      <c r="L50" s="3">
        <f>ROUND(G50*H50*K50/365,0)</f>
        <v>4178</v>
      </c>
      <c r="M50" s="3">
        <v>305000000</v>
      </c>
    </row>
    <row r="51" spans="1:13" s="16" customFormat="1" outlineLevel="2">
      <c r="A51" s="17" t="s">
        <v>42</v>
      </c>
      <c r="B51" s="18" t="s">
        <v>237</v>
      </c>
      <c r="C51" s="19" t="s">
        <v>402</v>
      </c>
      <c r="D51" s="18" t="s">
        <v>401</v>
      </c>
      <c r="E51" s="3">
        <v>56000000</v>
      </c>
      <c r="F51" s="17">
        <v>43830</v>
      </c>
      <c r="G51" s="3">
        <v>56000000</v>
      </c>
      <c r="H51" s="2">
        <v>5.0000000000000001E-3</v>
      </c>
      <c r="I51" s="17">
        <v>43830</v>
      </c>
      <c r="J51" s="17">
        <v>43830</v>
      </c>
      <c r="K51" s="3">
        <f>J51-I51+1</f>
        <v>1</v>
      </c>
      <c r="L51" s="3">
        <f>ROUND(G51*H51*K51/365,0)</f>
        <v>767</v>
      </c>
      <c r="M51" s="3">
        <v>56000000</v>
      </c>
    </row>
    <row r="52" spans="1:13" s="16" customFormat="1" outlineLevel="2">
      <c r="A52" s="17" t="s">
        <v>42</v>
      </c>
      <c r="B52" s="18" t="s">
        <v>236</v>
      </c>
      <c r="C52" s="19" t="s">
        <v>466</v>
      </c>
      <c r="D52" s="18" t="s">
        <v>465</v>
      </c>
      <c r="E52" s="3">
        <v>11500000</v>
      </c>
      <c r="F52" s="17">
        <v>43825</v>
      </c>
      <c r="G52" s="3">
        <v>11500000</v>
      </c>
      <c r="H52" s="2">
        <v>5.0000000000000001E-3</v>
      </c>
      <c r="I52" s="17">
        <v>43825</v>
      </c>
      <c r="J52" s="17">
        <v>43830</v>
      </c>
      <c r="K52" s="3">
        <f>J52-I52+1</f>
        <v>6</v>
      </c>
      <c r="L52" s="3">
        <f>ROUND(G52*H52*K52/365,0)</f>
        <v>945</v>
      </c>
      <c r="M52" s="3">
        <v>11500000</v>
      </c>
    </row>
    <row r="53" spans="1:13" s="16" customFormat="1" outlineLevel="2">
      <c r="A53" s="17" t="s">
        <v>42</v>
      </c>
      <c r="B53" s="18" t="s">
        <v>235</v>
      </c>
      <c r="C53" s="19" t="s">
        <v>320</v>
      </c>
      <c r="D53" s="18" t="s">
        <v>319</v>
      </c>
      <c r="E53" s="3">
        <v>7710000</v>
      </c>
      <c r="F53" s="17">
        <v>43823</v>
      </c>
      <c r="G53" s="3">
        <v>7710000</v>
      </c>
      <c r="H53" s="2">
        <v>1.4999999999999999E-2</v>
      </c>
      <c r="I53" s="17">
        <v>43823</v>
      </c>
      <c r="J53" s="17">
        <v>43830</v>
      </c>
      <c r="K53" s="3">
        <f>J53-I53+1</f>
        <v>8</v>
      </c>
      <c r="L53" s="3">
        <f>ROUND(G53*H53*K53/365,0)</f>
        <v>2535</v>
      </c>
      <c r="M53" s="3">
        <v>7710000</v>
      </c>
    </row>
    <row r="54" spans="1:13" s="16" customFormat="1" outlineLevel="2">
      <c r="A54" s="17" t="s">
        <v>42</v>
      </c>
      <c r="B54" s="18" t="s">
        <v>234</v>
      </c>
      <c r="C54" s="19" t="s">
        <v>356</v>
      </c>
      <c r="D54" s="18" t="s">
        <v>355</v>
      </c>
      <c r="E54" s="3">
        <v>34000000</v>
      </c>
      <c r="F54" s="17">
        <v>43819</v>
      </c>
      <c r="G54" s="3">
        <v>34000000</v>
      </c>
      <c r="H54" s="2">
        <v>5.0000000000000001E-3</v>
      </c>
      <c r="I54" s="17">
        <v>43819</v>
      </c>
      <c r="J54" s="17">
        <v>43830</v>
      </c>
      <c r="K54" s="3">
        <f>J54-I54+1</f>
        <v>12</v>
      </c>
      <c r="L54" s="3">
        <f>ROUND(G54*H54*K54/365,0)</f>
        <v>5589</v>
      </c>
      <c r="M54" s="3">
        <v>34000000</v>
      </c>
    </row>
    <row r="55" spans="1:13" s="16" customFormat="1" outlineLevel="2">
      <c r="A55" s="17" t="s">
        <v>42</v>
      </c>
      <c r="B55" s="18" t="s">
        <v>231</v>
      </c>
      <c r="C55" s="19" t="s">
        <v>163</v>
      </c>
      <c r="D55" s="18" t="s">
        <v>162</v>
      </c>
      <c r="E55" s="3">
        <v>35800000</v>
      </c>
      <c r="F55" s="17">
        <v>43801</v>
      </c>
      <c r="G55" s="3">
        <v>35800000</v>
      </c>
      <c r="H55" s="2">
        <v>5.0000000000000001E-3</v>
      </c>
      <c r="I55" s="17">
        <v>43801</v>
      </c>
      <c r="J55" s="17">
        <v>43830</v>
      </c>
      <c r="K55" s="3">
        <f>J55-I55+1</f>
        <v>30</v>
      </c>
      <c r="L55" s="3">
        <f>ROUND(G55*H55*K55/365,0)</f>
        <v>14712</v>
      </c>
      <c r="M55" s="3">
        <v>35800000</v>
      </c>
    </row>
    <row r="56" spans="1:13" s="16" customFormat="1" outlineLevel="2">
      <c r="A56" s="17" t="s">
        <v>42</v>
      </c>
      <c r="B56" s="18" t="s">
        <v>268</v>
      </c>
      <c r="C56" s="19" t="s">
        <v>392</v>
      </c>
      <c r="D56" s="18" t="s">
        <v>391</v>
      </c>
      <c r="E56" s="3">
        <v>20000000</v>
      </c>
      <c r="F56" s="17">
        <v>43824</v>
      </c>
      <c r="G56" s="3">
        <v>20000000</v>
      </c>
      <c r="H56" s="2">
        <v>5.0000000000000001E-3</v>
      </c>
      <c r="I56" s="17">
        <v>43824</v>
      </c>
      <c r="J56" s="17">
        <v>43830</v>
      </c>
      <c r="K56" s="3">
        <f>J56-I56+1</f>
        <v>7</v>
      </c>
      <c r="L56" s="3">
        <f>ROUND(G56*H56*K56/365,0)</f>
        <v>1918</v>
      </c>
      <c r="M56" s="3">
        <v>20000000</v>
      </c>
    </row>
    <row r="57" spans="1:13" s="16" customFormat="1" outlineLevel="2">
      <c r="A57" s="17" t="s">
        <v>42</v>
      </c>
      <c r="B57" s="18" t="s">
        <v>267</v>
      </c>
      <c r="C57" s="19" t="s">
        <v>183</v>
      </c>
      <c r="D57" s="18" t="s">
        <v>182</v>
      </c>
      <c r="E57" s="3">
        <v>9955046</v>
      </c>
      <c r="F57" s="17">
        <v>43815</v>
      </c>
      <c r="G57" s="3">
        <v>9955046</v>
      </c>
      <c r="H57" s="2">
        <v>5.0000000000000001E-3</v>
      </c>
      <c r="I57" s="17">
        <v>43815</v>
      </c>
      <c r="J57" s="17">
        <v>43830</v>
      </c>
      <c r="K57" s="3">
        <f>J57-I57+1</f>
        <v>16</v>
      </c>
      <c r="L57" s="3">
        <f>ROUND(G57*H57*K57/365,0)</f>
        <v>2182</v>
      </c>
      <c r="M57" s="3">
        <v>9955046</v>
      </c>
    </row>
    <row r="58" spans="1:13" s="16" customFormat="1" outlineLevel="2">
      <c r="A58" s="17" t="s">
        <v>42</v>
      </c>
      <c r="B58" s="18" t="s">
        <v>266</v>
      </c>
      <c r="C58" s="19" t="s">
        <v>464</v>
      </c>
      <c r="D58" s="18" t="s">
        <v>463</v>
      </c>
      <c r="E58" s="3">
        <v>10700000</v>
      </c>
      <c r="F58" s="17">
        <v>43829</v>
      </c>
      <c r="G58" s="3">
        <v>10700000</v>
      </c>
      <c r="H58" s="2">
        <v>1.4999999999999999E-2</v>
      </c>
      <c r="I58" s="17">
        <v>43829</v>
      </c>
      <c r="J58" s="17">
        <v>43830</v>
      </c>
      <c r="K58" s="3">
        <f>J58-I58+1</f>
        <v>2</v>
      </c>
      <c r="L58" s="3">
        <f>ROUND(G58*H58*K58/365,0)</f>
        <v>879</v>
      </c>
      <c r="M58" s="3">
        <v>10700000</v>
      </c>
    </row>
    <row r="59" spans="1:13" s="16" customFormat="1" outlineLevel="2">
      <c r="A59" s="17" t="s">
        <v>42</v>
      </c>
      <c r="B59" s="18" t="s">
        <v>47</v>
      </c>
      <c r="C59" s="19" t="s">
        <v>54</v>
      </c>
      <c r="D59" s="18" t="s">
        <v>34</v>
      </c>
      <c r="E59" s="3">
        <v>21895000</v>
      </c>
      <c r="F59" s="17">
        <v>43661</v>
      </c>
      <c r="G59" s="3">
        <v>21895000</v>
      </c>
      <c r="H59" s="2">
        <v>1.4999999999999999E-2</v>
      </c>
      <c r="I59" s="17">
        <v>43800</v>
      </c>
      <c r="J59" s="17">
        <v>43830</v>
      </c>
      <c r="K59" s="3">
        <f>J59-I59+1</f>
        <v>31</v>
      </c>
      <c r="L59" s="3">
        <f>ROUND(G59*H59*K59/365,0)</f>
        <v>27894</v>
      </c>
      <c r="M59" s="3">
        <v>21895000</v>
      </c>
    </row>
    <row r="60" spans="1:13" s="16" customFormat="1" outlineLevel="2">
      <c r="A60" s="17" t="s">
        <v>42</v>
      </c>
      <c r="B60" s="18" t="s">
        <v>263</v>
      </c>
      <c r="C60" s="19" t="s">
        <v>464</v>
      </c>
      <c r="D60" s="18" t="s">
        <v>463</v>
      </c>
      <c r="E60" s="3">
        <v>10300000</v>
      </c>
      <c r="F60" s="17">
        <v>43829</v>
      </c>
      <c r="G60" s="3">
        <v>10300000</v>
      </c>
      <c r="H60" s="2">
        <v>1.4999999999999999E-2</v>
      </c>
      <c r="I60" s="17">
        <v>43829</v>
      </c>
      <c r="J60" s="17">
        <v>43830</v>
      </c>
      <c r="K60" s="3">
        <f>J60-I60+1</f>
        <v>2</v>
      </c>
      <c r="L60" s="3">
        <f>ROUND(G60*H60*K60/365,0)</f>
        <v>847</v>
      </c>
      <c r="M60" s="3">
        <v>10300000</v>
      </c>
    </row>
    <row r="61" spans="1:13" s="16" customFormat="1" outlineLevel="2">
      <c r="A61" s="17" t="s">
        <v>42</v>
      </c>
      <c r="B61" s="18" t="s">
        <v>46</v>
      </c>
      <c r="C61" s="19" t="s">
        <v>221</v>
      </c>
      <c r="D61" s="18" t="s">
        <v>222</v>
      </c>
      <c r="E61" s="3">
        <v>865657</v>
      </c>
      <c r="F61" s="17">
        <v>43661</v>
      </c>
      <c r="G61" s="3">
        <v>807945</v>
      </c>
      <c r="H61" s="2">
        <v>1.4999999999999999E-2</v>
      </c>
      <c r="I61" s="17">
        <v>43800</v>
      </c>
      <c r="J61" s="17">
        <v>43814</v>
      </c>
      <c r="K61" s="3">
        <f>J61-I61+1</f>
        <v>15</v>
      </c>
      <c r="L61" s="3">
        <f>ROUND(G61*H61*K61/365,0)</f>
        <v>498</v>
      </c>
      <c r="M61" s="3">
        <v>793517</v>
      </c>
    </row>
    <row r="62" spans="1:13" s="16" customFormat="1" outlineLevel="2">
      <c r="A62" s="17" t="s">
        <v>42</v>
      </c>
      <c r="B62" s="18" t="s">
        <v>46</v>
      </c>
      <c r="C62" s="19" t="s">
        <v>221</v>
      </c>
      <c r="D62" s="18"/>
      <c r="E62" s="3"/>
      <c r="F62" s="17"/>
      <c r="G62" s="3">
        <v>793517</v>
      </c>
      <c r="H62" s="2">
        <v>1.4999999999999999E-2</v>
      </c>
      <c r="I62" s="17">
        <v>43815</v>
      </c>
      <c r="J62" s="17">
        <v>43830</v>
      </c>
      <c r="K62" s="3">
        <f>J62-I62+1</f>
        <v>16</v>
      </c>
      <c r="L62" s="3">
        <f>ROUND(G62*H62*K62/365,0)</f>
        <v>522</v>
      </c>
      <c r="M62" s="3"/>
    </row>
    <row r="63" spans="1:13" s="16" customFormat="1" outlineLevel="2">
      <c r="A63" s="17" t="s">
        <v>42</v>
      </c>
      <c r="B63" s="18" t="s">
        <v>45</v>
      </c>
      <c r="C63" s="19" t="s">
        <v>54</v>
      </c>
      <c r="D63" s="18" t="s">
        <v>34</v>
      </c>
      <c r="E63" s="3">
        <v>4116000</v>
      </c>
      <c r="F63" s="17">
        <v>43692</v>
      </c>
      <c r="G63" s="3">
        <v>4116000</v>
      </c>
      <c r="H63" s="2">
        <v>1.4999999999999999E-2</v>
      </c>
      <c r="I63" s="17">
        <v>43800</v>
      </c>
      <c r="J63" s="17">
        <v>43830</v>
      </c>
      <c r="K63" s="3">
        <f>J63-I63+1</f>
        <v>31</v>
      </c>
      <c r="L63" s="3">
        <f>ROUND(G63*H63*K63/365,0)</f>
        <v>5244</v>
      </c>
      <c r="M63" s="3">
        <v>4116000</v>
      </c>
    </row>
    <row r="64" spans="1:13" s="16" customFormat="1" outlineLevel="2">
      <c r="A64" s="17" t="s">
        <v>42</v>
      </c>
      <c r="B64" s="18" t="s">
        <v>44</v>
      </c>
      <c r="C64" s="19" t="s">
        <v>225</v>
      </c>
      <c r="D64" s="18" t="s">
        <v>224</v>
      </c>
      <c r="E64" s="3">
        <v>20000000</v>
      </c>
      <c r="F64" s="17">
        <v>43692</v>
      </c>
      <c r="G64" s="3">
        <v>20000000</v>
      </c>
      <c r="H64" s="2">
        <v>5.0000000000000001E-3</v>
      </c>
      <c r="I64" s="17">
        <v>43800</v>
      </c>
      <c r="J64" s="17">
        <v>43830</v>
      </c>
      <c r="K64" s="3">
        <f>J64-I64+1</f>
        <v>31</v>
      </c>
      <c r="L64" s="3">
        <f>ROUND(G64*H64*K64/365,0)</f>
        <v>8493</v>
      </c>
      <c r="M64" s="3">
        <v>20000000</v>
      </c>
    </row>
    <row r="65" spans="1:13" s="16" customFormat="1" outlineLevel="1">
      <c r="A65" s="28" t="s">
        <v>41</v>
      </c>
      <c r="B65" s="21"/>
      <c r="C65" s="22"/>
      <c r="D65" s="21"/>
      <c r="E65" s="23">
        <f>SUBTOTAL(9,E4:E64)</f>
        <v>2583519322</v>
      </c>
      <c r="F65" s="20"/>
      <c r="G65" s="23"/>
      <c r="H65" s="24"/>
      <c r="I65" s="20"/>
      <c r="J65" s="20"/>
      <c r="K65" s="23"/>
      <c r="L65" s="23">
        <f>SUBTOTAL(9,L4:L64)</f>
        <v>1206319</v>
      </c>
      <c r="M65" s="23">
        <f>SUBTOTAL(9,M4:M64)</f>
        <v>2583447182</v>
      </c>
    </row>
    <row r="66" spans="1:13" s="16" customFormat="1" outlineLevel="2">
      <c r="A66" s="17" t="s">
        <v>354</v>
      </c>
      <c r="B66" s="18" t="s">
        <v>17</v>
      </c>
      <c r="C66" s="19" t="s">
        <v>218</v>
      </c>
      <c r="D66" s="18" t="s">
        <v>219</v>
      </c>
      <c r="E66" s="3">
        <v>87650000</v>
      </c>
      <c r="F66" s="17">
        <v>43489</v>
      </c>
      <c r="G66" s="3">
        <v>87650000</v>
      </c>
      <c r="H66" s="2">
        <v>1.4999999999999999E-2</v>
      </c>
      <c r="I66" s="17">
        <v>43800</v>
      </c>
      <c r="J66" s="17">
        <v>43830</v>
      </c>
      <c r="K66" s="3">
        <f>J66-I66+1</f>
        <v>31</v>
      </c>
      <c r="L66" s="3">
        <f>ROUND(G66*H66*K66/365,0)</f>
        <v>111664</v>
      </c>
      <c r="M66" s="3">
        <v>87650000</v>
      </c>
    </row>
    <row r="67" spans="1:13" s="16" customFormat="1" outlineLevel="2">
      <c r="A67" s="17" t="s">
        <v>354</v>
      </c>
      <c r="B67" s="18" t="s">
        <v>181</v>
      </c>
      <c r="C67" s="19" t="s">
        <v>218</v>
      </c>
      <c r="D67" s="18" t="s">
        <v>219</v>
      </c>
      <c r="E67" s="3">
        <v>25000000</v>
      </c>
      <c r="F67" s="17">
        <v>43712</v>
      </c>
      <c r="G67" s="3">
        <v>25000000</v>
      </c>
      <c r="H67" s="2">
        <v>1.4999999999999999E-2</v>
      </c>
      <c r="I67" s="17">
        <v>43800</v>
      </c>
      <c r="J67" s="17">
        <v>43830</v>
      </c>
      <c r="K67" s="3">
        <f>J67-I67+1</f>
        <v>31</v>
      </c>
      <c r="L67" s="3">
        <f>ROUND(G67*H67*K67/365,0)</f>
        <v>31849</v>
      </c>
      <c r="M67" s="3">
        <v>25000000</v>
      </c>
    </row>
    <row r="68" spans="1:13" s="16" customFormat="1" outlineLevel="2">
      <c r="A68" s="17" t="s">
        <v>354</v>
      </c>
      <c r="B68" s="18" t="s">
        <v>180</v>
      </c>
      <c r="C68" s="19" t="s">
        <v>218</v>
      </c>
      <c r="D68" s="18" t="s">
        <v>219</v>
      </c>
      <c r="E68" s="3">
        <v>21000000</v>
      </c>
      <c r="F68" s="17">
        <v>43731</v>
      </c>
      <c r="G68" s="3">
        <v>21000000</v>
      </c>
      <c r="H68" s="2">
        <v>1.4999999999999999E-2</v>
      </c>
      <c r="I68" s="17">
        <v>43800</v>
      </c>
      <c r="J68" s="17">
        <v>43830</v>
      </c>
      <c r="K68" s="3">
        <f>J68-I68+1</f>
        <v>31</v>
      </c>
      <c r="L68" s="3">
        <f>ROUND(G68*H68*K68/365,0)</f>
        <v>26753</v>
      </c>
      <c r="M68" s="3">
        <v>21000000</v>
      </c>
    </row>
    <row r="69" spans="1:13" s="16" customFormat="1" outlineLevel="2">
      <c r="A69" s="17" t="s">
        <v>354</v>
      </c>
      <c r="B69" s="18" t="s">
        <v>179</v>
      </c>
      <c r="C69" s="19" t="s">
        <v>218</v>
      </c>
      <c r="D69" s="18" t="s">
        <v>219</v>
      </c>
      <c r="E69" s="3">
        <v>36000000</v>
      </c>
      <c r="F69" s="17">
        <v>43735</v>
      </c>
      <c r="G69" s="3">
        <v>36000000</v>
      </c>
      <c r="H69" s="2">
        <v>1.4999999999999999E-2</v>
      </c>
      <c r="I69" s="17">
        <v>43800</v>
      </c>
      <c r="J69" s="17">
        <v>43830</v>
      </c>
      <c r="K69" s="3">
        <f>J69-I69+1</f>
        <v>31</v>
      </c>
      <c r="L69" s="3">
        <f>ROUND(G69*H69*K69/365,0)</f>
        <v>45863</v>
      </c>
      <c r="M69" s="3">
        <v>36000000</v>
      </c>
    </row>
    <row r="70" spans="1:13" s="16" customFormat="1" outlineLevel="2">
      <c r="A70" s="17" t="s">
        <v>354</v>
      </c>
      <c r="B70" s="18" t="s">
        <v>178</v>
      </c>
      <c r="C70" s="19" t="s">
        <v>218</v>
      </c>
      <c r="D70" s="18" t="s">
        <v>219</v>
      </c>
      <c r="E70" s="3">
        <v>20000000</v>
      </c>
      <c r="F70" s="17">
        <v>43761</v>
      </c>
      <c r="G70" s="3">
        <v>20000000</v>
      </c>
      <c r="H70" s="2">
        <v>1.4999999999999999E-2</v>
      </c>
      <c r="I70" s="17">
        <v>43800</v>
      </c>
      <c r="J70" s="17">
        <v>43830</v>
      </c>
      <c r="K70" s="3">
        <f>J70-I70+1</f>
        <v>31</v>
      </c>
      <c r="L70" s="3">
        <f>ROUND(G70*H70*K70/365,0)</f>
        <v>25479</v>
      </c>
      <c r="M70" s="3">
        <v>20000000</v>
      </c>
    </row>
    <row r="71" spans="1:13" s="16" customFormat="1" outlineLevel="2">
      <c r="A71" s="17" t="s">
        <v>354</v>
      </c>
      <c r="B71" s="18" t="s">
        <v>177</v>
      </c>
      <c r="C71" s="19" t="s">
        <v>218</v>
      </c>
      <c r="D71" s="18" t="s">
        <v>219</v>
      </c>
      <c r="E71" s="3">
        <v>46000000</v>
      </c>
      <c r="F71" s="17">
        <v>43787</v>
      </c>
      <c r="G71" s="3">
        <v>46000000</v>
      </c>
      <c r="H71" s="2">
        <v>1.4999999999999999E-2</v>
      </c>
      <c r="I71" s="17">
        <v>43800</v>
      </c>
      <c r="J71" s="17">
        <v>43830</v>
      </c>
      <c r="K71" s="3">
        <f>J71-I71+1</f>
        <v>31</v>
      </c>
      <c r="L71" s="3">
        <f>ROUND(G71*H71*K71/365,0)</f>
        <v>58603</v>
      </c>
      <c r="M71" s="3">
        <v>46000000</v>
      </c>
    </row>
    <row r="72" spans="1:13" s="16" customFormat="1" outlineLevel="2">
      <c r="A72" s="17" t="s">
        <v>354</v>
      </c>
      <c r="B72" s="18" t="s">
        <v>176</v>
      </c>
      <c r="C72" s="19" t="s">
        <v>400</v>
      </c>
      <c r="D72" s="18" t="s">
        <v>399</v>
      </c>
      <c r="E72" s="3">
        <v>600000000</v>
      </c>
      <c r="F72" s="17">
        <v>43798</v>
      </c>
      <c r="G72" s="3">
        <v>600000000</v>
      </c>
      <c r="H72" s="2">
        <v>1E-3</v>
      </c>
      <c r="I72" s="17">
        <v>43800</v>
      </c>
      <c r="J72" s="17">
        <v>43830</v>
      </c>
      <c r="K72" s="3">
        <f>J72-I72+1</f>
        <v>31</v>
      </c>
      <c r="L72" s="3">
        <f>ROUND(G72*H72*K72/365,0)</f>
        <v>50959</v>
      </c>
      <c r="M72" s="3">
        <v>600000000</v>
      </c>
    </row>
    <row r="73" spans="1:13" s="16" customFormat="1" outlineLevel="2">
      <c r="A73" s="17" t="s">
        <v>354</v>
      </c>
      <c r="B73" s="18" t="s">
        <v>31</v>
      </c>
      <c r="C73" s="19" t="s">
        <v>218</v>
      </c>
      <c r="D73" s="18" t="s">
        <v>219</v>
      </c>
      <c r="E73" s="3">
        <v>39730000</v>
      </c>
      <c r="F73" s="17">
        <v>43543</v>
      </c>
      <c r="G73" s="3">
        <v>39730000</v>
      </c>
      <c r="H73" s="2">
        <v>1.4999999999999999E-2</v>
      </c>
      <c r="I73" s="17">
        <v>43800</v>
      </c>
      <c r="J73" s="17">
        <v>43830</v>
      </c>
      <c r="K73" s="3">
        <f>J73-I73+1</f>
        <v>31</v>
      </c>
      <c r="L73" s="3">
        <f>ROUND(G73*H73*K73/365,0)</f>
        <v>50615</v>
      </c>
      <c r="M73" s="3">
        <v>39730000</v>
      </c>
    </row>
    <row r="74" spans="1:13" s="16" customFormat="1" outlineLevel="2">
      <c r="A74" s="17" t="s">
        <v>354</v>
      </c>
      <c r="B74" s="18" t="s">
        <v>30</v>
      </c>
      <c r="C74" s="19" t="s">
        <v>218</v>
      </c>
      <c r="D74" s="18" t="s">
        <v>219</v>
      </c>
      <c r="E74" s="3">
        <v>54420000</v>
      </c>
      <c r="F74" s="17">
        <v>43553</v>
      </c>
      <c r="G74" s="3">
        <v>54420000</v>
      </c>
      <c r="H74" s="2">
        <v>1.4999999999999999E-2</v>
      </c>
      <c r="I74" s="17">
        <v>43800</v>
      </c>
      <c r="J74" s="17">
        <v>43830</v>
      </c>
      <c r="K74" s="3">
        <f>J74-I74+1</f>
        <v>31</v>
      </c>
      <c r="L74" s="3">
        <f>ROUND(G74*H74*K74/365,0)</f>
        <v>69330</v>
      </c>
      <c r="M74" s="3">
        <v>54420000</v>
      </c>
    </row>
    <row r="75" spans="1:13" s="16" customFormat="1" outlineLevel="2">
      <c r="A75" s="17" t="s">
        <v>354</v>
      </c>
      <c r="B75" s="18" t="s">
        <v>28</v>
      </c>
      <c r="C75" s="19" t="s">
        <v>218</v>
      </c>
      <c r="D75" s="18" t="s">
        <v>219</v>
      </c>
      <c r="E75" s="3">
        <v>29000000</v>
      </c>
      <c r="F75" s="17">
        <v>43602</v>
      </c>
      <c r="G75" s="3">
        <v>29000000</v>
      </c>
      <c r="H75" s="2">
        <v>1.4999999999999999E-2</v>
      </c>
      <c r="I75" s="17">
        <v>43800</v>
      </c>
      <c r="J75" s="17">
        <v>43830</v>
      </c>
      <c r="K75" s="3">
        <f>J75-I75+1</f>
        <v>31</v>
      </c>
      <c r="L75" s="3">
        <f>ROUND(G75*H75*K75/365,0)</f>
        <v>36945</v>
      </c>
      <c r="M75" s="3">
        <v>29000000</v>
      </c>
    </row>
    <row r="76" spans="1:13" s="16" customFormat="1" outlineLevel="2">
      <c r="A76" s="17" t="s">
        <v>354</v>
      </c>
      <c r="B76" s="18" t="s">
        <v>48</v>
      </c>
      <c r="C76" s="19" t="s">
        <v>218</v>
      </c>
      <c r="D76" s="18" t="s">
        <v>219</v>
      </c>
      <c r="E76" s="3">
        <v>22340000</v>
      </c>
      <c r="F76" s="17">
        <v>43612</v>
      </c>
      <c r="G76" s="3">
        <v>22340000</v>
      </c>
      <c r="H76" s="2">
        <v>1.4999999999999999E-2</v>
      </c>
      <c r="I76" s="17">
        <v>43800</v>
      </c>
      <c r="J76" s="17">
        <v>43830</v>
      </c>
      <c r="K76" s="3">
        <f>J76-I76+1</f>
        <v>31</v>
      </c>
      <c r="L76" s="3">
        <f>ROUND(G76*H76*K76/365,0)</f>
        <v>28461</v>
      </c>
      <c r="M76" s="3">
        <v>22340000</v>
      </c>
    </row>
    <row r="77" spans="1:13" s="16" customFormat="1" outlineLevel="2">
      <c r="A77" s="17" t="s">
        <v>354</v>
      </c>
      <c r="B77" s="18" t="s">
        <v>47</v>
      </c>
      <c r="C77" s="19" t="s">
        <v>218</v>
      </c>
      <c r="D77" s="18" t="s">
        <v>219</v>
      </c>
      <c r="E77" s="3">
        <v>20000000</v>
      </c>
      <c r="F77" s="17">
        <v>43627</v>
      </c>
      <c r="G77" s="3">
        <v>20000000</v>
      </c>
      <c r="H77" s="2">
        <v>1.4999999999999999E-2</v>
      </c>
      <c r="I77" s="17">
        <v>43800</v>
      </c>
      <c r="J77" s="17">
        <v>43830</v>
      </c>
      <c r="K77" s="3">
        <f>J77-I77+1</f>
        <v>31</v>
      </c>
      <c r="L77" s="3">
        <f>ROUND(G77*H77*K77/365,0)</f>
        <v>25479</v>
      </c>
      <c r="M77" s="3">
        <v>20000000</v>
      </c>
    </row>
    <row r="78" spans="1:13" s="16" customFormat="1" outlineLevel="2">
      <c r="A78" s="17" t="s">
        <v>354</v>
      </c>
      <c r="B78" s="18" t="s">
        <v>46</v>
      </c>
      <c r="C78" s="19" t="s">
        <v>218</v>
      </c>
      <c r="D78" s="18" t="s">
        <v>219</v>
      </c>
      <c r="E78" s="3">
        <v>36000000</v>
      </c>
      <c r="F78" s="17">
        <v>43642</v>
      </c>
      <c r="G78" s="3">
        <v>36000000</v>
      </c>
      <c r="H78" s="2">
        <v>1.4999999999999999E-2</v>
      </c>
      <c r="I78" s="17">
        <v>43800</v>
      </c>
      <c r="J78" s="17">
        <v>43830</v>
      </c>
      <c r="K78" s="3">
        <f>J78-I78+1</f>
        <v>31</v>
      </c>
      <c r="L78" s="3">
        <f>ROUND(G78*H78*K78/365,0)</f>
        <v>45863</v>
      </c>
      <c r="M78" s="3">
        <v>36000000</v>
      </c>
    </row>
    <row r="79" spans="1:13" s="16" customFormat="1" outlineLevel="2">
      <c r="A79" s="17" t="s">
        <v>354</v>
      </c>
      <c r="B79" s="18" t="s">
        <v>45</v>
      </c>
      <c r="C79" s="19" t="s">
        <v>218</v>
      </c>
      <c r="D79" s="18" t="s">
        <v>219</v>
      </c>
      <c r="E79" s="3">
        <v>16040000</v>
      </c>
      <c r="F79" s="17">
        <v>43663</v>
      </c>
      <c r="G79" s="3">
        <v>16040000</v>
      </c>
      <c r="H79" s="2">
        <v>1.4999999999999999E-2</v>
      </c>
      <c r="I79" s="17">
        <v>43800</v>
      </c>
      <c r="J79" s="17">
        <v>43830</v>
      </c>
      <c r="K79" s="3">
        <f>J79-I79+1</f>
        <v>31</v>
      </c>
      <c r="L79" s="3">
        <f>ROUND(G79*H79*K79/365,0)</f>
        <v>20435</v>
      </c>
      <c r="M79" s="3">
        <v>16040000</v>
      </c>
    </row>
    <row r="80" spans="1:13" s="16" customFormat="1" outlineLevel="2">
      <c r="A80" s="17" t="s">
        <v>354</v>
      </c>
      <c r="B80" s="18" t="s">
        <v>44</v>
      </c>
      <c r="C80" s="19" t="s">
        <v>218</v>
      </c>
      <c r="D80" s="18" t="s">
        <v>219</v>
      </c>
      <c r="E80" s="3">
        <v>15590000</v>
      </c>
      <c r="F80" s="17">
        <v>43678</v>
      </c>
      <c r="G80" s="3">
        <v>15590000</v>
      </c>
      <c r="H80" s="2">
        <v>1.4999999999999999E-2</v>
      </c>
      <c r="I80" s="17">
        <v>43800</v>
      </c>
      <c r="J80" s="17">
        <v>43830</v>
      </c>
      <c r="K80" s="3">
        <f>J80-I80+1</f>
        <v>31</v>
      </c>
      <c r="L80" s="3">
        <f>ROUND(G80*H80*K80/365,0)</f>
        <v>19861</v>
      </c>
      <c r="M80" s="3">
        <v>15590000</v>
      </c>
    </row>
    <row r="81" spans="1:13" s="16" customFormat="1" outlineLevel="1">
      <c r="A81" s="28" t="s">
        <v>353</v>
      </c>
      <c r="B81" s="21"/>
      <c r="C81" s="22"/>
      <c r="D81" s="21"/>
      <c r="E81" s="23">
        <f>SUBTOTAL(9,E66:E80)</f>
        <v>1068770000</v>
      </c>
      <c r="F81" s="20"/>
      <c r="G81" s="23"/>
      <c r="H81" s="24"/>
      <c r="I81" s="20"/>
      <c r="J81" s="20"/>
      <c r="K81" s="23"/>
      <c r="L81" s="23">
        <f>SUBTOTAL(9,L66:L80)</f>
        <v>648159</v>
      </c>
      <c r="M81" s="23">
        <f>SUBTOTAL(9,M66:M80)</f>
        <v>1068770000</v>
      </c>
    </row>
    <row r="82" spans="1:13" s="16" customFormat="1" outlineLevel="2">
      <c r="A82" s="17" t="s">
        <v>217</v>
      </c>
      <c r="B82" s="18" t="s">
        <v>17</v>
      </c>
      <c r="C82" s="19" t="s">
        <v>218</v>
      </c>
      <c r="D82" s="18" t="s">
        <v>219</v>
      </c>
      <c r="E82" s="3">
        <v>144000000</v>
      </c>
      <c r="F82" s="17">
        <v>43675</v>
      </c>
      <c r="G82" s="3">
        <v>137142856</v>
      </c>
      <c r="H82" s="2">
        <v>5.0000000000000001E-3</v>
      </c>
      <c r="I82" s="17">
        <v>43800</v>
      </c>
      <c r="J82" s="17">
        <v>43814</v>
      </c>
      <c r="K82" s="3">
        <f>J82-I82+1</f>
        <v>15</v>
      </c>
      <c r="L82" s="3">
        <f>ROUND(G82*H82*K82/365,0)</f>
        <v>28180</v>
      </c>
      <c r="M82" s="3">
        <v>135428570</v>
      </c>
    </row>
    <row r="83" spans="1:13" s="16" customFormat="1" outlineLevel="2">
      <c r="A83" s="17" t="s">
        <v>217</v>
      </c>
      <c r="B83" s="18" t="s">
        <v>17</v>
      </c>
      <c r="C83" s="19" t="s">
        <v>218</v>
      </c>
      <c r="D83" s="18"/>
      <c r="E83" s="3"/>
      <c r="F83" s="17"/>
      <c r="G83" s="3">
        <v>135428570</v>
      </c>
      <c r="H83" s="2">
        <v>5.0000000000000001E-3</v>
      </c>
      <c r="I83" s="17">
        <v>43815</v>
      </c>
      <c r="J83" s="17">
        <v>43830</v>
      </c>
      <c r="K83" s="3">
        <f>J83-I83+1</f>
        <v>16</v>
      </c>
      <c r="L83" s="3">
        <f>ROUND(G83*H83*K83/365,0)</f>
        <v>29683</v>
      </c>
      <c r="M83" s="3"/>
    </row>
    <row r="84" spans="1:13" s="16" customFormat="1" outlineLevel="2">
      <c r="A84" s="17" t="s">
        <v>217</v>
      </c>
      <c r="B84" s="18" t="s">
        <v>181</v>
      </c>
      <c r="C84" s="19" t="s">
        <v>58</v>
      </c>
      <c r="D84" s="18" t="s">
        <v>57</v>
      </c>
      <c r="E84" s="3">
        <v>37200000</v>
      </c>
      <c r="F84" s="17">
        <v>43815</v>
      </c>
      <c r="G84" s="3">
        <v>37200000</v>
      </c>
      <c r="H84" s="2">
        <v>5.0000000000000001E-3</v>
      </c>
      <c r="I84" s="17">
        <v>43815</v>
      </c>
      <c r="J84" s="17">
        <v>43830</v>
      </c>
      <c r="K84" s="3">
        <f>J84-I84+1</f>
        <v>16</v>
      </c>
      <c r="L84" s="3">
        <f>ROUND(G84*H84*K84/365,0)</f>
        <v>8153</v>
      </c>
      <c r="M84" s="3">
        <v>37200000</v>
      </c>
    </row>
    <row r="85" spans="1:13" s="16" customFormat="1" outlineLevel="2">
      <c r="A85" s="17" t="s">
        <v>217</v>
      </c>
      <c r="B85" s="18" t="s">
        <v>180</v>
      </c>
      <c r="C85" s="19" t="s">
        <v>210</v>
      </c>
      <c r="D85" s="18" t="s">
        <v>209</v>
      </c>
      <c r="E85" s="3">
        <v>15000000</v>
      </c>
      <c r="F85" s="17">
        <v>43804</v>
      </c>
      <c r="G85" s="3">
        <v>15000000</v>
      </c>
      <c r="H85" s="2">
        <v>5.0000000000000001E-3</v>
      </c>
      <c r="I85" s="17">
        <v>43804</v>
      </c>
      <c r="J85" s="17">
        <v>43814</v>
      </c>
      <c r="K85" s="3">
        <f>J85-I85+1</f>
        <v>11</v>
      </c>
      <c r="L85" s="3">
        <f>ROUND(G85*H85*K85/365,0)</f>
        <v>2260</v>
      </c>
      <c r="M85" s="3">
        <v>14817073</v>
      </c>
    </row>
    <row r="86" spans="1:13" s="16" customFormat="1" outlineLevel="2">
      <c r="A86" s="17" t="s">
        <v>217</v>
      </c>
      <c r="B86" s="18" t="s">
        <v>180</v>
      </c>
      <c r="C86" s="19" t="s">
        <v>210</v>
      </c>
      <c r="D86" s="18"/>
      <c r="E86" s="3"/>
      <c r="F86" s="17"/>
      <c r="G86" s="3">
        <v>14817073</v>
      </c>
      <c r="H86" s="2">
        <v>5.0000000000000001E-3</v>
      </c>
      <c r="I86" s="17">
        <v>43815</v>
      </c>
      <c r="J86" s="17">
        <v>43830</v>
      </c>
      <c r="K86" s="3">
        <f>J86-I86+1</f>
        <v>16</v>
      </c>
      <c r="L86" s="3">
        <f>ROUND(G86*H86*K86/365,0)</f>
        <v>3248</v>
      </c>
      <c r="M86" s="3"/>
    </row>
    <row r="87" spans="1:13" s="16" customFormat="1" outlineLevel="2">
      <c r="A87" s="17" t="s">
        <v>217</v>
      </c>
      <c r="B87" s="18" t="s">
        <v>179</v>
      </c>
      <c r="C87" s="19" t="s">
        <v>210</v>
      </c>
      <c r="D87" s="18" t="s">
        <v>209</v>
      </c>
      <c r="E87" s="3">
        <v>29000000</v>
      </c>
      <c r="F87" s="17">
        <v>43830</v>
      </c>
      <c r="G87" s="3">
        <v>29000000</v>
      </c>
      <c r="H87" s="2">
        <v>5.0000000000000001E-3</v>
      </c>
      <c r="I87" s="17">
        <v>43830</v>
      </c>
      <c r="J87" s="17">
        <v>43830</v>
      </c>
      <c r="K87" s="3">
        <f>J87-I87+1</f>
        <v>1</v>
      </c>
      <c r="L87" s="3">
        <f>ROUND(G87*H87*K87/365,0)</f>
        <v>397</v>
      </c>
      <c r="M87" s="3">
        <v>29000000</v>
      </c>
    </row>
    <row r="88" spans="1:13" s="16" customFormat="1" outlineLevel="2">
      <c r="A88" s="17" t="s">
        <v>217</v>
      </c>
      <c r="B88" s="18" t="s">
        <v>31</v>
      </c>
      <c r="C88" s="19" t="s">
        <v>58</v>
      </c>
      <c r="D88" s="18" t="s">
        <v>57</v>
      </c>
      <c r="E88" s="3">
        <v>140000000</v>
      </c>
      <c r="F88" s="17">
        <v>43692</v>
      </c>
      <c r="G88" s="3">
        <v>134999999</v>
      </c>
      <c r="H88" s="2">
        <v>5.0000000000000001E-3</v>
      </c>
      <c r="I88" s="17">
        <v>43800</v>
      </c>
      <c r="J88" s="17">
        <v>43814</v>
      </c>
      <c r="K88" s="3">
        <f>J88-I88+1</f>
        <v>15</v>
      </c>
      <c r="L88" s="3">
        <f>ROUND(G88*H88*K88/365,0)</f>
        <v>27740</v>
      </c>
      <c r="M88" s="3">
        <v>133333332</v>
      </c>
    </row>
    <row r="89" spans="1:13" s="16" customFormat="1" outlineLevel="2">
      <c r="A89" s="17" t="s">
        <v>217</v>
      </c>
      <c r="B89" s="18" t="s">
        <v>31</v>
      </c>
      <c r="C89" s="19" t="s">
        <v>58</v>
      </c>
      <c r="D89" s="18"/>
      <c r="E89" s="3"/>
      <c r="F89" s="17"/>
      <c r="G89" s="3">
        <v>133333332</v>
      </c>
      <c r="H89" s="2">
        <v>5.0000000000000001E-3</v>
      </c>
      <c r="I89" s="17">
        <v>43815</v>
      </c>
      <c r="J89" s="17">
        <v>43830</v>
      </c>
      <c r="K89" s="3">
        <f>J89-I89+1</f>
        <v>16</v>
      </c>
      <c r="L89" s="3">
        <f>ROUND(G89*H89*K89/365,0)</f>
        <v>29224</v>
      </c>
      <c r="M89" s="3"/>
    </row>
    <row r="90" spans="1:13" s="16" customFormat="1" outlineLevel="2">
      <c r="A90" s="17" t="s">
        <v>217</v>
      </c>
      <c r="B90" s="18" t="s">
        <v>30</v>
      </c>
      <c r="C90" s="19" t="s">
        <v>58</v>
      </c>
      <c r="D90" s="18" t="s">
        <v>57</v>
      </c>
      <c r="E90" s="3">
        <v>148848000</v>
      </c>
      <c r="F90" s="17">
        <v>43710</v>
      </c>
      <c r="G90" s="3">
        <v>148848000</v>
      </c>
      <c r="H90" s="2">
        <v>5.0000000000000001E-3</v>
      </c>
      <c r="I90" s="17">
        <v>43800</v>
      </c>
      <c r="J90" s="17">
        <v>43830</v>
      </c>
      <c r="K90" s="3">
        <f>J90-I90+1</f>
        <v>31</v>
      </c>
      <c r="L90" s="3">
        <f>ROUND(G90*H90*K90/365,0)</f>
        <v>63209</v>
      </c>
      <c r="M90" s="3">
        <v>148848000</v>
      </c>
    </row>
    <row r="91" spans="1:13" s="16" customFormat="1" outlineLevel="2">
      <c r="A91" s="17" t="s">
        <v>217</v>
      </c>
      <c r="B91" s="18" t="s">
        <v>28</v>
      </c>
      <c r="C91" s="19" t="s">
        <v>58</v>
      </c>
      <c r="D91" s="18" t="s">
        <v>57</v>
      </c>
      <c r="E91" s="3">
        <v>74400000</v>
      </c>
      <c r="F91" s="17">
        <v>43753</v>
      </c>
      <c r="G91" s="3">
        <v>74400000</v>
      </c>
      <c r="H91" s="2">
        <v>5.0000000000000001E-3</v>
      </c>
      <c r="I91" s="17">
        <v>43800</v>
      </c>
      <c r="J91" s="17">
        <v>43830</v>
      </c>
      <c r="K91" s="3">
        <f>J91-I91+1</f>
        <v>31</v>
      </c>
      <c r="L91" s="3">
        <f>ROUND(G91*H91*K91/365,0)</f>
        <v>31595</v>
      </c>
      <c r="M91" s="3">
        <v>74400000</v>
      </c>
    </row>
    <row r="92" spans="1:13" s="16" customFormat="1" outlineLevel="2">
      <c r="A92" s="17" t="s">
        <v>217</v>
      </c>
      <c r="B92" s="18" t="s">
        <v>48</v>
      </c>
      <c r="C92" s="19" t="s">
        <v>210</v>
      </c>
      <c r="D92" s="18" t="s">
        <v>209</v>
      </c>
      <c r="E92" s="3">
        <v>20000000</v>
      </c>
      <c r="F92" s="17">
        <v>43739</v>
      </c>
      <c r="G92" s="3">
        <v>19523808</v>
      </c>
      <c r="H92" s="2">
        <v>5.0000000000000001E-3</v>
      </c>
      <c r="I92" s="17">
        <v>43800</v>
      </c>
      <c r="J92" s="17">
        <v>43814</v>
      </c>
      <c r="K92" s="3">
        <f>J92-I92+1</f>
        <v>15</v>
      </c>
      <c r="L92" s="3">
        <f>ROUND(G92*H92*K92/365,0)</f>
        <v>4012</v>
      </c>
      <c r="M92" s="3">
        <v>19285712</v>
      </c>
    </row>
    <row r="93" spans="1:13" s="16" customFormat="1" outlineLevel="2">
      <c r="A93" s="17" t="s">
        <v>217</v>
      </c>
      <c r="B93" s="18" t="s">
        <v>48</v>
      </c>
      <c r="C93" s="19" t="s">
        <v>210</v>
      </c>
      <c r="D93" s="18"/>
      <c r="E93" s="3"/>
      <c r="F93" s="17"/>
      <c r="G93" s="3">
        <v>19285712</v>
      </c>
      <c r="H93" s="2">
        <v>5.0000000000000001E-3</v>
      </c>
      <c r="I93" s="17">
        <v>43815</v>
      </c>
      <c r="J93" s="17">
        <v>43830</v>
      </c>
      <c r="K93" s="3">
        <f>J93-I93+1</f>
        <v>16</v>
      </c>
      <c r="L93" s="3">
        <f>ROUND(G93*H93*K93/365,0)</f>
        <v>4227</v>
      </c>
      <c r="M93" s="3"/>
    </row>
    <row r="94" spans="1:13" s="16" customFormat="1" outlineLevel="2">
      <c r="A94" s="17" t="s">
        <v>217</v>
      </c>
      <c r="B94" s="18" t="s">
        <v>47</v>
      </c>
      <c r="C94" s="19" t="s">
        <v>210</v>
      </c>
      <c r="D94" s="18" t="s">
        <v>209</v>
      </c>
      <c r="E94" s="3">
        <v>10400000</v>
      </c>
      <c r="F94" s="17">
        <v>43762</v>
      </c>
      <c r="G94" s="3">
        <v>10274699</v>
      </c>
      <c r="H94" s="2">
        <v>5.0000000000000001E-3</v>
      </c>
      <c r="I94" s="17">
        <v>43800</v>
      </c>
      <c r="J94" s="17">
        <v>43814</v>
      </c>
      <c r="K94" s="3">
        <f>J94-I94+1</f>
        <v>15</v>
      </c>
      <c r="L94" s="3">
        <f>ROUND(G94*H94*K94/365,0)</f>
        <v>2111</v>
      </c>
      <c r="M94" s="3">
        <v>10149398</v>
      </c>
    </row>
    <row r="95" spans="1:13" s="16" customFormat="1" outlineLevel="2">
      <c r="A95" s="17" t="s">
        <v>217</v>
      </c>
      <c r="B95" s="18" t="s">
        <v>47</v>
      </c>
      <c r="C95" s="19" t="s">
        <v>210</v>
      </c>
      <c r="D95" s="18"/>
      <c r="E95" s="3"/>
      <c r="F95" s="17"/>
      <c r="G95" s="3">
        <v>10149398</v>
      </c>
      <c r="H95" s="2">
        <v>5.0000000000000001E-3</v>
      </c>
      <c r="I95" s="17">
        <v>43815</v>
      </c>
      <c r="J95" s="17">
        <v>43830</v>
      </c>
      <c r="K95" s="3">
        <f>J95-I95+1</f>
        <v>16</v>
      </c>
      <c r="L95" s="3">
        <f>ROUND(G95*H95*K95/365,0)</f>
        <v>2225</v>
      </c>
      <c r="M95" s="3"/>
    </row>
    <row r="96" spans="1:13" s="16" customFormat="1" outlineLevel="2">
      <c r="A96" s="17" t="s">
        <v>217</v>
      </c>
      <c r="B96" s="18" t="s">
        <v>46</v>
      </c>
      <c r="C96" s="19" t="s">
        <v>398</v>
      </c>
      <c r="D96" s="18" t="s">
        <v>397</v>
      </c>
      <c r="E96" s="3">
        <v>143000000</v>
      </c>
      <c r="F96" s="17">
        <v>43797</v>
      </c>
      <c r="G96" s="3">
        <v>143000000</v>
      </c>
      <c r="H96" s="2">
        <v>5.0000000000000001E-3</v>
      </c>
      <c r="I96" s="17">
        <v>43800</v>
      </c>
      <c r="J96" s="17">
        <v>43830</v>
      </c>
      <c r="K96" s="3">
        <f>J96-I96+1</f>
        <v>31</v>
      </c>
      <c r="L96" s="3">
        <f>ROUND(G96*H96*K96/365,0)</f>
        <v>60726</v>
      </c>
      <c r="M96" s="3">
        <v>143000000</v>
      </c>
    </row>
    <row r="97" spans="1:13" s="16" customFormat="1" outlineLevel="2">
      <c r="A97" s="17" t="s">
        <v>217</v>
      </c>
      <c r="B97" s="18" t="s">
        <v>45</v>
      </c>
      <c r="C97" s="19" t="s">
        <v>356</v>
      </c>
      <c r="D97" s="18" t="s">
        <v>355</v>
      </c>
      <c r="E97" s="3">
        <v>25000000</v>
      </c>
      <c r="F97" s="17">
        <v>43797</v>
      </c>
      <c r="G97" s="3">
        <v>25000000</v>
      </c>
      <c r="H97" s="2">
        <v>5.0000000000000001E-3</v>
      </c>
      <c r="I97" s="17">
        <v>43800</v>
      </c>
      <c r="J97" s="17">
        <v>43830</v>
      </c>
      <c r="K97" s="3">
        <f>J97-I97+1</f>
        <v>31</v>
      </c>
      <c r="L97" s="3">
        <f>ROUND(G97*H97*K97/365,0)</f>
        <v>10616</v>
      </c>
      <c r="M97" s="3">
        <v>25000000</v>
      </c>
    </row>
    <row r="98" spans="1:13" s="16" customFormat="1" outlineLevel="2">
      <c r="A98" s="17" t="s">
        <v>217</v>
      </c>
      <c r="B98" s="18" t="s">
        <v>44</v>
      </c>
      <c r="C98" s="19" t="s">
        <v>210</v>
      </c>
      <c r="D98" s="18" t="s">
        <v>209</v>
      </c>
      <c r="E98" s="3">
        <v>20000000</v>
      </c>
      <c r="F98" s="17">
        <v>43774</v>
      </c>
      <c r="G98" s="3">
        <v>19759036</v>
      </c>
      <c r="H98" s="2">
        <v>5.0000000000000001E-3</v>
      </c>
      <c r="I98" s="17">
        <v>43800</v>
      </c>
      <c r="J98" s="17">
        <v>43814</v>
      </c>
      <c r="K98" s="3">
        <f>J98-I98+1</f>
        <v>15</v>
      </c>
      <c r="L98" s="3">
        <f>ROUND(G98*H98*K98/365,0)</f>
        <v>4060</v>
      </c>
      <c r="M98" s="3">
        <v>19518072</v>
      </c>
    </row>
    <row r="99" spans="1:13" s="16" customFormat="1" outlineLevel="2">
      <c r="A99" s="17" t="s">
        <v>217</v>
      </c>
      <c r="B99" s="18" t="s">
        <v>44</v>
      </c>
      <c r="C99" s="19" t="s">
        <v>210</v>
      </c>
      <c r="D99" s="18"/>
      <c r="E99" s="3"/>
      <c r="F99" s="17"/>
      <c r="G99" s="3">
        <v>19518072</v>
      </c>
      <c r="H99" s="2">
        <v>5.0000000000000001E-3</v>
      </c>
      <c r="I99" s="17">
        <v>43815</v>
      </c>
      <c r="J99" s="17">
        <v>43830</v>
      </c>
      <c r="K99" s="3">
        <f>J99-I99+1</f>
        <v>16</v>
      </c>
      <c r="L99" s="3">
        <f>ROUND(G99*H99*K99/365,0)</f>
        <v>4278</v>
      </c>
      <c r="M99" s="3"/>
    </row>
    <row r="100" spans="1:13" s="16" customFormat="1" outlineLevel="1">
      <c r="A100" s="28" t="s">
        <v>137</v>
      </c>
      <c r="B100" s="21"/>
      <c r="C100" s="22"/>
      <c r="D100" s="21"/>
      <c r="E100" s="23">
        <f>SUBTOTAL(9,E82:E99)</f>
        <v>806848000</v>
      </c>
      <c r="F100" s="20"/>
      <c r="G100" s="23"/>
      <c r="H100" s="24"/>
      <c r="I100" s="20"/>
      <c r="J100" s="20"/>
      <c r="K100" s="23"/>
      <c r="L100" s="23">
        <f>SUBTOTAL(9,L82:L99)</f>
        <v>315944</v>
      </c>
      <c r="M100" s="23">
        <f>SUBTOTAL(9,M82:M99)</f>
        <v>789980157</v>
      </c>
    </row>
    <row r="101" spans="1:13" s="16" customFormat="1" outlineLevel="2">
      <c r="A101" s="17" t="s">
        <v>213</v>
      </c>
      <c r="B101" s="18" t="s">
        <v>17</v>
      </c>
      <c r="C101" s="19" t="s">
        <v>58</v>
      </c>
      <c r="D101" s="18" t="s">
        <v>57</v>
      </c>
      <c r="E101" s="3">
        <v>200000000</v>
      </c>
      <c r="F101" s="17">
        <v>43664</v>
      </c>
      <c r="G101" s="3">
        <v>190476192</v>
      </c>
      <c r="H101" s="2">
        <v>1.4999999999999999E-2</v>
      </c>
      <c r="I101" s="17">
        <v>43800</v>
      </c>
      <c r="J101" s="17">
        <v>43814</v>
      </c>
      <c r="K101" s="3">
        <f>J101-I101+1</f>
        <v>15</v>
      </c>
      <c r="L101" s="3">
        <f>ROUND(G101*H101*K101/365,0)</f>
        <v>117417</v>
      </c>
      <c r="M101" s="3">
        <v>188095240</v>
      </c>
    </row>
    <row r="102" spans="1:13" s="16" customFormat="1" outlineLevel="2">
      <c r="A102" s="17" t="s">
        <v>213</v>
      </c>
      <c r="B102" s="18" t="s">
        <v>17</v>
      </c>
      <c r="C102" s="19" t="s">
        <v>58</v>
      </c>
      <c r="D102" s="18"/>
      <c r="E102" s="3"/>
      <c r="F102" s="17"/>
      <c r="G102" s="3">
        <v>188095240</v>
      </c>
      <c r="H102" s="2">
        <v>1.4999999999999999E-2</v>
      </c>
      <c r="I102" s="17">
        <v>43815</v>
      </c>
      <c r="J102" s="17">
        <v>43830</v>
      </c>
      <c r="K102" s="3">
        <f>J102-I102+1</f>
        <v>16</v>
      </c>
      <c r="L102" s="3">
        <f>ROUND(G102*H102*K102/365,0)</f>
        <v>123679</v>
      </c>
      <c r="M102" s="3"/>
    </row>
    <row r="103" spans="1:13" s="16" customFormat="1" outlineLevel="2">
      <c r="A103" s="17" t="s">
        <v>213</v>
      </c>
      <c r="B103" s="18" t="s">
        <v>181</v>
      </c>
      <c r="C103" s="19" t="s">
        <v>284</v>
      </c>
      <c r="D103" s="18" t="s">
        <v>283</v>
      </c>
      <c r="E103" s="3">
        <v>267200</v>
      </c>
      <c r="F103" s="17">
        <v>43714</v>
      </c>
      <c r="G103" s="3">
        <v>267200</v>
      </c>
      <c r="H103" s="2">
        <v>5.0000000000000001E-3</v>
      </c>
      <c r="I103" s="17">
        <v>43800</v>
      </c>
      <c r="J103" s="17">
        <v>43830</v>
      </c>
      <c r="K103" s="3">
        <f>J103-I103+1</f>
        <v>31</v>
      </c>
      <c r="L103" s="3">
        <f>ROUND(G103*H103*K103/365,0)</f>
        <v>113</v>
      </c>
      <c r="M103" s="3">
        <v>267200</v>
      </c>
    </row>
    <row r="104" spans="1:13" s="16" customFormat="1" outlineLevel="2">
      <c r="A104" s="17" t="s">
        <v>213</v>
      </c>
      <c r="B104" s="18" t="s">
        <v>180</v>
      </c>
      <c r="C104" s="19" t="s">
        <v>280</v>
      </c>
      <c r="D104" s="18" t="s">
        <v>279</v>
      </c>
      <c r="E104" s="3">
        <v>40000000</v>
      </c>
      <c r="F104" s="17">
        <v>43734</v>
      </c>
      <c r="G104" s="3">
        <v>40000000</v>
      </c>
      <c r="H104" s="2">
        <v>5.0000000000000001E-3</v>
      </c>
      <c r="I104" s="17">
        <v>43800</v>
      </c>
      <c r="J104" s="17">
        <v>43830</v>
      </c>
      <c r="K104" s="3">
        <f>J104-I104+1</f>
        <v>31</v>
      </c>
      <c r="L104" s="3">
        <f>ROUND(G104*H104*K104/365,0)</f>
        <v>16986</v>
      </c>
      <c r="M104" s="3">
        <v>40000000</v>
      </c>
    </row>
    <row r="105" spans="1:13" s="16" customFormat="1" outlineLevel="2">
      <c r="A105" s="17" t="s">
        <v>213</v>
      </c>
      <c r="B105" s="18" t="s">
        <v>179</v>
      </c>
      <c r="C105" s="19" t="s">
        <v>253</v>
      </c>
      <c r="D105" s="18" t="s">
        <v>252</v>
      </c>
      <c r="E105" s="3">
        <v>90000000</v>
      </c>
      <c r="F105" s="17">
        <v>43735</v>
      </c>
      <c r="G105" s="3">
        <v>90000000</v>
      </c>
      <c r="H105" s="2">
        <v>5.0000000000000001E-3</v>
      </c>
      <c r="I105" s="17">
        <v>43800</v>
      </c>
      <c r="J105" s="17">
        <v>43830</v>
      </c>
      <c r="K105" s="3">
        <f>J105-I105+1</f>
        <v>31</v>
      </c>
      <c r="L105" s="3">
        <f>ROUND(G105*H105*K105/365,0)</f>
        <v>38219</v>
      </c>
      <c r="M105" s="3">
        <v>90000000</v>
      </c>
    </row>
    <row r="106" spans="1:13" s="16" customFormat="1" outlineLevel="2">
      <c r="A106" s="17" t="s">
        <v>213</v>
      </c>
      <c r="B106" s="18" t="s">
        <v>178</v>
      </c>
      <c r="C106" s="19" t="s">
        <v>253</v>
      </c>
      <c r="D106" s="18" t="s">
        <v>252</v>
      </c>
      <c r="E106" s="3">
        <v>30000000</v>
      </c>
      <c r="F106" s="17">
        <v>43735</v>
      </c>
      <c r="G106" s="3">
        <v>30000000</v>
      </c>
      <c r="H106" s="2">
        <v>5.0000000000000001E-3</v>
      </c>
      <c r="I106" s="17">
        <v>43800</v>
      </c>
      <c r="J106" s="17">
        <v>43830</v>
      </c>
      <c r="K106" s="3">
        <f>J106-I106+1</f>
        <v>31</v>
      </c>
      <c r="L106" s="3">
        <f>ROUND(G106*H106*K106/365,0)</f>
        <v>12740</v>
      </c>
      <c r="M106" s="3">
        <v>30000000</v>
      </c>
    </row>
    <row r="107" spans="1:13" s="16" customFormat="1" outlineLevel="2">
      <c r="A107" s="17" t="s">
        <v>213</v>
      </c>
      <c r="B107" s="18" t="s">
        <v>177</v>
      </c>
      <c r="C107" s="19" t="s">
        <v>280</v>
      </c>
      <c r="D107" s="18" t="s">
        <v>279</v>
      </c>
      <c r="E107" s="3">
        <v>300000000</v>
      </c>
      <c r="F107" s="17">
        <v>43742</v>
      </c>
      <c r="G107" s="3">
        <v>300000000</v>
      </c>
      <c r="H107" s="2">
        <v>5.0000000000000001E-3</v>
      </c>
      <c r="I107" s="17">
        <v>43800</v>
      </c>
      <c r="J107" s="17">
        <v>43830</v>
      </c>
      <c r="K107" s="3">
        <f>J107-I107+1</f>
        <v>31</v>
      </c>
      <c r="L107" s="3">
        <f>ROUND(G107*H107*K107/365,0)</f>
        <v>127397</v>
      </c>
      <c r="M107" s="3">
        <v>300000000</v>
      </c>
    </row>
    <row r="108" spans="1:13" s="16" customFormat="1" outlineLevel="2">
      <c r="A108" s="17" t="s">
        <v>213</v>
      </c>
      <c r="B108" s="18" t="s">
        <v>176</v>
      </c>
      <c r="C108" s="19" t="s">
        <v>280</v>
      </c>
      <c r="D108" s="18" t="s">
        <v>279</v>
      </c>
      <c r="E108" s="3">
        <v>36000000</v>
      </c>
      <c r="F108" s="17">
        <v>43763</v>
      </c>
      <c r="G108" s="3">
        <v>36000000</v>
      </c>
      <c r="H108" s="2">
        <v>5.0000000000000001E-3</v>
      </c>
      <c r="I108" s="17">
        <v>43800</v>
      </c>
      <c r="J108" s="17">
        <v>43830</v>
      </c>
      <c r="K108" s="3">
        <f>J108-I108+1</f>
        <v>31</v>
      </c>
      <c r="L108" s="3">
        <f>ROUND(G108*H108*K108/365,0)</f>
        <v>15288</v>
      </c>
      <c r="M108" s="3">
        <v>36000000</v>
      </c>
    </row>
    <row r="109" spans="1:13" s="16" customFormat="1" outlineLevel="2">
      <c r="A109" s="17" t="s">
        <v>213</v>
      </c>
      <c r="B109" s="18" t="s">
        <v>175</v>
      </c>
      <c r="C109" s="19" t="s">
        <v>286</v>
      </c>
      <c r="D109" s="18" t="s">
        <v>285</v>
      </c>
      <c r="E109" s="3">
        <v>50000000</v>
      </c>
      <c r="F109" s="17">
        <v>43742</v>
      </c>
      <c r="G109" s="3">
        <v>50000000</v>
      </c>
      <c r="H109" s="2">
        <v>5.0000000000000001E-3</v>
      </c>
      <c r="I109" s="17">
        <v>43800</v>
      </c>
      <c r="J109" s="17">
        <v>43830</v>
      </c>
      <c r="K109" s="3">
        <f>J109-I109+1</f>
        <v>31</v>
      </c>
      <c r="L109" s="3">
        <f>ROUND(G109*H109*K109/365,0)</f>
        <v>21233</v>
      </c>
      <c r="M109" s="3">
        <v>50000000</v>
      </c>
    </row>
    <row r="110" spans="1:13" s="16" customFormat="1" outlineLevel="2">
      <c r="A110" s="17" t="s">
        <v>213</v>
      </c>
      <c r="B110" s="18" t="s">
        <v>174</v>
      </c>
      <c r="C110" s="19" t="s">
        <v>352</v>
      </c>
      <c r="D110" s="18" t="s">
        <v>351</v>
      </c>
      <c r="E110" s="3">
        <v>21800000</v>
      </c>
      <c r="F110" s="17">
        <v>43742</v>
      </c>
      <c r="G110" s="3">
        <v>21800000</v>
      </c>
      <c r="H110" s="2">
        <v>1.4999999999999999E-2</v>
      </c>
      <c r="I110" s="17">
        <v>43800</v>
      </c>
      <c r="J110" s="17">
        <v>43830</v>
      </c>
      <c r="K110" s="3">
        <f>J110-I110+1</f>
        <v>31</v>
      </c>
      <c r="L110" s="3">
        <f>ROUND(G110*H110*K110/365,0)</f>
        <v>27773</v>
      </c>
      <c r="M110" s="3">
        <v>21800000</v>
      </c>
    </row>
    <row r="111" spans="1:13" s="16" customFormat="1" outlineLevel="2">
      <c r="A111" s="17" t="s">
        <v>213</v>
      </c>
      <c r="B111" s="18" t="s">
        <v>171</v>
      </c>
      <c r="C111" s="19" t="s">
        <v>352</v>
      </c>
      <c r="D111" s="18" t="s">
        <v>351</v>
      </c>
      <c r="E111" s="3">
        <v>5500000</v>
      </c>
      <c r="F111" s="17">
        <v>43742</v>
      </c>
      <c r="G111" s="3">
        <v>5500000</v>
      </c>
      <c r="H111" s="2">
        <v>1.4999999999999999E-2</v>
      </c>
      <c r="I111" s="17">
        <v>43800</v>
      </c>
      <c r="J111" s="17">
        <v>43830</v>
      </c>
      <c r="K111" s="3">
        <f>J111-I111+1</f>
        <v>31</v>
      </c>
      <c r="L111" s="3">
        <f>ROUND(G111*H111*K111/365,0)</f>
        <v>7007</v>
      </c>
      <c r="M111" s="3">
        <v>5500000</v>
      </c>
    </row>
    <row r="112" spans="1:13" s="16" customFormat="1" outlineLevel="2">
      <c r="A112" s="17" t="s">
        <v>213</v>
      </c>
      <c r="B112" s="18" t="s">
        <v>170</v>
      </c>
      <c r="C112" s="19" t="s">
        <v>344</v>
      </c>
      <c r="D112" s="18" t="s">
        <v>343</v>
      </c>
      <c r="E112" s="3">
        <v>42000000</v>
      </c>
      <c r="F112" s="17">
        <v>43767</v>
      </c>
      <c r="G112" s="3">
        <v>42000000</v>
      </c>
      <c r="H112" s="2">
        <v>5.0000000000000001E-3</v>
      </c>
      <c r="I112" s="17">
        <v>43800</v>
      </c>
      <c r="J112" s="17">
        <v>43830</v>
      </c>
      <c r="K112" s="3">
        <f>J112-I112+1</f>
        <v>31</v>
      </c>
      <c r="L112" s="3">
        <f>ROUND(G112*H112*K112/365,0)</f>
        <v>17836</v>
      </c>
      <c r="M112" s="3">
        <v>42000000</v>
      </c>
    </row>
    <row r="113" spans="1:13" s="16" customFormat="1" outlineLevel="2">
      <c r="A113" s="17" t="s">
        <v>213</v>
      </c>
      <c r="B113" s="18" t="s">
        <v>31</v>
      </c>
      <c r="C113" s="19" t="s">
        <v>58</v>
      </c>
      <c r="D113" s="18" t="s">
        <v>57</v>
      </c>
      <c r="E113" s="3">
        <v>100000000</v>
      </c>
      <c r="F113" s="17">
        <v>43683</v>
      </c>
      <c r="G113" s="3">
        <v>95238096</v>
      </c>
      <c r="H113" s="2">
        <v>1.4999999999999999E-2</v>
      </c>
      <c r="I113" s="17">
        <v>43800</v>
      </c>
      <c r="J113" s="17">
        <v>43814</v>
      </c>
      <c r="K113" s="3">
        <f>J113-I113+1</f>
        <v>15</v>
      </c>
      <c r="L113" s="3">
        <f>ROUND(G113*H113*K113/365,0)</f>
        <v>58708</v>
      </c>
      <c r="M113" s="3">
        <v>94047620</v>
      </c>
    </row>
    <row r="114" spans="1:13" s="16" customFormat="1" outlineLevel="2">
      <c r="A114" s="17" t="s">
        <v>213</v>
      </c>
      <c r="B114" s="18" t="s">
        <v>31</v>
      </c>
      <c r="C114" s="19" t="s">
        <v>58</v>
      </c>
      <c r="D114" s="18"/>
      <c r="E114" s="3"/>
      <c r="F114" s="17"/>
      <c r="G114" s="3">
        <v>94047620</v>
      </c>
      <c r="H114" s="2">
        <v>1.4999999999999999E-2</v>
      </c>
      <c r="I114" s="17">
        <v>43815</v>
      </c>
      <c r="J114" s="17">
        <v>43830</v>
      </c>
      <c r="K114" s="3">
        <f>J114-I114+1</f>
        <v>16</v>
      </c>
      <c r="L114" s="3">
        <f>ROUND(G114*H114*K114/365,0)</f>
        <v>61840</v>
      </c>
      <c r="M114" s="3"/>
    </row>
    <row r="115" spans="1:13" s="16" customFormat="1" outlineLevel="2">
      <c r="A115" s="17" t="s">
        <v>213</v>
      </c>
      <c r="B115" s="18" t="s">
        <v>169</v>
      </c>
      <c r="C115" s="19" t="s">
        <v>284</v>
      </c>
      <c r="D115" s="18" t="s">
        <v>283</v>
      </c>
      <c r="E115" s="3">
        <v>39400000</v>
      </c>
      <c r="F115" s="17">
        <v>43739</v>
      </c>
      <c r="G115" s="3">
        <v>39400000</v>
      </c>
      <c r="H115" s="2">
        <v>5.0000000000000001E-3</v>
      </c>
      <c r="I115" s="17">
        <v>43800</v>
      </c>
      <c r="J115" s="17">
        <v>43830</v>
      </c>
      <c r="K115" s="3">
        <f>J115-I115+1</f>
        <v>31</v>
      </c>
      <c r="L115" s="3">
        <f>ROUND(G115*H115*K115/365,0)</f>
        <v>16732</v>
      </c>
      <c r="M115" s="3">
        <v>39400000</v>
      </c>
    </row>
    <row r="116" spans="1:13" s="16" customFormat="1" outlineLevel="2">
      <c r="A116" s="17" t="s">
        <v>213</v>
      </c>
      <c r="B116" s="18" t="s">
        <v>168</v>
      </c>
      <c r="C116" s="19" t="s">
        <v>284</v>
      </c>
      <c r="D116" s="18" t="s">
        <v>283</v>
      </c>
      <c r="E116" s="3">
        <v>4902778</v>
      </c>
      <c r="F116" s="17">
        <v>43739</v>
      </c>
      <c r="G116" s="3">
        <v>4902778</v>
      </c>
      <c r="H116" s="2">
        <v>5.0000000000000001E-3</v>
      </c>
      <c r="I116" s="17">
        <v>43800</v>
      </c>
      <c r="J116" s="17">
        <v>43830</v>
      </c>
      <c r="K116" s="3">
        <f>J116-I116+1</f>
        <v>31</v>
      </c>
      <c r="L116" s="3">
        <f>ROUND(G116*H116*K116/365,0)</f>
        <v>2082</v>
      </c>
      <c r="M116" s="3">
        <v>4902778</v>
      </c>
    </row>
    <row r="117" spans="1:13" s="16" customFormat="1" outlineLevel="2">
      <c r="A117" s="17" t="s">
        <v>213</v>
      </c>
      <c r="B117" s="18" t="s">
        <v>167</v>
      </c>
      <c r="C117" s="19" t="s">
        <v>286</v>
      </c>
      <c r="D117" s="18" t="s">
        <v>285</v>
      </c>
      <c r="E117" s="3">
        <v>40000000</v>
      </c>
      <c r="F117" s="17">
        <v>43770</v>
      </c>
      <c r="G117" s="3">
        <v>40000000</v>
      </c>
      <c r="H117" s="2">
        <v>5.0000000000000001E-3</v>
      </c>
      <c r="I117" s="17">
        <v>43800</v>
      </c>
      <c r="J117" s="17">
        <v>43830</v>
      </c>
      <c r="K117" s="3">
        <f>J117-I117+1</f>
        <v>31</v>
      </c>
      <c r="L117" s="3">
        <f>ROUND(G117*H117*K117/365,0)</f>
        <v>16986</v>
      </c>
      <c r="M117" s="3">
        <v>40000000</v>
      </c>
    </row>
    <row r="118" spans="1:13" s="16" customFormat="1" outlineLevel="2">
      <c r="A118" s="17" t="s">
        <v>213</v>
      </c>
      <c r="B118" s="18" t="s">
        <v>166</v>
      </c>
      <c r="C118" s="19" t="s">
        <v>253</v>
      </c>
      <c r="D118" s="18" t="s">
        <v>252</v>
      </c>
      <c r="E118" s="3">
        <v>11000000</v>
      </c>
      <c r="F118" s="17">
        <v>43773</v>
      </c>
      <c r="G118" s="3">
        <v>11000000</v>
      </c>
      <c r="H118" s="2">
        <v>5.0000000000000001E-3</v>
      </c>
      <c r="I118" s="17">
        <v>43800</v>
      </c>
      <c r="J118" s="17">
        <v>43830</v>
      </c>
      <c r="K118" s="3">
        <f>J118-I118+1</f>
        <v>31</v>
      </c>
      <c r="L118" s="3">
        <f>ROUND(G118*H118*K118/365,0)</f>
        <v>4671</v>
      </c>
      <c r="M118" s="3">
        <v>11000000</v>
      </c>
    </row>
    <row r="119" spans="1:13" s="16" customFormat="1" outlineLevel="2">
      <c r="A119" s="17" t="s">
        <v>213</v>
      </c>
      <c r="B119" s="18" t="s">
        <v>165</v>
      </c>
      <c r="C119" s="19" t="s">
        <v>253</v>
      </c>
      <c r="D119" s="18" t="s">
        <v>252</v>
      </c>
      <c r="E119" s="3">
        <v>43000000</v>
      </c>
      <c r="F119" s="17">
        <v>43773</v>
      </c>
      <c r="G119" s="3">
        <v>43000000</v>
      </c>
      <c r="H119" s="2">
        <v>5.0000000000000001E-3</v>
      </c>
      <c r="I119" s="17">
        <v>43800</v>
      </c>
      <c r="J119" s="17">
        <v>43830</v>
      </c>
      <c r="K119" s="3">
        <f>J119-I119+1</f>
        <v>31</v>
      </c>
      <c r="L119" s="3">
        <f>ROUND(G119*H119*K119/365,0)</f>
        <v>18260</v>
      </c>
      <c r="M119" s="3">
        <v>43000000</v>
      </c>
    </row>
    <row r="120" spans="1:13" s="16" customFormat="1" outlineLevel="2">
      <c r="A120" s="17" t="s">
        <v>213</v>
      </c>
      <c r="B120" s="18" t="s">
        <v>164</v>
      </c>
      <c r="C120" s="19" t="s">
        <v>280</v>
      </c>
      <c r="D120" s="18" t="s">
        <v>279</v>
      </c>
      <c r="E120" s="3">
        <v>350000000</v>
      </c>
      <c r="F120" s="17">
        <v>43775</v>
      </c>
      <c r="G120" s="3">
        <v>350000000</v>
      </c>
      <c r="H120" s="2">
        <v>5.0000000000000001E-3</v>
      </c>
      <c r="I120" s="17">
        <v>43800</v>
      </c>
      <c r="J120" s="17">
        <v>43830</v>
      </c>
      <c r="K120" s="3">
        <f>J120-I120+1</f>
        <v>31</v>
      </c>
      <c r="L120" s="3">
        <f>ROUND(G120*H120*K120/365,0)</f>
        <v>148630</v>
      </c>
      <c r="M120" s="3">
        <v>350000000</v>
      </c>
    </row>
    <row r="121" spans="1:13" s="16" customFormat="1" outlineLevel="2">
      <c r="A121" s="17" t="s">
        <v>213</v>
      </c>
      <c r="B121" s="18" t="s">
        <v>161</v>
      </c>
      <c r="C121" s="19" t="s">
        <v>245</v>
      </c>
      <c r="D121" s="18" t="s">
        <v>244</v>
      </c>
      <c r="E121" s="3">
        <v>100000000</v>
      </c>
      <c r="F121" s="17">
        <v>43776</v>
      </c>
      <c r="G121" s="3">
        <v>100000000</v>
      </c>
      <c r="H121" s="2">
        <v>5.0000000000000001E-3</v>
      </c>
      <c r="I121" s="17">
        <v>43800</v>
      </c>
      <c r="J121" s="17">
        <v>43830</v>
      </c>
      <c r="K121" s="3">
        <f>J121-I121+1</f>
        <v>31</v>
      </c>
      <c r="L121" s="3">
        <f>ROUND(G121*H121*K121/365,0)</f>
        <v>42466</v>
      </c>
      <c r="M121" s="3">
        <v>100000000</v>
      </c>
    </row>
    <row r="122" spans="1:13" s="16" customFormat="1" outlineLevel="2">
      <c r="A122" s="17" t="s">
        <v>213</v>
      </c>
      <c r="B122" s="18" t="s">
        <v>160</v>
      </c>
      <c r="C122" s="19" t="s">
        <v>352</v>
      </c>
      <c r="D122" s="18" t="s">
        <v>351</v>
      </c>
      <c r="E122" s="3">
        <v>22000000</v>
      </c>
      <c r="F122" s="17">
        <v>43773</v>
      </c>
      <c r="G122" s="3">
        <v>22000000</v>
      </c>
      <c r="H122" s="2">
        <v>1.4999999999999999E-2</v>
      </c>
      <c r="I122" s="17">
        <v>43800</v>
      </c>
      <c r="J122" s="17">
        <v>43830</v>
      </c>
      <c r="K122" s="3">
        <f>J122-I122+1</f>
        <v>31</v>
      </c>
      <c r="L122" s="3">
        <f>ROUND(G122*H122*K122/365,0)</f>
        <v>28027</v>
      </c>
      <c r="M122" s="3">
        <v>22000000</v>
      </c>
    </row>
    <row r="123" spans="1:13" s="16" customFormat="1" outlineLevel="2">
      <c r="A123" s="17" t="s">
        <v>213</v>
      </c>
      <c r="B123" s="18" t="s">
        <v>157</v>
      </c>
      <c r="C123" s="19" t="s">
        <v>352</v>
      </c>
      <c r="D123" s="18" t="s">
        <v>351</v>
      </c>
      <c r="E123" s="3">
        <v>5500000</v>
      </c>
      <c r="F123" s="17">
        <v>43776</v>
      </c>
      <c r="G123" s="3">
        <v>5500000</v>
      </c>
      <c r="H123" s="2">
        <v>1.4999999999999999E-2</v>
      </c>
      <c r="I123" s="17">
        <v>43800</v>
      </c>
      <c r="J123" s="17">
        <v>43830</v>
      </c>
      <c r="K123" s="3">
        <f>J123-I123+1</f>
        <v>31</v>
      </c>
      <c r="L123" s="3">
        <f>ROUND(G123*H123*K123/365,0)</f>
        <v>7007</v>
      </c>
      <c r="M123" s="3">
        <v>5500000</v>
      </c>
    </row>
    <row r="124" spans="1:13" s="16" customFormat="1" outlineLevel="2">
      <c r="A124" s="17" t="s">
        <v>213</v>
      </c>
      <c r="B124" s="18" t="s">
        <v>156</v>
      </c>
      <c r="C124" s="19" t="s">
        <v>329</v>
      </c>
      <c r="D124" s="18" t="s">
        <v>328</v>
      </c>
      <c r="E124" s="3">
        <v>140000000</v>
      </c>
      <c r="F124" s="17">
        <v>43784</v>
      </c>
      <c r="G124" s="3">
        <v>140000000</v>
      </c>
      <c r="H124" s="2">
        <v>5.0000000000000001E-3</v>
      </c>
      <c r="I124" s="17">
        <v>43800</v>
      </c>
      <c r="J124" s="17">
        <v>43830</v>
      </c>
      <c r="K124" s="3">
        <f>J124-I124+1</f>
        <v>31</v>
      </c>
      <c r="L124" s="3">
        <f>ROUND(G124*H124*K124/365,0)</f>
        <v>59452</v>
      </c>
      <c r="M124" s="3">
        <v>140000000</v>
      </c>
    </row>
    <row r="125" spans="1:13" s="16" customFormat="1" outlineLevel="2">
      <c r="A125" s="17" t="s">
        <v>213</v>
      </c>
      <c r="B125" s="18" t="s">
        <v>30</v>
      </c>
      <c r="C125" s="19" t="s">
        <v>214</v>
      </c>
      <c r="D125" s="18" t="s">
        <v>215</v>
      </c>
      <c r="E125" s="3">
        <v>16000000</v>
      </c>
      <c r="F125" s="17">
        <v>43671</v>
      </c>
      <c r="G125" s="3">
        <v>16000000</v>
      </c>
      <c r="H125" s="2">
        <v>1.4999999999999999E-2</v>
      </c>
      <c r="I125" s="17">
        <v>43800</v>
      </c>
      <c r="J125" s="17">
        <v>43830</v>
      </c>
      <c r="K125" s="3">
        <f>J125-I125+1</f>
        <v>31</v>
      </c>
      <c r="L125" s="3">
        <f>ROUND(G125*H125*K125/365,0)</f>
        <v>20384</v>
      </c>
      <c r="M125" s="3">
        <v>16000000</v>
      </c>
    </row>
    <row r="126" spans="1:13" s="16" customFormat="1" outlineLevel="2">
      <c r="A126" s="17" t="s">
        <v>213</v>
      </c>
      <c r="B126" s="18" t="s">
        <v>155</v>
      </c>
      <c r="C126" s="19" t="s">
        <v>329</v>
      </c>
      <c r="D126" s="18" t="s">
        <v>328</v>
      </c>
      <c r="E126" s="3">
        <v>300000000</v>
      </c>
      <c r="F126" s="17">
        <v>43784</v>
      </c>
      <c r="G126" s="3">
        <v>300000000</v>
      </c>
      <c r="H126" s="2">
        <v>3.0000000000000001E-3</v>
      </c>
      <c r="I126" s="17">
        <v>43800</v>
      </c>
      <c r="J126" s="17">
        <v>43830</v>
      </c>
      <c r="K126" s="3">
        <f>J126-I126+1</f>
        <v>31</v>
      </c>
      <c r="L126" s="3">
        <f>ROUND(G126*H126*K126/365,0)</f>
        <v>76438</v>
      </c>
      <c r="M126" s="3">
        <v>300000000</v>
      </c>
    </row>
    <row r="127" spans="1:13" s="16" customFormat="1" outlineLevel="2">
      <c r="A127" s="17" t="s">
        <v>213</v>
      </c>
      <c r="B127" s="18" t="s">
        <v>154</v>
      </c>
      <c r="C127" s="19" t="s">
        <v>344</v>
      </c>
      <c r="D127" s="18" t="s">
        <v>343</v>
      </c>
      <c r="E127" s="3">
        <v>19000000</v>
      </c>
      <c r="F127" s="17">
        <v>43791</v>
      </c>
      <c r="G127" s="3">
        <v>19000000</v>
      </c>
      <c r="H127" s="2">
        <v>5.0000000000000001E-3</v>
      </c>
      <c r="I127" s="17">
        <v>43800</v>
      </c>
      <c r="J127" s="17">
        <v>43830</v>
      </c>
      <c r="K127" s="3">
        <f>J127-I127+1</f>
        <v>31</v>
      </c>
      <c r="L127" s="3">
        <f>ROUND(G127*H127*K127/365,0)</f>
        <v>8068</v>
      </c>
      <c r="M127" s="3">
        <v>19000000</v>
      </c>
    </row>
    <row r="128" spans="1:13" s="16" customFormat="1" outlineLevel="2">
      <c r="A128" s="17" t="s">
        <v>213</v>
      </c>
      <c r="B128" s="18" t="s">
        <v>153</v>
      </c>
      <c r="C128" s="19" t="s">
        <v>183</v>
      </c>
      <c r="D128" s="18" t="s">
        <v>182</v>
      </c>
      <c r="E128" s="3">
        <v>9562777</v>
      </c>
      <c r="F128" s="17">
        <v>43795</v>
      </c>
      <c r="G128" s="3">
        <v>9562777</v>
      </c>
      <c r="H128" s="2">
        <v>5.0000000000000001E-3</v>
      </c>
      <c r="I128" s="17">
        <v>43800</v>
      </c>
      <c r="J128" s="17">
        <v>43830</v>
      </c>
      <c r="K128" s="3">
        <f>J128-I128+1</f>
        <v>31</v>
      </c>
      <c r="L128" s="3">
        <f>ROUND(G128*H128*K128/365,0)</f>
        <v>4061</v>
      </c>
      <c r="M128" s="3">
        <v>9562777</v>
      </c>
    </row>
    <row r="129" spans="1:13" s="16" customFormat="1" outlineLevel="2">
      <c r="A129" s="17" t="s">
        <v>213</v>
      </c>
      <c r="B129" s="18" t="s">
        <v>152</v>
      </c>
      <c r="C129" s="19" t="s">
        <v>396</v>
      </c>
      <c r="D129" s="18" t="s">
        <v>395</v>
      </c>
      <c r="E129" s="3">
        <v>33973800</v>
      </c>
      <c r="F129" s="17">
        <v>43796</v>
      </c>
      <c r="G129" s="3">
        <v>33973800</v>
      </c>
      <c r="H129" s="2">
        <v>5.0000000000000001E-3</v>
      </c>
      <c r="I129" s="17">
        <v>43800</v>
      </c>
      <c r="J129" s="17">
        <v>43830</v>
      </c>
      <c r="K129" s="3">
        <f>J129-I129+1</f>
        <v>31</v>
      </c>
      <c r="L129" s="3">
        <f>ROUND(G129*H129*K129/365,0)</f>
        <v>14427</v>
      </c>
      <c r="M129" s="3">
        <v>33973800</v>
      </c>
    </row>
    <row r="130" spans="1:13" s="16" customFormat="1" outlineLevel="2">
      <c r="A130" s="17" t="s">
        <v>213</v>
      </c>
      <c r="B130" s="18" t="s">
        <v>151</v>
      </c>
      <c r="C130" s="19" t="s">
        <v>183</v>
      </c>
      <c r="D130" s="18" t="s">
        <v>182</v>
      </c>
      <c r="E130" s="3">
        <v>9937237</v>
      </c>
      <c r="F130" s="17">
        <v>43801</v>
      </c>
      <c r="G130" s="3">
        <v>9937237</v>
      </c>
      <c r="H130" s="2">
        <v>5.0000000000000001E-3</v>
      </c>
      <c r="I130" s="17">
        <v>43801</v>
      </c>
      <c r="J130" s="17">
        <v>43830</v>
      </c>
      <c r="K130" s="3">
        <f>J130-I130+1</f>
        <v>30</v>
      </c>
      <c r="L130" s="3">
        <f>ROUND(G130*H130*K130/365,0)</f>
        <v>4084</v>
      </c>
      <c r="M130" s="3">
        <v>9937237</v>
      </c>
    </row>
    <row r="131" spans="1:13" s="16" customFormat="1" outlineLevel="2">
      <c r="A131" s="17" t="s">
        <v>213</v>
      </c>
      <c r="B131" s="18" t="s">
        <v>196</v>
      </c>
      <c r="C131" s="19" t="s">
        <v>352</v>
      </c>
      <c r="D131" s="18" t="s">
        <v>351</v>
      </c>
      <c r="E131" s="3">
        <v>25200000</v>
      </c>
      <c r="F131" s="17">
        <v>43803</v>
      </c>
      <c r="G131" s="3">
        <v>25200000</v>
      </c>
      <c r="H131" s="2">
        <v>1.4999999999999999E-2</v>
      </c>
      <c r="I131" s="17">
        <v>43803</v>
      </c>
      <c r="J131" s="17">
        <v>43830</v>
      </c>
      <c r="K131" s="3">
        <f>J131-I131+1</f>
        <v>28</v>
      </c>
      <c r="L131" s="3">
        <f>ROUND(G131*H131*K131/365,0)</f>
        <v>28997</v>
      </c>
      <c r="M131" s="3">
        <v>25200000</v>
      </c>
    </row>
    <row r="132" spans="1:13" s="16" customFormat="1" outlineLevel="2">
      <c r="A132" s="17" t="s">
        <v>213</v>
      </c>
      <c r="B132" s="18" t="s">
        <v>195</v>
      </c>
      <c r="C132" s="19" t="s">
        <v>253</v>
      </c>
      <c r="D132" s="18" t="s">
        <v>252</v>
      </c>
      <c r="E132" s="3">
        <v>67000000</v>
      </c>
      <c r="F132" s="17">
        <v>43803</v>
      </c>
      <c r="G132" s="3">
        <v>67000000</v>
      </c>
      <c r="H132" s="2">
        <v>5.0000000000000001E-3</v>
      </c>
      <c r="I132" s="17">
        <v>43803</v>
      </c>
      <c r="J132" s="17">
        <v>43830</v>
      </c>
      <c r="K132" s="3">
        <f>J132-I132+1</f>
        <v>28</v>
      </c>
      <c r="L132" s="3">
        <f>ROUND(G132*H132*K132/365,0)</f>
        <v>25699</v>
      </c>
      <c r="M132" s="3">
        <v>67000000</v>
      </c>
    </row>
    <row r="133" spans="1:13" s="16" customFormat="1" outlineLevel="2">
      <c r="A133" s="17" t="s">
        <v>213</v>
      </c>
      <c r="B133" s="18" t="s">
        <v>194</v>
      </c>
      <c r="C133" s="19" t="s">
        <v>245</v>
      </c>
      <c r="D133" s="18" t="s">
        <v>244</v>
      </c>
      <c r="E133" s="3">
        <v>50000000</v>
      </c>
      <c r="F133" s="17">
        <v>43804</v>
      </c>
      <c r="G133" s="3">
        <v>50000000</v>
      </c>
      <c r="H133" s="2">
        <v>5.0000000000000001E-3</v>
      </c>
      <c r="I133" s="17">
        <v>43804</v>
      </c>
      <c r="J133" s="17">
        <v>43830</v>
      </c>
      <c r="K133" s="3">
        <f>J133-I133+1</f>
        <v>27</v>
      </c>
      <c r="L133" s="3">
        <f>ROUND(G133*H133*K133/365,0)</f>
        <v>18493</v>
      </c>
      <c r="M133" s="3">
        <v>50000000</v>
      </c>
    </row>
    <row r="134" spans="1:13" s="16" customFormat="1" outlineLevel="2">
      <c r="A134" s="17" t="s">
        <v>213</v>
      </c>
      <c r="B134" s="18" t="s">
        <v>193</v>
      </c>
      <c r="C134" s="19" t="s">
        <v>245</v>
      </c>
      <c r="D134" s="18" t="s">
        <v>244</v>
      </c>
      <c r="E134" s="3">
        <v>200000000</v>
      </c>
      <c r="F134" s="17">
        <v>43810</v>
      </c>
      <c r="G134" s="3">
        <v>200000000</v>
      </c>
      <c r="H134" s="2">
        <v>5.0000000000000001E-3</v>
      </c>
      <c r="I134" s="17">
        <v>43810</v>
      </c>
      <c r="J134" s="17">
        <v>43830</v>
      </c>
      <c r="K134" s="3">
        <f>J134-I134+1</f>
        <v>21</v>
      </c>
      <c r="L134" s="3">
        <f>ROUND(G134*H134*K134/365,0)</f>
        <v>57534</v>
      </c>
      <c r="M134" s="3">
        <v>200000000</v>
      </c>
    </row>
    <row r="135" spans="1:13" s="16" customFormat="1" outlineLevel="2">
      <c r="A135" s="17" t="s">
        <v>213</v>
      </c>
      <c r="B135" s="18" t="s">
        <v>192</v>
      </c>
      <c r="C135" s="19" t="s">
        <v>280</v>
      </c>
      <c r="D135" s="18" t="s">
        <v>279</v>
      </c>
      <c r="E135" s="3">
        <v>74000000</v>
      </c>
      <c r="F135" s="17">
        <v>43805</v>
      </c>
      <c r="G135" s="3">
        <v>74000000</v>
      </c>
      <c r="H135" s="2">
        <v>5.0000000000000001E-3</v>
      </c>
      <c r="I135" s="17">
        <v>43805</v>
      </c>
      <c r="J135" s="17">
        <v>43830</v>
      </c>
      <c r="K135" s="3">
        <f>J135-I135+1</f>
        <v>26</v>
      </c>
      <c r="L135" s="3">
        <f>ROUND(G135*H135*K135/365,0)</f>
        <v>26356</v>
      </c>
      <c r="M135" s="3">
        <v>74000000</v>
      </c>
    </row>
    <row r="136" spans="1:13" s="16" customFormat="1" outlineLevel="2">
      <c r="A136" s="17" t="s">
        <v>213</v>
      </c>
      <c r="B136" s="18" t="s">
        <v>28</v>
      </c>
      <c r="C136" s="19" t="s">
        <v>163</v>
      </c>
      <c r="D136" s="18" t="s">
        <v>162</v>
      </c>
      <c r="E136" s="3">
        <v>36447000</v>
      </c>
      <c r="F136" s="17">
        <v>43704</v>
      </c>
      <c r="G136" s="3">
        <v>36447000</v>
      </c>
      <c r="H136" s="2">
        <v>5.0000000000000001E-3</v>
      </c>
      <c r="I136" s="17">
        <v>43800</v>
      </c>
      <c r="J136" s="17">
        <v>43830</v>
      </c>
      <c r="K136" s="3">
        <f>J136-I136+1</f>
        <v>31</v>
      </c>
      <c r="L136" s="3">
        <f>ROUND(G136*H136*K136/365,0)</f>
        <v>15477</v>
      </c>
      <c r="M136" s="3">
        <v>36447000</v>
      </c>
    </row>
    <row r="137" spans="1:13" s="16" customFormat="1" outlineLevel="2">
      <c r="A137" s="17" t="s">
        <v>213</v>
      </c>
      <c r="B137" s="18" t="s">
        <v>191</v>
      </c>
      <c r="C137" s="19" t="s">
        <v>163</v>
      </c>
      <c r="D137" s="18" t="s">
        <v>162</v>
      </c>
      <c r="E137" s="3">
        <v>34500000</v>
      </c>
      <c r="F137" s="17">
        <v>43808</v>
      </c>
      <c r="G137" s="3">
        <v>34500000</v>
      </c>
      <c r="H137" s="2">
        <v>5.0000000000000001E-3</v>
      </c>
      <c r="I137" s="17">
        <v>43808</v>
      </c>
      <c r="J137" s="17">
        <v>43830</v>
      </c>
      <c r="K137" s="3">
        <f>J137-I137+1</f>
        <v>23</v>
      </c>
      <c r="L137" s="3">
        <f>ROUND(G137*H137*K137/365,0)</f>
        <v>10870</v>
      </c>
      <c r="M137" s="3">
        <v>34500000</v>
      </c>
    </row>
    <row r="138" spans="1:13" s="16" customFormat="1" outlineLevel="2">
      <c r="A138" s="17" t="s">
        <v>213</v>
      </c>
      <c r="B138" s="18" t="s">
        <v>190</v>
      </c>
      <c r="C138" s="19" t="s">
        <v>400</v>
      </c>
      <c r="D138" s="18" t="s">
        <v>399</v>
      </c>
      <c r="E138" s="3">
        <v>1000000000</v>
      </c>
      <c r="F138" s="17">
        <v>43809</v>
      </c>
      <c r="G138" s="3">
        <v>1000000000</v>
      </c>
      <c r="H138" s="2">
        <v>5.0000000000000001E-3</v>
      </c>
      <c r="I138" s="17">
        <v>43809</v>
      </c>
      <c r="J138" s="17">
        <v>43830</v>
      </c>
      <c r="K138" s="3">
        <f>J138-I138+1</f>
        <v>22</v>
      </c>
      <c r="L138" s="3">
        <f>ROUND(G138*H138*K138/365,0)</f>
        <v>301370</v>
      </c>
      <c r="M138" s="3">
        <v>1000000000</v>
      </c>
    </row>
    <row r="139" spans="1:13" s="16" customFormat="1" outlineLevel="2">
      <c r="A139" s="17" t="s">
        <v>213</v>
      </c>
      <c r="B139" s="18" t="s">
        <v>189</v>
      </c>
      <c r="C139" s="19" t="s">
        <v>400</v>
      </c>
      <c r="D139" s="18" t="s">
        <v>399</v>
      </c>
      <c r="E139" s="3">
        <v>1000000000</v>
      </c>
      <c r="F139" s="17">
        <v>43824</v>
      </c>
      <c r="G139" s="3">
        <v>1000000000</v>
      </c>
      <c r="H139" s="2">
        <v>5.0000000000000001E-3</v>
      </c>
      <c r="I139" s="17">
        <v>43824</v>
      </c>
      <c r="J139" s="17">
        <v>43830</v>
      </c>
      <c r="K139" s="3">
        <f>J139-I139+1</f>
        <v>7</v>
      </c>
      <c r="L139" s="3">
        <f>ROUND(G139*H139*K139/365,0)</f>
        <v>95890</v>
      </c>
      <c r="M139" s="3">
        <v>1000000000</v>
      </c>
    </row>
    <row r="140" spans="1:13" s="16" customFormat="1" outlineLevel="2">
      <c r="A140" s="17" t="s">
        <v>213</v>
      </c>
      <c r="B140" s="18" t="s">
        <v>186</v>
      </c>
      <c r="C140" s="19" t="s">
        <v>400</v>
      </c>
      <c r="D140" s="18" t="s">
        <v>399</v>
      </c>
      <c r="E140" s="3">
        <v>600000000</v>
      </c>
      <c r="F140" s="17">
        <v>43824</v>
      </c>
      <c r="G140" s="3">
        <v>600000000</v>
      </c>
      <c r="H140" s="2">
        <v>3.0000000000000001E-3</v>
      </c>
      <c r="I140" s="17">
        <v>43824</v>
      </c>
      <c r="J140" s="17">
        <v>43830</v>
      </c>
      <c r="K140" s="3">
        <f>J140-I140+1</f>
        <v>7</v>
      </c>
      <c r="L140" s="3">
        <f>ROUND(G140*H140*K140/365,0)</f>
        <v>34521</v>
      </c>
      <c r="M140" s="3">
        <v>600000000</v>
      </c>
    </row>
    <row r="141" spans="1:13" s="16" customFormat="1" outlineLevel="2">
      <c r="A141" s="17" t="s">
        <v>213</v>
      </c>
      <c r="B141" s="18" t="s">
        <v>228</v>
      </c>
      <c r="C141" s="19" t="s">
        <v>58</v>
      </c>
      <c r="D141" s="18" t="s">
        <v>57</v>
      </c>
      <c r="E141" s="3">
        <v>33960000</v>
      </c>
      <c r="F141" s="17">
        <v>43812</v>
      </c>
      <c r="G141" s="3">
        <v>33960000</v>
      </c>
      <c r="H141" s="2">
        <v>1.4999999999999999E-2</v>
      </c>
      <c r="I141" s="17">
        <v>43812</v>
      </c>
      <c r="J141" s="17">
        <v>43830</v>
      </c>
      <c r="K141" s="3">
        <f>J141-I141+1</f>
        <v>19</v>
      </c>
      <c r="L141" s="3">
        <f>ROUND(G141*H141*K141/365,0)</f>
        <v>26517</v>
      </c>
      <c r="M141" s="3">
        <v>33960000</v>
      </c>
    </row>
    <row r="142" spans="1:13" s="16" customFormat="1" outlineLevel="2">
      <c r="A142" s="17" t="s">
        <v>213</v>
      </c>
      <c r="B142" s="18" t="s">
        <v>227</v>
      </c>
      <c r="C142" s="19" t="s">
        <v>462</v>
      </c>
      <c r="D142" s="18" t="s">
        <v>461</v>
      </c>
      <c r="E142" s="3">
        <v>31000000</v>
      </c>
      <c r="F142" s="17">
        <v>43815</v>
      </c>
      <c r="G142" s="3">
        <v>31000000</v>
      </c>
      <c r="H142" s="2">
        <v>5.0000000000000001E-3</v>
      </c>
      <c r="I142" s="17">
        <v>43815</v>
      </c>
      <c r="J142" s="17">
        <v>43830</v>
      </c>
      <c r="K142" s="3">
        <f>J142-I142+1</f>
        <v>16</v>
      </c>
      <c r="L142" s="3">
        <f>ROUND(G142*H142*K142/365,0)</f>
        <v>6795</v>
      </c>
      <c r="M142" s="3">
        <v>31000000</v>
      </c>
    </row>
    <row r="143" spans="1:13" s="16" customFormat="1" outlineLevel="2">
      <c r="A143" s="17" t="s">
        <v>213</v>
      </c>
      <c r="B143" s="18" t="s">
        <v>226</v>
      </c>
      <c r="C143" s="19" t="s">
        <v>329</v>
      </c>
      <c r="D143" s="18" t="s">
        <v>328</v>
      </c>
      <c r="E143" s="3">
        <v>77000000</v>
      </c>
      <c r="F143" s="17">
        <v>43819</v>
      </c>
      <c r="G143" s="3">
        <v>77000000</v>
      </c>
      <c r="H143" s="2">
        <v>3.0000000000000001E-3</v>
      </c>
      <c r="I143" s="17">
        <v>43819</v>
      </c>
      <c r="J143" s="17">
        <v>43830</v>
      </c>
      <c r="K143" s="3">
        <f>J143-I143+1</f>
        <v>12</v>
      </c>
      <c r="L143" s="3">
        <f>ROUND(G143*H143*K143/365,0)</f>
        <v>7595</v>
      </c>
      <c r="M143" s="3">
        <v>77000000</v>
      </c>
    </row>
    <row r="144" spans="1:13" s="16" customFormat="1" outlineLevel="2">
      <c r="A144" s="17" t="s">
        <v>213</v>
      </c>
      <c r="B144" s="18" t="s">
        <v>223</v>
      </c>
      <c r="C144" s="19" t="s">
        <v>329</v>
      </c>
      <c r="D144" s="18" t="s">
        <v>328</v>
      </c>
      <c r="E144" s="3">
        <v>77000000</v>
      </c>
      <c r="F144" s="17">
        <v>43819</v>
      </c>
      <c r="G144" s="3">
        <v>77000000</v>
      </c>
      <c r="H144" s="2">
        <v>3.0000000000000001E-3</v>
      </c>
      <c r="I144" s="17">
        <v>43819</v>
      </c>
      <c r="J144" s="17">
        <v>43830</v>
      </c>
      <c r="K144" s="3">
        <f>J144-I144+1</f>
        <v>12</v>
      </c>
      <c r="L144" s="3">
        <f>ROUND(G144*H144*K144/365,0)</f>
        <v>7595</v>
      </c>
      <c r="M144" s="3">
        <v>77000000</v>
      </c>
    </row>
    <row r="145" spans="1:13" s="16" customFormat="1" outlineLevel="2">
      <c r="A145" s="17" t="s">
        <v>213</v>
      </c>
      <c r="B145" s="18" t="s">
        <v>48</v>
      </c>
      <c r="C145" s="19" t="s">
        <v>163</v>
      </c>
      <c r="D145" s="18" t="s">
        <v>162</v>
      </c>
      <c r="E145" s="3">
        <v>45553000</v>
      </c>
      <c r="F145" s="17">
        <v>43704</v>
      </c>
      <c r="G145" s="3">
        <v>45553000</v>
      </c>
      <c r="H145" s="2">
        <v>5.0000000000000001E-3</v>
      </c>
      <c r="I145" s="17">
        <v>43800</v>
      </c>
      <c r="J145" s="17">
        <v>43830</v>
      </c>
      <c r="K145" s="3">
        <f>J145-I145+1</f>
        <v>31</v>
      </c>
      <c r="L145" s="3">
        <f>ROUND(G145*H145*K145/365,0)</f>
        <v>19344</v>
      </c>
      <c r="M145" s="3">
        <v>45553000</v>
      </c>
    </row>
    <row r="146" spans="1:13" s="16" customFormat="1" outlineLevel="2">
      <c r="A146" s="17" t="s">
        <v>213</v>
      </c>
      <c r="B146" s="18" t="s">
        <v>47</v>
      </c>
      <c r="C146" s="19" t="s">
        <v>286</v>
      </c>
      <c r="D146" s="18" t="s">
        <v>285</v>
      </c>
      <c r="E146" s="3">
        <v>50000000</v>
      </c>
      <c r="F146" s="17">
        <v>43710</v>
      </c>
      <c r="G146" s="3">
        <v>50000000</v>
      </c>
      <c r="H146" s="2">
        <v>5.0000000000000001E-3</v>
      </c>
      <c r="I146" s="17">
        <v>43800</v>
      </c>
      <c r="J146" s="17">
        <v>43830</v>
      </c>
      <c r="K146" s="3">
        <f>J146-I146+1</f>
        <v>31</v>
      </c>
      <c r="L146" s="3">
        <f>ROUND(G146*H146*K146/365,0)</f>
        <v>21233</v>
      </c>
      <c r="M146" s="3">
        <v>50000000</v>
      </c>
    </row>
    <row r="147" spans="1:13" s="16" customFormat="1" outlineLevel="2">
      <c r="A147" s="17" t="s">
        <v>213</v>
      </c>
      <c r="B147" s="18" t="s">
        <v>46</v>
      </c>
      <c r="C147" s="19" t="s">
        <v>245</v>
      </c>
      <c r="D147" s="18" t="s">
        <v>244</v>
      </c>
      <c r="E147" s="3">
        <v>100000000</v>
      </c>
      <c r="F147" s="17">
        <v>43714</v>
      </c>
      <c r="G147" s="3">
        <v>100000000</v>
      </c>
      <c r="H147" s="2">
        <v>5.0000000000000001E-3</v>
      </c>
      <c r="I147" s="17">
        <v>43800</v>
      </c>
      <c r="J147" s="17">
        <v>43830</v>
      </c>
      <c r="K147" s="3">
        <f>J147-I147+1</f>
        <v>31</v>
      </c>
      <c r="L147" s="3">
        <f>ROUND(G147*H147*K147/365,0)</f>
        <v>42466</v>
      </c>
      <c r="M147" s="3">
        <v>100000000</v>
      </c>
    </row>
    <row r="148" spans="1:13" s="16" customFormat="1" outlineLevel="2">
      <c r="A148" s="17" t="s">
        <v>213</v>
      </c>
      <c r="B148" s="18" t="s">
        <v>45</v>
      </c>
      <c r="C148" s="19" t="s">
        <v>245</v>
      </c>
      <c r="D148" s="18" t="s">
        <v>244</v>
      </c>
      <c r="E148" s="3">
        <v>200000000</v>
      </c>
      <c r="F148" s="17">
        <v>43735</v>
      </c>
      <c r="G148" s="3">
        <v>200000000</v>
      </c>
      <c r="H148" s="2">
        <v>5.0000000000000001E-3</v>
      </c>
      <c r="I148" s="17">
        <v>43800</v>
      </c>
      <c r="J148" s="17">
        <v>43830</v>
      </c>
      <c r="K148" s="3">
        <f>J148-I148+1</f>
        <v>31</v>
      </c>
      <c r="L148" s="3">
        <f>ROUND(G148*H148*K148/365,0)</f>
        <v>84932</v>
      </c>
      <c r="M148" s="3">
        <v>200000000</v>
      </c>
    </row>
    <row r="149" spans="1:13" s="16" customFormat="1" outlineLevel="2">
      <c r="A149" s="17" t="s">
        <v>213</v>
      </c>
      <c r="B149" s="18" t="s">
        <v>44</v>
      </c>
      <c r="C149" s="19" t="s">
        <v>284</v>
      </c>
      <c r="D149" s="18" t="s">
        <v>283</v>
      </c>
      <c r="E149" s="3">
        <v>79000000</v>
      </c>
      <c r="F149" s="17">
        <v>43714</v>
      </c>
      <c r="G149" s="3">
        <v>79000000</v>
      </c>
      <c r="H149" s="2">
        <v>5.0000000000000001E-3</v>
      </c>
      <c r="I149" s="17">
        <v>43800</v>
      </c>
      <c r="J149" s="17">
        <v>43830</v>
      </c>
      <c r="K149" s="3">
        <f>J149-I149+1</f>
        <v>31</v>
      </c>
      <c r="L149" s="3">
        <f>ROUND(G149*H149*K149/365,0)</f>
        <v>33548</v>
      </c>
      <c r="M149" s="3">
        <v>79000000</v>
      </c>
    </row>
    <row r="150" spans="1:13" s="16" customFormat="1" outlineLevel="1">
      <c r="A150" s="28" t="s">
        <v>135</v>
      </c>
      <c r="B150" s="21"/>
      <c r="C150" s="22"/>
      <c r="D150" s="21"/>
      <c r="E150" s="23">
        <f>SUBTOTAL(9,E101:E149)</f>
        <v>5840503792</v>
      </c>
      <c r="F150" s="20"/>
      <c r="G150" s="23"/>
      <c r="H150" s="24"/>
      <c r="I150" s="20"/>
      <c r="J150" s="20"/>
      <c r="K150" s="23"/>
      <c r="L150" s="23">
        <f>SUBTOTAL(9,L101:L149)</f>
        <v>1983243</v>
      </c>
      <c r="M150" s="23">
        <f>SUBTOTAL(9,M101:M149)</f>
        <v>5822646652</v>
      </c>
    </row>
    <row r="151" spans="1:13" s="16" customFormat="1" outlineLevel="2">
      <c r="A151" s="17" t="s">
        <v>350</v>
      </c>
      <c r="B151" s="18" t="s">
        <v>17</v>
      </c>
      <c r="C151" s="19" t="s">
        <v>63</v>
      </c>
      <c r="D151" s="18" t="s">
        <v>62</v>
      </c>
      <c r="E151" s="3">
        <v>25000000</v>
      </c>
      <c r="F151" s="17">
        <v>43697</v>
      </c>
      <c r="G151" s="3">
        <v>25000000</v>
      </c>
      <c r="H151" s="2">
        <v>5.0000000000000001E-3</v>
      </c>
      <c r="I151" s="17">
        <v>43800</v>
      </c>
      <c r="J151" s="17">
        <v>43830</v>
      </c>
      <c r="K151" s="3">
        <f>J151-I151+1</f>
        <v>31</v>
      </c>
      <c r="L151" s="3">
        <f>ROUND(G151*H151*K151/365,0)</f>
        <v>10616</v>
      </c>
      <c r="M151" s="3">
        <v>25000000</v>
      </c>
    </row>
    <row r="152" spans="1:13" s="16" customFormat="1" outlineLevel="2">
      <c r="A152" s="17" t="s">
        <v>350</v>
      </c>
      <c r="B152" s="18" t="s">
        <v>181</v>
      </c>
      <c r="C152" s="19" t="s">
        <v>63</v>
      </c>
      <c r="D152" s="18" t="s">
        <v>62</v>
      </c>
      <c r="E152" s="3">
        <v>500000</v>
      </c>
      <c r="F152" s="17">
        <v>43781</v>
      </c>
      <c r="G152" s="3">
        <v>500000</v>
      </c>
      <c r="H152" s="2">
        <v>5.0000000000000001E-3</v>
      </c>
      <c r="I152" s="17">
        <v>43800</v>
      </c>
      <c r="J152" s="17">
        <v>43830</v>
      </c>
      <c r="K152" s="3">
        <f>J152-I152+1</f>
        <v>31</v>
      </c>
      <c r="L152" s="3">
        <f>ROUND(G152*H152*K152/365,0)</f>
        <v>212</v>
      </c>
      <c r="M152" s="3">
        <v>500000</v>
      </c>
    </row>
    <row r="153" spans="1:13" s="16" customFormat="1" outlineLevel="2">
      <c r="A153" s="17" t="s">
        <v>350</v>
      </c>
      <c r="B153" s="18" t="s">
        <v>180</v>
      </c>
      <c r="C153" s="19" t="s">
        <v>329</v>
      </c>
      <c r="D153" s="18" t="s">
        <v>328</v>
      </c>
      <c r="E153" s="3">
        <v>33000000</v>
      </c>
      <c r="F153" s="17">
        <v>43809</v>
      </c>
      <c r="G153" s="3">
        <v>33000000</v>
      </c>
      <c r="H153" s="2">
        <v>5.0000000000000001E-3</v>
      </c>
      <c r="I153" s="17">
        <v>43809</v>
      </c>
      <c r="J153" s="17">
        <v>43830</v>
      </c>
      <c r="K153" s="3">
        <f>J153-I153+1</f>
        <v>22</v>
      </c>
      <c r="L153" s="3">
        <f>ROUND(G153*H153*K153/365,0)</f>
        <v>9945</v>
      </c>
      <c r="M153" s="3">
        <v>33000000</v>
      </c>
    </row>
    <row r="154" spans="1:13" s="16" customFormat="1" outlineLevel="2">
      <c r="A154" s="17" t="s">
        <v>350</v>
      </c>
      <c r="B154" s="18" t="s">
        <v>179</v>
      </c>
      <c r="C154" s="19" t="s">
        <v>460</v>
      </c>
      <c r="D154" s="18" t="s">
        <v>459</v>
      </c>
      <c r="E154" s="3">
        <v>1000000000</v>
      </c>
      <c r="F154" s="17">
        <v>43801</v>
      </c>
      <c r="G154" s="3">
        <v>1000000000</v>
      </c>
      <c r="H154" s="2">
        <v>5.0000000000000001E-3</v>
      </c>
      <c r="I154" s="17">
        <v>43801</v>
      </c>
      <c r="J154" s="17">
        <v>43830</v>
      </c>
      <c r="K154" s="3">
        <f>J154-I154+1</f>
        <v>30</v>
      </c>
      <c r="L154" s="3">
        <f>ROUND(G154*H154*K154/365,0)</f>
        <v>410959</v>
      </c>
      <c r="M154" s="3">
        <v>1000000000</v>
      </c>
    </row>
    <row r="155" spans="1:13" s="16" customFormat="1" outlineLevel="2">
      <c r="A155" s="17" t="s">
        <v>350</v>
      </c>
      <c r="B155" s="18" t="s">
        <v>178</v>
      </c>
      <c r="C155" s="19" t="s">
        <v>406</v>
      </c>
      <c r="D155" s="18" t="s">
        <v>405</v>
      </c>
      <c r="E155" s="3">
        <v>41500000</v>
      </c>
      <c r="F155" s="17">
        <v>43803</v>
      </c>
      <c r="G155" s="3">
        <v>41500000</v>
      </c>
      <c r="H155" s="2">
        <v>5.0000000000000001E-3</v>
      </c>
      <c r="I155" s="17">
        <v>43803</v>
      </c>
      <c r="J155" s="17">
        <v>43830</v>
      </c>
      <c r="K155" s="3">
        <f>J155-I155+1</f>
        <v>28</v>
      </c>
      <c r="L155" s="3">
        <f>ROUND(G155*H155*K155/365,0)</f>
        <v>15918</v>
      </c>
      <c r="M155" s="3">
        <v>41500000</v>
      </c>
    </row>
    <row r="156" spans="1:13" s="16" customFormat="1" outlineLevel="2">
      <c r="A156" s="17" t="s">
        <v>350</v>
      </c>
      <c r="B156" s="18" t="s">
        <v>177</v>
      </c>
      <c r="C156" s="19" t="s">
        <v>441</v>
      </c>
      <c r="D156" s="18" t="s">
        <v>440</v>
      </c>
      <c r="E156" s="3">
        <v>1302423</v>
      </c>
      <c r="F156" s="17">
        <v>43829</v>
      </c>
      <c r="G156" s="3">
        <v>1302423</v>
      </c>
      <c r="H156" s="2">
        <v>5.0000000000000001E-3</v>
      </c>
      <c r="I156" s="17">
        <v>43829</v>
      </c>
      <c r="J156" s="17">
        <v>43830</v>
      </c>
      <c r="K156" s="3">
        <f>J156-I156+1</f>
        <v>2</v>
      </c>
      <c r="L156" s="3">
        <f>ROUND(G156*H156*K156/365,0)</f>
        <v>36</v>
      </c>
      <c r="M156" s="3">
        <v>1302423</v>
      </c>
    </row>
    <row r="157" spans="1:13" s="16" customFormat="1" outlineLevel="2">
      <c r="A157" s="17" t="s">
        <v>350</v>
      </c>
      <c r="B157" s="18" t="s">
        <v>176</v>
      </c>
      <c r="C157" s="19" t="s">
        <v>316</v>
      </c>
      <c r="D157" s="18" t="s">
        <v>315</v>
      </c>
      <c r="E157" s="3">
        <v>9000000</v>
      </c>
      <c r="F157" s="17">
        <v>43829</v>
      </c>
      <c r="G157" s="3">
        <v>9000000</v>
      </c>
      <c r="H157" s="2">
        <v>1.4999999999999999E-2</v>
      </c>
      <c r="I157" s="17">
        <v>43829</v>
      </c>
      <c r="J157" s="17">
        <v>43830</v>
      </c>
      <c r="K157" s="3">
        <f>J157-I157+1</f>
        <v>2</v>
      </c>
      <c r="L157" s="3">
        <f>ROUND(G157*H157*K157/365,0)</f>
        <v>740</v>
      </c>
      <c r="M157" s="3">
        <v>9000000</v>
      </c>
    </row>
    <row r="158" spans="1:13" s="16" customFormat="1" outlineLevel="2">
      <c r="A158" s="17" t="s">
        <v>350</v>
      </c>
      <c r="B158" s="18" t="s">
        <v>175</v>
      </c>
      <c r="C158" s="19" t="s">
        <v>458</v>
      </c>
      <c r="D158" s="18" t="s">
        <v>457</v>
      </c>
      <c r="E158" s="3">
        <v>106000000</v>
      </c>
      <c r="F158" s="17">
        <v>43823</v>
      </c>
      <c r="G158" s="3">
        <v>106000000</v>
      </c>
      <c r="H158" s="2">
        <v>5.0000000000000001E-3</v>
      </c>
      <c r="I158" s="17">
        <v>43823</v>
      </c>
      <c r="J158" s="17">
        <v>43830</v>
      </c>
      <c r="K158" s="3">
        <f>J158-I158+1</f>
        <v>8</v>
      </c>
      <c r="L158" s="3">
        <f>ROUND(G158*H158*K158/365,0)</f>
        <v>11616</v>
      </c>
      <c r="M158" s="3">
        <v>106000000</v>
      </c>
    </row>
    <row r="159" spans="1:13" s="16" customFormat="1" outlineLevel="2">
      <c r="A159" s="17" t="s">
        <v>350</v>
      </c>
      <c r="B159" s="18" t="s">
        <v>174</v>
      </c>
      <c r="C159" s="19" t="s">
        <v>188</v>
      </c>
      <c r="D159" s="18" t="s">
        <v>187</v>
      </c>
      <c r="E159" s="3">
        <v>611000</v>
      </c>
      <c r="F159" s="17">
        <v>43812</v>
      </c>
      <c r="G159" s="3">
        <v>611000</v>
      </c>
      <c r="H159" s="2">
        <v>5.0000000000000001E-3</v>
      </c>
      <c r="I159" s="17">
        <v>43812</v>
      </c>
      <c r="J159" s="17">
        <v>43830</v>
      </c>
      <c r="K159" s="3">
        <f>J159-I159+1</f>
        <v>19</v>
      </c>
      <c r="L159" s="3">
        <f>ROUND(G159*H159*K159/365,0)</f>
        <v>159</v>
      </c>
      <c r="M159" s="3">
        <v>611000</v>
      </c>
    </row>
    <row r="160" spans="1:13" s="16" customFormat="1" outlineLevel="2">
      <c r="A160" s="17" t="s">
        <v>350</v>
      </c>
      <c r="B160" s="18" t="s">
        <v>171</v>
      </c>
      <c r="C160" s="19" t="s">
        <v>188</v>
      </c>
      <c r="D160" s="18" t="s">
        <v>187</v>
      </c>
      <c r="E160" s="3">
        <v>495000</v>
      </c>
      <c r="F160" s="17">
        <v>43830</v>
      </c>
      <c r="G160" s="3">
        <v>495000</v>
      </c>
      <c r="H160" s="2">
        <v>5.0000000000000001E-3</v>
      </c>
      <c r="I160" s="17">
        <v>43830</v>
      </c>
      <c r="J160" s="17">
        <v>43830</v>
      </c>
      <c r="K160" s="3">
        <f>J160-I160+1</f>
        <v>1</v>
      </c>
      <c r="L160" s="3">
        <f>ROUND(G160*H160*K160/365,0)</f>
        <v>7</v>
      </c>
      <c r="M160" s="3">
        <v>495000</v>
      </c>
    </row>
    <row r="161" spans="1:13" s="16" customFormat="1" outlineLevel="2">
      <c r="A161" s="17" t="s">
        <v>350</v>
      </c>
      <c r="B161" s="18" t="s">
        <v>31</v>
      </c>
      <c r="C161" s="19" t="s">
        <v>63</v>
      </c>
      <c r="D161" s="18" t="s">
        <v>62</v>
      </c>
      <c r="E161" s="3">
        <v>48000000</v>
      </c>
      <c r="F161" s="17">
        <v>43707</v>
      </c>
      <c r="G161" s="3">
        <v>48000000</v>
      </c>
      <c r="H161" s="2">
        <v>5.0000000000000001E-3</v>
      </c>
      <c r="I161" s="17">
        <v>43800</v>
      </c>
      <c r="J161" s="17">
        <v>43830</v>
      </c>
      <c r="K161" s="3">
        <f>J161-I161+1</f>
        <v>31</v>
      </c>
      <c r="L161" s="3">
        <f>ROUND(G161*H161*K161/365,0)</f>
        <v>20384</v>
      </c>
      <c r="M161" s="3">
        <v>48000000</v>
      </c>
    </row>
    <row r="162" spans="1:13" s="16" customFormat="1" outlineLevel="2">
      <c r="A162" s="17" t="s">
        <v>350</v>
      </c>
      <c r="B162" s="18" t="s">
        <v>30</v>
      </c>
      <c r="C162" s="19" t="s">
        <v>282</v>
      </c>
      <c r="D162" s="18" t="s">
        <v>281</v>
      </c>
      <c r="E162" s="3">
        <v>22000000</v>
      </c>
      <c r="F162" s="17">
        <v>43728</v>
      </c>
      <c r="G162" s="3">
        <v>22000000</v>
      </c>
      <c r="H162" s="2">
        <v>5.0000000000000001E-3</v>
      </c>
      <c r="I162" s="17">
        <v>43800</v>
      </c>
      <c r="J162" s="17">
        <v>43830</v>
      </c>
      <c r="K162" s="3">
        <f>J162-I162+1</f>
        <v>31</v>
      </c>
      <c r="L162" s="3">
        <f>ROUND(G162*H162*K162/365,0)</f>
        <v>9342</v>
      </c>
      <c r="M162" s="3">
        <v>22000000</v>
      </c>
    </row>
    <row r="163" spans="1:13" s="16" customFormat="1" outlineLevel="2">
      <c r="A163" s="17" t="s">
        <v>350</v>
      </c>
      <c r="B163" s="18" t="s">
        <v>28</v>
      </c>
      <c r="C163" s="19" t="s">
        <v>282</v>
      </c>
      <c r="D163" s="18" t="s">
        <v>281</v>
      </c>
      <c r="E163" s="3">
        <v>26000000</v>
      </c>
      <c r="F163" s="17">
        <v>43728</v>
      </c>
      <c r="G163" s="3">
        <v>26000000</v>
      </c>
      <c r="H163" s="2">
        <v>5.0000000000000001E-3</v>
      </c>
      <c r="I163" s="17">
        <v>43800</v>
      </c>
      <c r="J163" s="17">
        <v>43830</v>
      </c>
      <c r="K163" s="3">
        <f>J163-I163+1</f>
        <v>31</v>
      </c>
      <c r="L163" s="3">
        <f>ROUND(G163*H163*K163/365,0)</f>
        <v>11041</v>
      </c>
      <c r="M163" s="3">
        <v>26000000</v>
      </c>
    </row>
    <row r="164" spans="1:13" s="16" customFormat="1" outlineLevel="2">
      <c r="A164" s="17" t="s">
        <v>350</v>
      </c>
      <c r="B164" s="18" t="s">
        <v>48</v>
      </c>
      <c r="C164" s="19" t="s">
        <v>282</v>
      </c>
      <c r="D164" s="18" t="s">
        <v>281</v>
      </c>
      <c r="E164" s="3">
        <v>72000000</v>
      </c>
      <c r="F164" s="17">
        <v>43728</v>
      </c>
      <c r="G164" s="3">
        <v>72000000</v>
      </c>
      <c r="H164" s="2">
        <v>5.0000000000000001E-3</v>
      </c>
      <c r="I164" s="17">
        <v>43800</v>
      </c>
      <c r="J164" s="17">
        <v>43830</v>
      </c>
      <c r="K164" s="3">
        <f>J164-I164+1</f>
        <v>31</v>
      </c>
      <c r="L164" s="3">
        <f>ROUND(G164*H164*K164/365,0)</f>
        <v>30575</v>
      </c>
      <c r="M164" s="3">
        <v>72000000</v>
      </c>
    </row>
    <row r="165" spans="1:13" s="16" customFormat="1" outlineLevel="2">
      <c r="A165" s="17" t="s">
        <v>350</v>
      </c>
      <c r="B165" s="18" t="s">
        <v>47</v>
      </c>
      <c r="C165" s="19" t="s">
        <v>159</v>
      </c>
      <c r="D165" s="18" t="s">
        <v>158</v>
      </c>
      <c r="E165" s="3">
        <v>10000000</v>
      </c>
      <c r="F165" s="17">
        <v>43725</v>
      </c>
      <c r="G165" s="3">
        <v>10000000</v>
      </c>
      <c r="H165" s="2">
        <v>3.0000000000000001E-3</v>
      </c>
      <c r="I165" s="17">
        <v>43800</v>
      </c>
      <c r="J165" s="17">
        <v>43830</v>
      </c>
      <c r="K165" s="3">
        <f>J165-I165+1</f>
        <v>31</v>
      </c>
      <c r="L165" s="3">
        <f>ROUND(G165*H165*K165/365,0)</f>
        <v>2548</v>
      </c>
      <c r="M165" s="3">
        <v>10000000</v>
      </c>
    </row>
    <row r="166" spans="1:13" s="16" customFormat="1" outlineLevel="2">
      <c r="A166" s="17" t="s">
        <v>350</v>
      </c>
      <c r="B166" s="18" t="s">
        <v>46</v>
      </c>
      <c r="C166" s="19" t="s">
        <v>276</v>
      </c>
      <c r="D166" s="18" t="s">
        <v>275</v>
      </c>
      <c r="E166" s="3">
        <v>100000000</v>
      </c>
      <c r="F166" s="17">
        <v>43728</v>
      </c>
      <c r="G166" s="3">
        <v>100000000</v>
      </c>
      <c r="H166" s="2">
        <v>5.0000000000000001E-3</v>
      </c>
      <c r="I166" s="17">
        <v>43800</v>
      </c>
      <c r="J166" s="17">
        <v>43830</v>
      </c>
      <c r="K166" s="3">
        <f>J166-I166+1</f>
        <v>31</v>
      </c>
      <c r="L166" s="3">
        <f>ROUND(G166*H166*K166/365,0)</f>
        <v>42466</v>
      </c>
      <c r="M166" s="3">
        <v>100000000</v>
      </c>
    </row>
    <row r="167" spans="1:13" s="16" customFormat="1" outlineLevel="2">
      <c r="A167" s="17" t="s">
        <v>350</v>
      </c>
      <c r="B167" s="18" t="s">
        <v>45</v>
      </c>
      <c r="C167" s="19" t="s">
        <v>188</v>
      </c>
      <c r="D167" s="18" t="s">
        <v>187</v>
      </c>
      <c r="E167" s="3">
        <v>585000</v>
      </c>
      <c r="F167" s="17">
        <v>43769</v>
      </c>
      <c r="G167" s="3">
        <v>585000</v>
      </c>
      <c r="H167" s="2">
        <v>5.0000000000000001E-3</v>
      </c>
      <c r="I167" s="17">
        <v>43800</v>
      </c>
      <c r="J167" s="17">
        <v>43830</v>
      </c>
      <c r="K167" s="3">
        <f>J167-I167+1</f>
        <v>31</v>
      </c>
      <c r="L167" s="3">
        <f>ROUND(G167*H167*K167/365,0)</f>
        <v>248</v>
      </c>
      <c r="M167" s="3">
        <v>585000</v>
      </c>
    </row>
    <row r="168" spans="1:13" s="16" customFormat="1" outlineLevel="2">
      <c r="A168" s="17" t="s">
        <v>350</v>
      </c>
      <c r="B168" s="18" t="s">
        <v>44</v>
      </c>
      <c r="C168" s="19" t="s">
        <v>349</v>
      </c>
      <c r="D168" s="18" t="s">
        <v>348</v>
      </c>
      <c r="E168" s="3">
        <v>13330000</v>
      </c>
      <c r="F168" s="17">
        <v>43762</v>
      </c>
      <c r="G168" s="3">
        <v>13330000</v>
      </c>
      <c r="H168" s="2">
        <v>5.0000000000000001E-3</v>
      </c>
      <c r="I168" s="17">
        <v>43800</v>
      </c>
      <c r="J168" s="17">
        <v>43830</v>
      </c>
      <c r="K168" s="3">
        <f>J168-I168+1</f>
        <v>31</v>
      </c>
      <c r="L168" s="3">
        <f>ROUND(G168*H168*K168/365,0)</f>
        <v>5661</v>
      </c>
      <c r="M168" s="3">
        <v>13330000</v>
      </c>
    </row>
    <row r="169" spans="1:13" s="16" customFormat="1" outlineLevel="1">
      <c r="A169" s="28" t="s">
        <v>347</v>
      </c>
      <c r="B169" s="21"/>
      <c r="C169" s="22"/>
      <c r="D169" s="21"/>
      <c r="E169" s="23">
        <f>SUBTOTAL(9,E151:E168)</f>
        <v>1509323423</v>
      </c>
      <c r="F169" s="20"/>
      <c r="G169" s="23"/>
      <c r="H169" s="24"/>
      <c r="I169" s="20"/>
      <c r="J169" s="20"/>
      <c r="K169" s="23"/>
      <c r="L169" s="23">
        <f>SUBTOTAL(9,L151:L168)</f>
        <v>582473</v>
      </c>
      <c r="M169" s="23">
        <f>SUBTOTAL(9,M151:M168)</f>
        <v>1509323423</v>
      </c>
    </row>
    <row r="170" spans="1:13" s="16" customFormat="1" outlineLevel="2">
      <c r="A170" s="17" t="s">
        <v>342</v>
      </c>
      <c r="B170" s="18" t="s">
        <v>17</v>
      </c>
      <c r="C170" s="19" t="s">
        <v>206</v>
      </c>
      <c r="D170" s="18" t="s">
        <v>38</v>
      </c>
      <c r="E170" s="3">
        <v>100000000</v>
      </c>
      <c r="F170" s="17">
        <v>43594</v>
      </c>
      <c r="G170" s="3">
        <v>100000000</v>
      </c>
      <c r="H170" s="2">
        <v>1.4999999999999999E-2</v>
      </c>
      <c r="I170" s="17">
        <v>43800</v>
      </c>
      <c r="J170" s="17">
        <v>43830</v>
      </c>
      <c r="K170" s="3">
        <f>J170-I170+1</f>
        <v>31</v>
      </c>
      <c r="L170" s="3">
        <f>ROUND(G170*H170*K170/365,0)</f>
        <v>127397</v>
      </c>
      <c r="M170" s="3">
        <v>100000000</v>
      </c>
    </row>
    <row r="171" spans="1:13" s="16" customFormat="1" outlineLevel="2">
      <c r="A171" s="17" t="s">
        <v>342</v>
      </c>
      <c r="B171" s="18" t="s">
        <v>181</v>
      </c>
      <c r="C171" s="19" t="s">
        <v>159</v>
      </c>
      <c r="D171" s="18" t="s">
        <v>158</v>
      </c>
      <c r="E171" s="3">
        <v>18915000</v>
      </c>
      <c r="F171" s="17">
        <v>43725</v>
      </c>
      <c r="G171" s="3">
        <v>18915000</v>
      </c>
      <c r="H171" s="2">
        <v>1.4999999999999999E-2</v>
      </c>
      <c r="I171" s="17">
        <v>43800</v>
      </c>
      <c r="J171" s="17">
        <v>43830</v>
      </c>
      <c r="K171" s="3">
        <f>J171-I171+1</f>
        <v>31</v>
      </c>
      <c r="L171" s="3">
        <f>ROUND(G171*H171*K171/365,0)</f>
        <v>24097</v>
      </c>
      <c r="M171" s="3">
        <v>18915000</v>
      </c>
    </row>
    <row r="172" spans="1:13" s="16" customFormat="1" outlineLevel="2">
      <c r="A172" s="17" t="s">
        <v>342</v>
      </c>
      <c r="B172" s="18" t="s">
        <v>180</v>
      </c>
      <c r="C172" s="19" t="s">
        <v>280</v>
      </c>
      <c r="D172" s="18" t="s">
        <v>279</v>
      </c>
      <c r="E172" s="3">
        <v>100000000</v>
      </c>
      <c r="F172" s="17">
        <v>43734</v>
      </c>
      <c r="G172" s="3">
        <v>100000000</v>
      </c>
      <c r="H172" s="2">
        <v>5.0000000000000001E-3</v>
      </c>
      <c r="I172" s="17">
        <v>43800</v>
      </c>
      <c r="J172" s="17">
        <v>43830</v>
      </c>
      <c r="K172" s="3">
        <f>J172-I172+1</f>
        <v>31</v>
      </c>
      <c r="L172" s="3">
        <f>ROUND(G172*H172*K172/365,0)</f>
        <v>42466</v>
      </c>
      <c r="M172" s="3">
        <v>100000000</v>
      </c>
    </row>
    <row r="173" spans="1:13" s="16" customFormat="1" outlineLevel="2">
      <c r="A173" s="17" t="s">
        <v>342</v>
      </c>
      <c r="B173" s="18" t="s">
        <v>179</v>
      </c>
      <c r="C173" s="19" t="s">
        <v>150</v>
      </c>
      <c r="D173" s="18" t="s">
        <v>149</v>
      </c>
      <c r="E173" s="3">
        <v>2815050</v>
      </c>
      <c r="F173" s="17">
        <v>43728</v>
      </c>
      <c r="G173" s="3">
        <v>2815050</v>
      </c>
      <c r="H173" s="2">
        <v>3.0000000000000001E-3</v>
      </c>
      <c r="I173" s="17">
        <v>43800</v>
      </c>
      <c r="J173" s="17">
        <v>43830</v>
      </c>
      <c r="K173" s="3">
        <f>J173-I173+1</f>
        <v>31</v>
      </c>
      <c r="L173" s="3">
        <f>ROUND(G173*H173*K173/365,0)</f>
        <v>717</v>
      </c>
      <c r="M173" s="3">
        <v>2815050</v>
      </c>
    </row>
    <row r="174" spans="1:13" s="16" customFormat="1" outlineLevel="2">
      <c r="A174" s="17" t="s">
        <v>342</v>
      </c>
      <c r="B174" s="18" t="s">
        <v>178</v>
      </c>
      <c r="C174" s="19" t="s">
        <v>280</v>
      </c>
      <c r="D174" s="18" t="s">
        <v>279</v>
      </c>
      <c r="E174" s="3">
        <v>200000000</v>
      </c>
      <c r="F174" s="17">
        <v>43742</v>
      </c>
      <c r="G174" s="3">
        <v>200000000</v>
      </c>
      <c r="H174" s="2">
        <v>5.0000000000000001E-3</v>
      </c>
      <c r="I174" s="17">
        <v>43800</v>
      </c>
      <c r="J174" s="17">
        <v>43830</v>
      </c>
      <c r="K174" s="3">
        <f>J174-I174+1</f>
        <v>31</v>
      </c>
      <c r="L174" s="3">
        <f>ROUND(G174*H174*K174/365,0)</f>
        <v>84932</v>
      </c>
      <c r="M174" s="3">
        <v>200000000</v>
      </c>
    </row>
    <row r="175" spans="1:13" s="16" customFormat="1" outlineLevel="2">
      <c r="A175" s="17" t="s">
        <v>342</v>
      </c>
      <c r="B175" s="18" t="s">
        <v>177</v>
      </c>
      <c r="C175" s="19" t="s">
        <v>272</v>
      </c>
      <c r="D175" s="18" t="s">
        <v>271</v>
      </c>
      <c r="E175" s="3">
        <v>17000000</v>
      </c>
      <c r="F175" s="17">
        <v>43746</v>
      </c>
      <c r="G175" s="3">
        <v>17000000</v>
      </c>
      <c r="H175" s="2">
        <v>5.0000000000000001E-3</v>
      </c>
      <c r="I175" s="17">
        <v>43800</v>
      </c>
      <c r="J175" s="17">
        <v>43830</v>
      </c>
      <c r="K175" s="3">
        <f>J175-I175+1</f>
        <v>31</v>
      </c>
      <c r="L175" s="3">
        <f>ROUND(G175*H175*K175/365,0)</f>
        <v>7219</v>
      </c>
      <c r="M175" s="3">
        <v>17000000</v>
      </c>
    </row>
    <row r="176" spans="1:13" s="16" customFormat="1" outlineLevel="2">
      <c r="A176" s="17" t="s">
        <v>342</v>
      </c>
      <c r="B176" s="18" t="s">
        <v>176</v>
      </c>
      <c r="C176" s="19" t="s">
        <v>344</v>
      </c>
      <c r="D176" s="18" t="s">
        <v>343</v>
      </c>
      <c r="E176" s="3">
        <v>53000000</v>
      </c>
      <c r="F176" s="17">
        <v>43746</v>
      </c>
      <c r="G176" s="3">
        <v>53000000</v>
      </c>
      <c r="H176" s="2">
        <v>5.0000000000000001E-3</v>
      </c>
      <c r="I176" s="17">
        <v>43800</v>
      </c>
      <c r="J176" s="17">
        <v>43830</v>
      </c>
      <c r="K176" s="3">
        <f>J176-I176+1</f>
        <v>31</v>
      </c>
      <c r="L176" s="3">
        <f>ROUND(G176*H176*K176/365,0)</f>
        <v>22507</v>
      </c>
      <c r="M176" s="3">
        <v>53000000</v>
      </c>
    </row>
    <row r="177" spans="1:13" s="16" customFormat="1" outlineLevel="2">
      <c r="A177" s="17" t="s">
        <v>342</v>
      </c>
      <c r="B177" s="18" t="s">
        <v>175</v>
      </c>
      <c r="C177" s="19" t="s">
        <v>183</v>
      </c>
      <c r="D177" s="18" t="s">
        <v>182</v>
      </c>
      <c r="E177" s="3">
        <v>9999658</v>
      </c>
      <c r="F177" s="17">
        <v>43747</v>
      </c>
      <c r="G177" s="3">
        <v>9999658</v>
      </c>
      <c r="H177" s="2">
        <v>5.0000000000000001E-3</v>
      </c>
      <c r="I177" s="17">
        <v>43800</v>
      </c>
      <c r="J177" s="17">
        <v>43830</v>
      </c>
      <c r="K177" s="3">
        <f>J177-I177+1</f>
        <v>31</v>
      </c>
      <c r="L177" s="3">
        <f>ROUND(G177*H177*K177/365,0)</f>
        <v>4246</v>
      </c>
      <c r="M177" s="3">
        <v>9999658</v>
      </c>
    </row>
    <row r="178" spans="1:13" s="16" customFormat="1" outlineLevel="2">
      <c r="A178" s="17" t="s">
        <v>342</v>
      </c>
      <c r="B178" s="18" t="s">
        <v>174</v>
      </c>
      <c r="C178" s="19" t="s">
        <v>346</v>
      </c>
      <c r="D178" s="18" t="s">
        <v>345</v>
      </c>
      <c r="E178" s="3">
        <v>86000000</v>
      </c>
      <c r="F178" s="17">
        <v>43753</v>
      </c>
      <c r="G178" s="3">
        <v>86000000</v>
      </c>
      <c r="H178" s="2">
        <v>5.0000000000000001E-3</v>
      </c>
      <c r="I178" s="17">
        <v>43800</v>
      </c>
      <c r="J178" s="17">
        <v>43830</v>
      </c>
      <c r="K178" s="3">
        <f>J178-I178+1</f>
        <v>31</v>
      </c>
      <c r="L178" s="3">
        <f>ROUND(G178*H178*K178/365,0)</f>
        <v>36521</v>
      </c>
      <c r="M178" s="3">
        <v>86000000</v>
      </c>
    </row>
    <row r="179" spans="1:13" s="16" customFormat="1" outlineLevel="2">
      <c r="A179" s="17" t="s">
        <v>342</v>
      </c>
      <c r="B179" s="18" t="s">
        <v>171</v>
      </c>
      <c r="C179" s="19" t="s">
        <v>210</v>
      </c>
      <c r="D179" s="18" t="s">
        <v>209</v>
      </c>
      <c r="E179" s="3">
        <v>1500000</v>
      </c>
      <c r="F179" s="17">
        <v>43753</v>
      </c>
      <c r="G179" s="3">
        <v>1500000</v>
      </c>
      <c r="H179" s="2">
        <v>5.0000000000000001E-3</v>
      </c>
      <c r="I179" s="17">
        <v>43800</v>
      </c>
      <c r="J179" s="17">
        <v>43830</v>
      </c>
      <c r="K179" s="3">
        <f>J179-I179+1</f>
        <v>31</v>
      </c>
      <c r="L179" s="3">
        <f>ROUND(G179*H179*K179/365,0)</f>
        <v>637</v>
      </c>
      <c r="M179" s="3">
        <v>1500000</v>
      </c>
    </row>
    <row r="180" spans="1:13" s="16" customFormat="1" outlineLevel="2">
      <c r="A180" s="17" t="s">
        <v>342</v>
      </c>
      <c r="B180" s="18" t="s">
        <v>170</v>
      </c>
      <c r="C180" s="19" t="s">
        <v>159</v>
      </c>
      <c r="D180" s="18" t="s">
        <v>158</v>
      </c>
      <c r="E180" s="3">
        <v>5864000</v>
      </c>
      <c r="F180" s="17">
        <v>43755</v>
      </c>
      <c r="G180" s="3">
        <v>5864000</v>
      </c>
      <c r="H180" s="2">
        <v>1.4999999999999999E-2</v>
      </c>
      <c r="I180" s="17">
        <v>43800</v>
      </c>
      <c r="J180" s="17">
        <v>43830</v>
      </c>
      <c r="K180" s="3">
        <f>J180-I180+1</f>
        <v>31</v>
      </c>
      <c r="L180" s="3">
        <f>ROUND(G180*H180*K180/365,0)</f>
        <v>7471</v>
      </c>
      <c r="M180" s="3">
        <v>5864000</v>
      </c>
    </row>
    <row r="181" spans="1:13" s="16" customFormat="1" outlineLevel="2">
      <c r="A181" s="17" t="s">
        <v>342</v>
      </c>
      <c r="B181" s="18" t="s">
        <v>31</v>
      </c>
      <c r="C181" s="19" t="s">
        <v>159</v>
      </c>
      <c r="D181" s="18" t="s">
        <v>158</v>
      </c>
      <c r="E181" s="3">
        <v>38097000</v>
      </c>
      <c r="F181" s="17">
        <v>43663</v>
      </c>
      <c r="G181" s="3">
        <v>38097000</v>
      </c>
      <c r="H181" s="2">
        <v>1.4999999999999999E-2</v>
      </c>
      <c r="I181" s="17">
        <v>43800</v>
      </c>
      <c r="J181" s="17">
        <v>43830</v>
      </c>
      <c r="K181" s="3">
        <f>J181-I181+1</f>
        <v>31</v>
      </c>
      <c r="L181" s="3">
        <f>ROUND(G181*H181*K181/365,0)</f>
        <v>48535</v>
      </c>
      <c r="M181" s="3">
        <v>38097000</v>
      </c>
    </row>
    <row r="182" spans="1:13" s="16" customFormat="1" outlineLevel="2">
      <c r="A182" s="17" t="s">
        <v>342</v>
      </c>
      <c r="B182" s="18" t="s">
        <v>169</v>
      </c>
      <c r="C182" s="19" t="s">
        <v>159</v>
      </c>
      <c r="D182" s="18" t="s">
        <v>158</v>
      </c>
      <c r="E182" s="3">
        <v>19703000</v>
      </c>
      <c r="F182" s="17">
        <v>43755</v>
      </c>
      <c r="G182" s="3">
        <v>19703000</v>
      </c>
      <c r="H182" s="2">
        <v>1.4999999999999999E-2</v>
      </c>
      <c r="I182" s="17">
        <v>43800</v>
      </c>
      <c r="J182" s="17">
        <v>43830</v>
      </c>
      <c r="K182" s="3">
        <f>J182-I182+1</f>
        <v>31</v>
      </c>
      <c r="L182" s="3">
        <f>ROUND(G182*H182*K182/365,0)</f>
        <v>25101</v>
      </c>
      <c r="M182" s="3">
        <v>19703000</v>
      </c>
    </row>
    <row r="183" spans="1:13" s="16" customFormat="1" outlineLevel="2">
      <c r="A183" s="17" t="s">
        <v>342</v>
      </c>
      <c r="B183" s="18" t="s">
        <v>168</v>
      </c>
      <c r="C183" s="19" t="s">
        <v>344</v>
      </c>
      <c r="D183" s="18" t="s">
        <v>343</v>
      </c>
      <c r="E183" s="3">
        <v>57000000</v>
      </c>
      <c r="F183" s="17">
        <v>43761</v>
      </c>
      <c r="G183" s="3">
        <v>57000000</v>
      </c>
      <c r="H183" s="2">
        <v>5.0000000000000001E-3</v>
      </c>
      <c r="I183" s="17">
        <v>43800</v>
      </c>
      <c r="J183" s="17">
        <v>43830</v>
      </c>
      <c r="K183" s="3">
        <f>J183-I183+1</f>
        <v>31</v>
      </c>
      <c r="L183" s="3">
        <f>ROUND(G183*H183*K183/365,0)</f>
        <v>24205</v>
      </c>
      <c r="M183" s="3">
        <v>57000000</v>
      </c>
    </row>
    <row r="184" spans="1:13" s="16" customFormat="1" outlineLevel="2">
      <c r="A184" s="17" t="s">
        <v>342</v>
      </c>
      <c r="B184" s="18" t="s">
        <v>167</v>
      </c>
      <c r="C184" s="19" t="s">
        <v>272</v>
      </c>
      <c r="D184" s="18" t="s">
        <v>271</v>
      </c>
      <c r="E184" s="3">
        <v>13000000</v>
      </c>
      <c r="F184" s="17">
        <v>43763</v>
      </c>
      <c r="G184" s="3">
        <v>13000000</v>
      </c>
      <c r="H184" s="2">
        <v>5.0000000000000001E-3</v>
      </c>
      <c r="I184" s="17">
        <v>43800</v>
      </c>
      <c r="J184" s="17">
        <v>43830</v>
      </c>
      <c r="K184" s="3">
        <f>J184-I184+1</f>
        <v>31</v>
      </c>
      <c r="L184" s="3">
        <f>ROUND(G184*H184*K184/365,0)</f>
        <v>5521</v>
      </c>
      <c r="M184" s="3">
        <v>13000000</v>
      </c>
    </row>
    <row r="185" spans="1:13" s="16" customFormat="1" outlineLevel="2">
      <c r="A185" s="17" t="s">
        <v>342</v>
      </c>
      <c r="B185" s="18" t="s">
        <v>166</v>
      </c>
      <c r="C185" s="19" t="s">
        <v>280</v>
      </c>
      <c r="D185" s="18" t="s">
        <v>279</v>
      </c>
      <c r="E185" s="3">
        <v>44000000</v>
      </c>
      <c r="F185" s="17">
        <v>43763</v>
      </c>
      <c r="G185" s="3">
        <v>44000000</v>
      </c>
      <c r="H185" s="2">
        <v>5.0000000000000001E-3</v>
      </c>
      <c r="I185" s="17">
        <v>43800</v>
      </c>
      <c r="J185" s="17">
        <v>43830</v>
      </c>
      <c r="K185" s="3">
        <f>J185-I185+1</f>
        <v>31</v>
      </c>
      <c r="L185" s="3">
        <f>ROUND(G185*H185*K185/365,0)</f>
        <v>18685</v>
      </c>
      <c r="M185" s="3">
        <v>44000000</v>
      </c>
    </row>
    <row r="186" spans="1:13" s="16" customFormat="1" outlineLevel="2">
      <c r="A186" s="17" t="s">
        <v>342</v>
      </c>
      <c r="B186" s="18" t="s">
        <v>165</v>
      </c>
      <c r="C186" s="19" t="s">
        <v>183</v>
      </c>
      <c r="D186" s="18" t="s">
        <v>182</v>
      </c>
      <c r="E186" s="3">
        <v>6377049</v>
      </c>
      <c r="F186" s="17">
        <v>43768</v>
      </c>
      <c r="G186" s="3">
        <v>6377049</v>
      </c>
      <c r="H186" s="2">
        <v>5.0000000000000001E-3</v>
      </c>
      <c r="I186" s="17">
        <v>43800</v>
      </c>
      <c r="J186" s="17">
        <v>43830</v>
      </c>
      <c r="K186" s="3">
        <f>J186-I186+1</f>
        <v>31</v>
      </c>
      <c r="L186" s="3">
        <f>ROUND(G186*H186*K186/365,0)</f>
        <v>2708</v>
      </c>
      <c r="M186" s="3">
        <v>6377049</v>
      </c>
    </row>
    <row r="187" spans="1:13" s="16" customFormat="1" outlineLevel="2">
      <c r="A187" s="17" t="s">
        <v>342</v>
      </c>
      <c r="B187" s="18" t="s">
        <v>164</v>
      </c>
      <c r="C187" s="19" t="s">
        <v>183</v>
      </c>
      <c r="D187" s="18" t="s">
        <v>182</v>
      </c>
      <c r="E187" s="3">
        <v>2610000</v>
      </c>
      <c r="F187" s="17">
        <v>43773</v>
      </c>
      <c r="G187" s="3">
        <v>2610000</v>
      </c>
      <c r="H187" s="2">
        <v>5.0000000000000001E-3</v>
      </c>
      <c r="I187" s="17">
        <v>43800</v>
      </c>
      <c r="J187" s="17">
        <v>43830</v>
      </c>
      <c r="K187" s="3">
        <f>J187-I187+1</f>
        <v>31</v>
      </c>
      <c r="L187" s="3">
        <f>ROUND(G187*H187*K187/365,0)</f>
        <v>1108</v>
      </c>
      <c r="M187" s="3">
        <v>2610000</v>
      </c>
    </row>
    <row r="188" spans="1:13" s="16" customFormat="1" outlineLevel="2">
      <c r="A188" s="17" t="s">
        <v>342</v>
      </c>
      <c r="B188" s="18" t="s">
        <v>161</v>
      </c>
      <c r="C188" s="19" t="s">
        <v>183</v>
      </c>
      <c r="D188" s="18" t="s">
        <v>182</v>
      </c>
      <c r="E188" s="3">
        <v>10496125</v>
      </c>
      <c r="F188" s="17">
        <v>43776</v>
      </c>
      <c r="G188" s="3">
        <v>10496125</v>
      </c>
      <c r="H188" s="2">
        <v>5.0000000000000001E-3</v>
      </c>
      <c r="I188" s="17">
        <v>43800</v>
      </c>
      <c r="J188" s="17">
        <v>43830</v>
      </c>
      <c r="K188" s="3">
        <f>J188-I188+1</f>
        <v>31</v>
      </c>
      <c r="L188" s="3">
        <f>ROUND(G188*H188*K188/365,0)</f>
        <v>4457</v>
      </c>
      <c r="M188" s="3">
        <v>10496125</v>
      </c>
    </row>
    <row r="189" spans="1:13" s="16" customFormat="1" outlineLevel="2">
      <c r="A189" s="17" t="s">
        <v>342</v>
      </c>
      <c r="B189" s="18" t="s">
        <v>160</v>
      </c>
      <c r="C189" s="19" t="s">
        <v>394</v>
      </c>
      <c r="D189" s="18" t="s">
        <v>393</v>
      </c>
      <c r="E189" s="3">
        <v>66960000</v>
      </c>
      <c r="F189" s="17">
        <v>43777</v>
      </c>
      <c r="G189" s="3">
        <v>66960000</v>
      </c>
      <c r="H189" s="2">
        <v>5.0000000000000001E-3</v>
      </c>
      <c r="I189" s="17">
        <v>43800</v>
      </c>
      <c r="J189" s="17">
        <v>43830</v>
      </c>
      <c r="K189" s="3">
        <f>J189-I189+1</f>
        <v>31</v>
      </c>
      <c r="L189" s="3">
        <f>ROUND(G189*H189*K189/365,0)</f>
        <v>28435</v>
      </c>
      <c r="M189" s="3">
        <v>66960000</v>
      </c>
    </row>
    <row r="190" spans="1:13" s="16" customFormat="1" outlineLevel="2">
      <c r="A190" s="17" t="s">
        <v>342</v>
      </c>
      <c r="B190" s="18" t="s">
        <v>157</v>
      </c>
      <c r="C190" s="19" t="s">
        <v>394</v>
      </c>
      <c r="D190" s="18" t="s">
        <v>393</v>
      </c>
      <c r="E190" s="3">
        <v>37624000</v>
      </c>
      <c r="F190" s="17">
        <v>43777</v>
      </c>
      <c r="G190" s="3">
        <v>37624000</v>
      </c>
      <c r="H190" s="2">
        <v>5.0000000000000001E-3</v>
      </c>
      <c r="I190" s="17">
        <v>43800</v>
      </c>
      <c r="J190" s="17">
        <v>43830</v>
      </c>
      <c r="K190" s="3">
        <f>J190-I190+1</f>
        <v>31</v>
      </c>
      <c r="L190" s="3">
        <f>ROUND(G190*H190*K190/365,0)</f>
        <v>15977</v>
      </c>
      <c r="M190" s="3">
        <v>37624000</v>
      </c>
    </row>
    <row r="191" spans="1:13" s="16" customFormat="1" outlineLevel="2">
      <c r="A191" s="17" t="s">
        <v>342</v>
      </c>
      <c r="B191" s="18" t="s">
        <v>156</v>
      </c>
      <c r="C191" s="19" t="s">
        <v>394</v>
      </c>
      <c r="D191" s="18" t="s">
        <v>393</v>
      </c>
      <c r="E191" s="3">
        <v>37624000</v>
      </c>
      <c r="F191" s="17">
        <v>43780</v>
      </c>
      <c r="G191" s="3">
        <v>37624000</v>
      </c>
      <c r="H191" s="2">
        <v>5.0000000000000001E-3</v>
      </c>
      <c r="I191" s="17">
        <v>43800</v>
      </c>
      <c r="J191" s="17">
        <v>43830</v>
      </c>
      <c r="K191" s="3">
        <f>J191-I191+1</f>
        <v>31</v>
      </c>
      <c r="L191" s="3">
        <f>ROUND(G191*H191*K191/365,0)</f>
        <v>15977</v>
      </c>
      <c r="M191" s="3">
        <v>37624000</v>
      </c>
    </row>
    <row r="192" spans="1:13" s="16" customFormat="1" outlineLevel="2">
      <c r="A192" s="17" t="s">
        <v>342</v>
      </c>
      <c r="B192" s="18" t="s">
        <v>30</v>
      </c>
      <c r="C192" s="19" t="s">
        <v>159</v>
      </c>
      <c r="D192" s="18" t="s">
        <v>158</v>
      </c>
      <c r="E192" s="3">
        <v>79839000</v>
      </c>
      <c r="F192" s="17">
        <v>43663</v>
      </c>
      <c r="G192" s="3">
        <v>79839000</v>
      </c>
      <c r="H192" s="2">
        <v>1.4999999999999999E-2</v>
      </c>
      <c r="I192" s="17">
        <v>43800</v>
      </c>
      <c r="J192" s="17">
        <v>43830</v>
      </c>
      <c r="K192" s="3">
        <f>J192-I192+1</f>
        <v>31</v>
      </c>
      <c r="L192" s="3">
        <f>ROUND(G192*H192*K192/365,0)</f>
        <v>101713</v>
      </c>
      <c r="M192" s="3">
        <v>79839000</v>
      </c>
    </row>
    <row r="193" spans="1:13" s="16" customFormat="1" outlineLevel="2">
      <c r="A193" s="17" t="s">
        <v>342</v>
      </c>
      <c r="B193" s="18" t="s">
        <v>155</v>
      </c>
      <c r="C193" s="19" t="s">
        <v>280</v>
      </c>
      <c r="D193" s="18" t="s">
        <v>279</v>
      </c>
      <c r="E193" s="3">
        <v>25000000</v>
      </c>
      <c r="F193" s="17">
        <v>43784</v>
      </c>
      <c r="G193" s="3">
        <v>25000000</v>
      </c>
      <c r="H193" s="2">
        <v>5.0000000000000001E-3</v>
      </c>
      <c r="I193" s="17">
        <v>43800</v>
      </c>
      <c r="J193" s="17">
        <v>43830</v>
      </c>
      <c r="K193" s="3">
        <f>J193-I193+1</f>
        <v>31</v>
      </c>
      <c r="L193" s="3">
        <f>ROUND(G193*H193*K193/365,0)</f>
        <v>10616</v>
      </c>
      <c r="M193" s="3">
        <v>25000000</v>
      </c>
    </row>
    <row r="194" spans="1:13" s="16" customFormat="1" outlineLevel="2">
      <c r="A194" s="17" t="s">
        <v>342</v>
      </c>
      <c r="B194" s="18" t="s">
        <v>154</v>
      </c>
      <c r="C194" s="19" t="s">
        <v>280</v>
      </c>
      <c r="D194" s="18" t="s">
        <v>279</v>
      </c>
      <c r="E194" s="3">
        <v>60000000</v>
      </c>
      <c r="F194" s="17">
        <v>43795</v>
      </c>
      <c r="G194" s="3">
        <v>60000000</v>
      </c>
      <c r="H194" s="2">
        <v>5.0000000000000001E-3</v>
      </c>
      <c r="I194" s="17">
        <v>43800</v>
      </c>
      <c r="J194" s="17">
        <v>43830</v>
      </c>
      <c r="K194" s="3">
        <f>J194-I194+1</f>
        <v>31</v>
      </c>
      <c r="L194" s="3">
        <f>ROUND(G194*H194*K194/365,0)</f>
        <v>25479</v>
      </c>
      <c r="M194" s="3">
        <v>60000000</v>
      </c>
    </row>
    <row r="195" spans="1:13" s="16" customFormat="1" outlineLevel="2">
      <c r="A195" s="17" t="s">
        <v>342</v>
      </c>
      <c r="B195" s="18" t="s">
        <v>153</v>
      </c>
      <c r="C195" s="19" t="s">
        <v>159</v>
      </c>
      <c r="D195" s="18" t="s">
        <v>158</v>
      </c>
      <c r="E195" s="3">
        <v>6348000</v>
      </c>
      <c r="F195" s="17">
        <v>43784</v>
      </c>
      <c r="G195" s="3">
        <v>6348000</v>
      </c>
      <c r="H195" s="2">
        <v>1.4999999999999999E-2</v>
      </c>
      <c r="I195" s="17">
        <v>43800</v>
      </c>
      <c r="J195" s="17">
        <v>43830</v>
      </c>
      <c r="K195" s="3">
        <f>J195-I195+1</f>
        <v>31</v>
      </c>
      <c r="L195" s="3">
        <f>ROUND(G195*H195*K195/365,0)</f>
        <v>8087</v>
      </c>
      <c r="M195" s="3">
        <v>6348000</v>
      </c>
    </row>
    <row r="196" spans="1:13" s="16" customFormat="1" outlineLevel="2">
      <c r="A196" s="17" t="s">
        <v>342</v>
      </c>
      <c r="B196" s="18" t="s">
        <v>152</v>
      </c>
      <c r="C196" s="19" t="s">
        <v>159</v>
      </c>
      <c r="D196" s="18" t="s">
        <v>158</v>
      </c>
      <c r="E196" s="3">
        <v>11946000</v>
      </c>
      <c r="F196" s="17">
        <v>43784</v>
      </c>
      <c r="G196" s="3">
        <v>11946000</v>
      </c>
      <c r="H196" s="2">
        <v>1.4999999999999999E-2</v>
      </c>
      <c r="I196" s="17">
        <v>43800</v>
      </c>
      <c r="J196" s="17">
        <v>43830</v>
      </c>
      <c r="K196" s="3">
        <f>J196-I196+1</f>
        <v>31</v>
      </c>
      <c r="L196" s="3">
        <f>ROUND(G196*H196*K196/365,0)</f>
        <v>15219</v>
      </c>
      <c r="M196" s="3">
        <v>11946000</v>
      </c>
    </row>
    <row r="197" spans="1:13" s="16" customFormat="1" outlineLevel="2">
      <c r="A197" s="17" t="s">
        <v>342</v>
      </c>
      <c r="B197" s="18" t="s">
        <v>151</v>
      </c>
      <c r="C197" s="19" t="s">
        <v>344</v>
      </c>
      <c r="D197" s="18" t="s">
        <v>343</v>
      </c>
      <c r="E197" s="3">
        <v>64000000</v>
      </c>
      <c r="F197" s="17">
        <v>43784</v>
      </c>
      <c r="G197" s="3">
        <v>64000000</v>
      </c>
      <c r="H197" s="2">
        <v>5.0000000000000001E-3</v>
      </c>
      <c r="I197" s="17">
        <v>43800</v>
      </c>
      <c r="J197" s="17">
        <v>43830</v>
      </c>
      <c r="K197" s="3">
        <f>J197-I197+1</f>
        <v>31</v>
      </c>
      <c r="L197" s="3">
        <f>ROUND(G197*H197*K197/365,0)</f>
        <v>27178</v>
      </c>
      <c r="M197" s="3">
        <v>64000000</v>
      </c>
    </row>
    <row r="198" spans="1:13" s="16" customFormat="1" outlineLevel="2">
      <c r="A198" s="17" t="s">
        <v>342</v>
      </c>
      <c r="B198" s="18" t="s">
        <v>196</v>
      </c>
      <c r="C198" s="19" t="s">
        <v>344</v>
      </c>
      <c r="D198" s="18" t="s">
        <v>343</v>
      </c>
      <c r="E198" s="3">
        <v>11000000</v>
      </c>
      <c r="F198" s="17">
        <v>43795</v>
      </c>
      <c r="G198" s="3">
        <v>11000000</v>
      </c>
      <c r="H198" s="2">
        <v>5.0000000000000001E-3</v>
      </c>
      <c r="I198" s="17">
        <v>43800</v>
      </c>
      <c r="J198" s="17">
        <v>43830</v>
      </c>
      <c r="K198" s="3">
        <f>J198-I198+1</f>
        <v>31</v>
      </c>
      <c r="L198" s="3">
        <f>ROUND(G198*H198*K198/365,0)</f>
        <v>4671</v>
      </c>
      <c r="M198" s="3">
        <v>11000000</v>
      </c>
    </row>
    <row r="199" spans="1:13" s="16" customFormat="1" outlineLevel="2">
      <c r="A199" s="17" t="s">
        <v>342</v>
      </c>
      <c r="B199" s="18" t="s">
        <v>195</v>
      </c>
      <c r="C199" s="19" t="s">
        <v>225</v>
      </c>
      <c r="D199" s="18" t="s">
        <v>224</v>
      </c>
      <c r="E199" s="3">
        <v>40000000</v>
      </c>
      <c r="F199" s="17">
        <v>43789</v>
      </c>
      <c r="G199" s="3">
        <v>40000000</v>
      </c>
      <c r="H199" s="2">
        <v>5.0000000000000001E-3</v>
      </c>
      <c r="I199" s="17">
        <v>43800</v>
      </c>
      <c r="J199" s="17">
        <v>43830</v>
      </c>
      <c r="K199" s="3">
        <f>J199-I199+1</f>
        <v>31</v>
      </c>
      <c r="L199" s="3">
        <f>ROUND(G199*H199*K199/365,0)</f>
        <v>16986</v>
      </c>
      <c r="M199" s="3">
        <v>40000000</v>
      </c>
    </row>
    <row r="200" spans="1:13" s="16" customFormat="1" outlineLevel="2">
      <c r="A200" s="17" t="s">
        <v>342</v>
      </c>
      <c r="B200" s="18" t="s">
        <v>194</v>
      </c>
      <c r="C200" s="19" t="s">
        <v>265</v>
      </c>
      <c r="D200" s="18" t="s">
        <v>264</v>
      </c>
      <c r="E200" s="3">
        <v>1150000</v>
      </c>
      <c r="F200" s="17">
        <v>43798</v>
      </c>
      <c r="G200" s="3">
        <v>1150000</v>
      </c>
      <c r="H200" s="2">
        <v>5.0000000000000001E-3</v>
      </c>
      <c r="I200" s="17">
        <v>43800</v>
      </c>
      <c r="J200" s="17">
        <v>43830</v>
      </c>
      <c r="K200" s="3">
        <f>J200-I200+1</f>
        <v>31</v>
      </c>
      <c r="L200" s="3">
        <f>ROUND(G200*H200*K200/365,0)</f>
        <v>488</v>
      </c>
      <c r="M200" s="3">
        <v>1150000</v>
      </c>
    </row>
    <row r="201" spans="1:13" s="16" customFormat="1" outlineLevel="2">
      <c r="A201" s="17" t="s">
        <v>342</v>
      </c>
      <c r="B201" s="18" t="s">
        <v>193</v>
      </c>
      <c r="C201" s="19" t="s">
        <v>390</v>
      </c>
      <c r="D201" s="18" t="s">
        <v>389</v>
      </c>
      <c r="E201" s="3">
        <v>15000000</v>
      </c>
      <c r="F201" s="17">
        <v>43808</v>
      </c>
      <c r="G201" s="3">
        <v>15000000</v>
      </c>
      <c r="H201" s="2">
        <v>1.4999999999999999E-2</v>
      </c>
      <c r="I201" s="17">
        <v>43808</v>
      </c>
      <c r="J201" s="17">
        <v>43830</v>
      </c>
      <c r="K201" s="3">
        <f>J201-I201+1</f>
        <v>23</v>
      </c>
      <c r="L201" s="3">
        <f>ROUND(G201*H201*K201/365,0)</f>
        <v>14178</v>
      </c>
      <c r="M201" s="3">
        <v>15000000</v>
      </c>
    </row>
    <row r="202" spans="1:13" s="16" customFormat="1" outlineLevel="2">
      <c r="A202" s="17" t="s">
        <v>342</v>
      </c>
      <c r="B202" s="18" t="s">
        <v>192</v>
      </c>
      <c r="C202" s="19" t="s">
        <v>441</v>
      </c>
      <c r="D202" s="18" t="s">
        <v>440</v>
      </c>
      <c r="E202" s="3">
        <v>4235000</v>
      </c>
      <c r="F202" s="17">
        <v>43810</v>
      </c>
      <c r="G202" s="3">
        <v>4235000</v>
      </c>
      <c r="H202" s="2">
        <v>5.0000000000000001E-3</v>
      </c>
      <c r="I202" s="17">
        <v>43810</v>
      </c>
      <c r="J202" s="17">
        <v>43830</v>
      </c>
      <c r="K202" s="3">
        <f>J202-I202+1</f>
        <v>21</v>
      </c>
      <c r="L202" s="3">
        <f>ROUND(G202*H202*K202/365,0)</f>
        <v>1218</v>
      </c>
      <c r="M202" s="3">
        <v>4235000</v>
      </c>
    </row>
    <row r="203" spans="1:13" s="16" customFormat="1" outlineLevel="2">
      <c r="A203" s="17" t="s">
        <v>342</v>
      </c>
      <c r="B203" s="18" t="s">
        <v>28</v>
      </c>
      <c r="C203" s="19" t="s">
        <v>206</v>
      </c>
      <c r="D203" s="18" t="s">
        <v>38</v>
      </c>
      <c r="E203" s="3">
        <v>67000000</v>
      </c>
      <c r="F203" s="17">
        <v>43671</v>
      </c>
      <c r="G203" s="3">
        <v>67000000</v>
      </c>
      <c r="H203" s="2">
        <v>1.4999999999999999E-2</v>
      </c>
      <c r="I203" s="17">
        <v>43800</v>
      </c>
      <c r="J203" s="17">
        <v>43830</v>
      </c>
      <c r="K203" s="3">
        <f>J203-I203+1</f>
        <v>31</v>
      </c>
      <c r="L203" s="3">
        <f>ROUND(G203*H203*K203/365,0)</f>
        <v>85356</v>
      </c>
      <c r="M203" s="3">
        <v>67000000</v>
      </c>
    </row>
    <row r="204" spans="1:13" s="16" customFormat="1" outlineLevel="2">
      <c r="A204" s="17" t="s">
        <v>342</v>
      </c>
      <c r="B204" s="18" t="s">
        <v>191</v>
      </c>
      <c r="C204" s="19" t="s">
        <v>183</v>
      </c>
      <c r="D204" s="18" t="s">
        <v>182</v>
      </c>
      <c r="E204" s="3">
        <v>6821567</v>
      </c>
      <c r="F204" s="17">
        <v>43810</v>
      </c>
      <c r="G204" s="3">
        <v>6821567</v>
      </c>
      <c r="H204" s="2">
        <v>5.0000000000000001E-3</v>
      </c>
      <c r="I204" s="17">
        <v>43810</v>
      </c>
      <c r="J204" s="17">
        <v>43830</v>
      </c>
      <c r="K204" s="3">
        <f>J204-I204+1</f>
        <v>21</v>
      </c>
      <c r="L204" s="3">
        <f>ROUND(G204*H204*K204/365,0)</f>
        <v>1962</v>
      </c>
      <c r="M204" s="3">
        <v>6821567</v>
      </c>
    </row>
    <row r="205" spans="1:13" s="16" customFormat="1" outlineLevel="2">
      <c r="A205" s="17" t="s">
        <v>342</v>
      </c>
      <c r="B205" s="18" t="s">
        <v>190</v>
      </c>
      <c r="C205" s="19" t="s">
        <v>316</v>
      </c>
      <c r="D205" s="18" t="s">
        <v>315</v>
      </c>
      <c r="E205" s="3">
        <v>38800000</v>
      </c>
      <c r="F205" s="17">
        <v>43811</v>
      </c>
      <c r="G205" s="3">
        <v>38800000</v>
      </c>
      <c r="H205" s="2">
        <v>1.4999999999999999E-2</v>
      </c>
      <c r="I205" s="17">
        <v>43811</v>
      </c>
      <c r="J205" s="17">
        <v>43830</v>
      </c>
      <c r="K205" s="3">
        <f>J205-I205+1</f>
        <v>20</v>
      </c>
      <c r="L205" s="3">
        <f>ROUND(G205*H205*K205/365,0)</f>
        <v>31890</v>
      </c>
      <c r="M205" s="3">
        <v>38800000</v>
      </c>
    </row>
    <row r="206" spans="1:13" s="16" customFormat="1" outlineLevel="2">
      <c r="A206" s="17" t="s">
        <v>342</v>
      </c>
      <c r="B206" s="18" t="s">
        <v>189</v>
      </c>
      <c r="C206" s="19" t="s">
        <v>280</v>
      </c>
      <c r="D206" s="18" t="s">
        <v>279</v>
      </c>
      <c r="E206" s="3">
        <v>39000000</v>
      </c>
      <c r="F206" s="17">
        <v>43815</v>
      </c>
      <c r="G206" s="3">
        <v>39000000</v>
      </c>
      <c r="H206" s="2">
        <v>5.0000000000000001E-3</v>
      </c>
      <c r="I206" s="17">
        <v>43815</v>
      </c>
      <c r="J206" s="17">
        <v>43830</v>
      </c>
      <c r="K206" s="3">
        <f>J206-I206+1</f>
        <v>16</v>
      </c>
      <c r="L206" s="3">
        <f>ROUND(G206*H206*K206/365,0)</f>
        <v>8548</v>
      </c>
      <c r="M206" s="3">
        <v>39000000</v>
      </c>
    </row>
    <row r="207" spans="1:13" s="16" customFormat="1" outlineLevel="2">
      <c r="A207" s="17" t="s">
        <v>342</v>
      </c>
      <c r="B207" s="18" t="s">
        <v>186</v>
      </c>
      <c r="C207" s="19" t="s">
        <v>280</v>
      </c>
      <c r="D207" s="18" t="s">
        <v>279</v>
      </c>
      <c r="E207" s="3">
        <v>65000000</v>
      </c>
      <c r="F207" s="17">
        <v>43825</v>
      </c>
      <c r="G207" s="3">
        <v>65000000</v>
      </c>
      <c r="H207" s="2">
        <v>5.0000000000000001E-3</v>
      </c>
      <c r="I207" s="17">
        <v>43825</v>
      </c>
      <c r="J207" s="17">
        <v>43830</v>
      </c>
      <c r="K207" s="3">
        <f>J207-I207+1</f>
        <v>6</v>
      </c>
      <c r="L207" s="3">
        <f>ROUND(G207*H207*K207/365,0)</f>
        <v>5342</v>
      </c>
      <c r="M207" s="3">
        <v>65000000</v>
      </c>
    </row>
    <row r="208" spans="1:13" s="16" customFormat="1" outlineLevel="2">
      <c r="A208" s="17" t="s">
        <v>342</v>
      </c>
      <c r="B208" s="18" t="s">
        <v>228</v>
      </c>
      <c r="C208" s="19" t="s">
        <v>456</v>
      </c>
      <c r="D208" s="18" t="s">
        <v>455</v>
      </c>
      <c r="E208" s="3">
        <v>10000000</v>
      </c>
      <c r="F208" s="17">
        <v>43815</v>
      </c>
      <c r="G208" s="3">
        <v>10000000</v>
      </c>
      <c r="H208" s="2">
        <v>5.0000000000000001E-3</v>
      </c>
      <c r="I208" s="17">
        <v>43815</v>
      </c>
      <c r="J208" s="17">
        <v>43830</v>
      </c>
      <c r="K208" s="3">
        <f>J208-I208+1</f>
        <v>16</v>
      </c>
      <c r="L208" s="3">
        <f>ROUND(G208*H208*K208/365,0)</f>
        <v>2192</v>
      </c>
      <c r="M208" s="3">
        <v>10000000</v>
      </c>
    </row>
    <row r="209" spans="1:13" s="16" customFormat="1" outlineLevel="2">
      <c r="A209" s="17" t="s">
        <v>342</v>
      </c>
      <c r="B209" s="18" t="s">
        <v>227</v>
      </c>
      <c r="C209" s="19" t="s">
        <v>159</v>
      </c>
      <c r="D209" s="18" t="s">
        <v>158</v>
      </c>
      <c r="E209" s="3">
        <v>6542000</v>
      </c>
      <c r="F209" s="17">
        <v>43816</v>
      </c>
      <c r="G209" s="3">
        <v>6542000</v>
      </c>
      <c r="H209" s="2">
        <v>1.4999999999999999E-2</v>
      </c>
      <c r="I209" s="17">
        <v>43816</v>
      </c>
      <c r="J209" s="17">
        <v>43830</v>
      </c>
      <c r="K209" s="3">
        <f>J209-I209+1</f>
        <v>15</v>
      </c>
      <c r="L209" s="3">
        <f>ROUND(G209*H209*K209/365,0)</f>
        <v>4033</v>
      </c>
      <c r="M209" s="3">
        <v>6542000</v>
      </c>
    </row>
    <row r="210" spans="1:13" s="16" customFormat="1" outlineLevel="2">
      <c r="A210" s="17" t="s">
        <v>342</v>
      </c>
      <c r="B210" s="18" t="s">
        <v>226</v>
      </c>
      <c r="C210" s="19" t="s">
        <v>159</v>
      </c>
      <c r="D210" s="18" t="s">
        <v>158</v>
      </c>
      <c r="E210" s="3">
        <v>29935000</v>
      </c>
      <c r="F210" s="17">
        <v>43816</v>
      </c>
      <c r="G210" s="3">
        <v>29935000</v>
      </c>
      <c r="H210" s="2">
        <v>1.4999999999999999E-2</v>
      </c>
      <c r="I210" s="17">
        <v>43816</v>
      </c>
      <c r="J210" s="17">
        <v>43830</v>
      </c>
      <c r="K210" s="3">
        <f>J210-I210+1</f>
        <v>15</v>
      </c>
      <c r="L210" s="3">
        <f>ROUND(G210*H210*K210/365,0)</f>
        <v>18453</v>
      </c>
      <c r="M210" s="3">
        <v>29935000</v>
      </c>
    </row>
    <row r="211" spans="1:13" s="16" customFormat="1" outlineLevel="2">
      <c r="A211" s="17" t="s">
        <v>342</v>
      </c>
      <c r="B211" s="18" t="s">
        <v>48</v>
      </c>
      <c r="C211" s="19" t="s">
        <v>159</v>
      </c>
      <c r="D211" s="18" t="s">
        <v>158</v>
      </c>
      <c r="E211" s="3">
        <v>6635000</v>
      </c>
      <c r="F211" s="17">
        <v>43693</v>
      </c>
      <c r="G211" s="3">
        <v>6635000</v>
      </c>
      <c r="H211" s="2">
        <v>1.4999999999999999E-2</v>
      </c>
      <c r="I211" s="17">
        <v>43800</v>
      </c>
      <c r="J211" s="17">
        <v>43830</v>
      </c>
      <c r="K211" s="3">
        <f>J211-I211+1</f>
        <v>31</v>
      </c>
      <c r="L211" s="3">
        <f>ROUND(G211*H211*K211/365,0)</f>
        <v>8453</v>
      </c>
      <c r="M211" s="3">
        <v>6635000</v>
      </c>
    </row>
    <row r="212" spans="1:13" s="16" customFormat="1" outlineLevel="2">
      <c r="A212" s="17" t="s">
        <v>342</v>
      </c>
      <c r="B212" s="18" t="s">
        <v>47</v>
      </c>
      <c r="C212" s="19" t="s">
        <v>159</v>
      </c>
      <c r="D212" s="18" t="s">
        <v>158</v>
      </c>
      <c r="E212" s="3">
        <v>18206000</v>
      </c>
      <c r="F212" s="17">
        <v>43693</v>
      </c>
      <c r="G212" s="3">
        <v>18206000</v>
      </c>
      <c r="H212" s="2">
        <v>1.4999999999999999E-2</v>
      </c>
      <c r="I212" s="17">
        <v>43800</v>
      </c>
      <c r="J212" s="17">
        <v>43830</v>
      </c>
      <c r="K212" s="3">
        <f>J212-I212+1</f>
        <v>31</v>
      </c>
      <c r="L212" s="3">
        <f>ROUND(G212*H212*K212/365,0)</f>
        <v>23194</v>
      </c>
      <c r="M212" s="3">
        <v>18206000</v>
      </c>
    </row>
    <row r="213" spans="1:13" s="16" customFormat="1" outlineLevel="2">
      <c r="A213" s="17" t="s">
        <v>342</v>
      </c>
      <c r="B213" s="18" t="s">
        <v>46</v>
      </c>
      <c r="C213" s="19" t="s">
        <v>183</v>
      </c>
      <c r="D213" s="18" t="s">
        <v>182</v>
      </c>
      <c r="E213" s="3">
        <v>11182589</v>
      </c>
      <c r="F213" s="17">
        <v>43718</v>
      </c>
      <c r="G213" s="3">
        <v>11182589</v>
      </c>
      <c r="H213" s="2">
        <v>5.0000000000000001E-3</v>
      </c>
      <c r="I213" s="17">
        <v>43800</v>
      </c>
      <c r="J213" s="17">
        <v>43830</v>
      </c>
      <c r="K213" s="3">
        <f>J213-I213+1</f>
        <v>31</v>
      </c>
      <c r="L213" s="3">
        <f>ROUND(G213*H213*K213/365,0)</f>
        <v>4749</v>
      </c>
      <c r="M213" s="3">
        <v>11182589</v>
      </c>
    </row>
    <row r="214" spans="1:13" s="16" customFormat="1" outlineLevel="2">
      <c r="A214" s="17" t="s">
        <v>342</v>
      </c>
      <c r="B214" s="18" t="s">
        <v>45</v>
      </c>
      <c r="C214" s="19" t="s">
        <v>280</v>
      </c>
      <c r="D214" s="18" t="s">
        <v>279</v>
      </c>
      <c r="E214" s="3">
        <v>100000000</v>
      </c>
      <c r="F214" s="17">
        <v>43724</v>
      </c>
      <c r="G214" s="3">
        <v>100000000</v>
      </c>
      <c r="H214" s="2">
        <v>5.0000000000000001E-3</v>
      </c>
      <c r="I214" s="17">
        <v>43800</v>
      </c>
      <c r="J214" s="17">
        <v>43830</v>
      </c>
      <c r="K214" s="3">
        <f>J214-I214+1</f>
        <v>31</v>
      </c>
      <c r="L214" s="3">
        <f>ROUND(G214*H214*K214/365,0)</f>
        <v>42466</v>
      </c>
      <c r="M214" s="3">
        <v>100000000</v>
      </c>
    </row>
    <row r="215" spans="1:13" s="16" customFormat="1" outlineLevel="2">
      <c r="A215" s="17" t="s">
        <v>342</v>
      </c>
      <c r="B215" s="18" t="s">
        <v>44</v>
      </c>
      <c r="C215" s="19" t="s">
        <v>159</v>
      </c>
      <c r="D215" s="18" t="s">
        <v>158</v>
      </c>
      <c r="E215" s="3">
        <v>3675000</v>
      </c>
      <c r="F215" s="17">
        <v>43725</v>
      </c>
      <c r="G215" s="3">
        <v>3675000</v>
      </c>
      <c r="H215" s="2">
        <v>1.4999999999999999E-2</v>
      </c>
      <c r="I215" s="17">
        <v>43800</v>
      </c>
      <c r="J215" s="17">
        <v>43830</v>
      </c>
      <c r="K215" s="3">
        <f>J215-I215+1</f>
        <v>31</v>
      </c>
      <c r="L215" s="3">
        <f>ROUND(G215*H215*K215/365,0)</f>
        <v>4682</v>
      </c>
      <c r="M215" s="3">
        <v>3675000</v>
      </c>
    </row>
    <row r="216" spans="1:13" s="16" customFormat="1" outlineLevel="1">
      <c r="A216" s="28" t="s">
        <v>341</v>
      </c>
      <c r="B216" s="21"/>
      <c r="C216" s="22"/>
      <c r="D216" s="21"/>
      <c r="E216" s="23">
        <f>SUBTOTAL(9,E170:E215)</f>
        <v>1649900038</v>
      </c>
      <c r="F216" s="20"/>
      <c r="G216" s="23"/>
      <c r="H216" s="24"/>
      <c r="I216" s="20"/>
      <c r="J216" s="20"/>
      <c r="K216" s="23"/>
      <c r="L216" s="23">
        <f>SUBTOTAL(9,L170:L215)</f>
        <v>1016072</v>
      </c>
      <c r="M216" s="23">
        <f>SUBTOTAL(9,M170:M215)</f>
        <v>1649900038</v>
      </c>
    </row>
    <row r="217" spans="1:13" s="16" customFormat="1" outlineLevel="2">
      <c r="A217" s="17" t="s">
        <v>338</v>
      </c>
      <c r="B217" s="18" t="s">
        <v>17</v>
      </c>
      <c r="C217" s="19" t="s">
        <v>54</v>
      </c>
      <c r="D217" s="18" t="s">
        <v>34</v>
      </c>
      <c r="E217" s="3">
        <v>21800000</v>
      </c>
      <c r="F217" s="17">
        <v>43591</v>
      </c>
      <c r="G217" s="3">
        <v>21800000</v>
      </c>
      <c r="H217" s="2">
        <v>1.4999999999999999E-2</v>
      </c>
      <c r="I217" s="17">
        <v>43800</v>
      </c>
      <c r="J217" s="17">
        <v>43830</v>
      </c>
      <c r="K217" s="3">
        <f>J217-I217+1</f>
        <v>31</v>
      </c>
      <c r="L217" s="3">
        <f>ROUND(G217*H217*K217/365,0)</f>
        <v>27773</v>
      </c>
      <c r="M217" s="3">
        <v>21800000</v>
      </c>
    </row>
    <row r="218" spans="1:13" s="16" customFormat="1" outlineLevel="2">
      <c r="A218" s="17" t="s">
        <v>338</v>
      </c>
      <c r="B218" s="18" t="s">
        <v>181</v>
      </c>
      <c r="C218" s="19" t="s">
        <v>54</v>
      </c>
      <c r="D218" s="18" t="s">
        <v>34</v>
      </c>
      <c r="E218" s="3">
        <v>662000</v>
      </c>
      <c r="F218" s="17">
        <v>43733</v>
      </c>
      <c r="G218" s="3">
        <v>662000</v>
      </c>
      <c r="H218" s="2">
        <v>1.4999999999999999E-2</v>
      </c>
      <c r="I218" s="17">
        <v>43800</v>
      </c>
      <c r="J218" s="17">
        <v>43830</v>
      </c>
      <c r="K218" s="3">
        <f>J218-I218+1</f>
        <v>31</v>
      </c>
      <c r="L218" s="3">
        <f>ROUND(G218*H218*K218/365,0)</f>
        <v>843</v>
      </c>
      <c r="M218" s="3">
        <v>662000</v>
      </c>
    </row>
    <row r="219" spans="1:13" s="16" customFormat="1" outlineLevel="2">
      <c r="A219" s="17" t="s">
        <v>338</v>
      </c>
      <c r="B219" s="18" t="s">
        <v>180</v>
      </c>
      <c r="C219" s="19" t="s">
        <v>54</v>
      </c>
      <c r="D219" s="18" t="s">
        <v>34</v>
      </c>
      <c r="E219" s="3">
        <v>7250000</v>
      </c>
      <c r="F219" s="17">
        <v>43745</v>
      </c>
      <c r="G219" s="3">
        <v>7250000</v>
      </c>
      <c r="H219" s="2">
        <v>1.4999999999999999E-2</v>
      </c>
      <c r="I219" s="17">
        <v>43800</v>
      </c>
      <c r="J219" s="17">
        <v>43830</v>
      </c>
      <c r="K219" s="3">
        <f>J219-I219+1</f>
        <v>31</v>
      </c>
      <c r="L219" s="3">
        <f>ROUND(G219*H219*K219/365,0)</f>
        <v>9236</v>
      </c>
      <c r="M219" s="3">
        <v>7250000</v>
      </c>
    </row>
    <row r="220" spans="1:13" s="16" customFormat="1" outlineLevel="2">
      <c r="A220" s="17" t="s">
        <v>338</v>
      </c>
      <c r="B220" s="18" t="s">
        <v>179</v>
      </c>
      <c r="C220" s="19" t="s">
        <v>54</v>
      </c>
      <c r="D220" s="18" t="s">
        <v>34</v>
      </c>
      <c r="E220" s="3">
        <v>1095000</v>
      </c>
      <c r="F220" s="17">
        <v>43753</v>
      </c>
      <c r="G220" s="3">
        <v>1095000</v>
      </c>
      <c r="H220" s="2">
        <v>1.4999999999999999E-2</v>
      </c>
      <c r="I220" s="17">
        <v>43800</v>
      </c>
      <c r="J220" s="17">
        <v>43830</v>
      </c>
      <c r="K220" s="3">
        <f>J220-I220+1</f>
        <v>31</v>
      </c>
      <c r="L220" s="3">
        <f>ROUND(G220*H220*K220/365,0)</f>
        <v>1395</v>
      </c>
      <c r="M220" s="3">
        <v>1095000</v>
      </c>
    </row>
    <row r="221" spans="1:13" s="16" customFormat="1" outlineLevel="2">
      <c r="A221" s="17" t="s">
        <v>338</v>
      </c>
      <c r="B221" s="18" t="s">
        <v>178</v>
      </c>
      <c r="C221" s="19" t="s">
        <v>54</v>
      </c>
      <c r="D221" s="18" t="s">
        <v>34</v>
      </c>
      <c r="E221" s="3">
        <v>10906000</v>
      </c>
      <c r="F221" s="17">
        <v>43763</v>
      </c>
      <c r="G221" s="3">
        <v>10906000</v>
      </c>
      <c r="H221" s="2">
        <v>1.4999999999999999E-2</v>
      </c>
      <c r="I221" s="17">
        <v>43800</v>
      </c>
      <c r="J221" s="17">
        <v>43830</v>
      </c>
      <c r="K221" s="3">
        <f>J221-I221+1</f>
        <v>31</v>
      </c>
      <c r="L221" s="3">
        <f>ROUND(G221*H221*K221/365,0)</f>
        <v>13894</v>
      </c>
      <c r="M221" s="3">
        <v>10906000</v>
      </c>
    </row>
    <row r="222" spans="1:13" s="16" customFormat="1" outlineLevel="2">
      <c r="A222" s="17" t="s">
        <v>338</v>
      </c>
      <c r="B222" s="18" t="s">
        <v>177</v>
      </c>
      <c r="C222" s="19" t="s">
        <v>340</v>
      </c>
      <c r="D222" s="18" t="s">
        <v>339</v>
      </c>
      <c r="E222" s="3">
        <v>50000000</v>
      </c>
      <c r="F222" s="17">
        <v>43753</v>
      </c>
      <c r="G222" s="3">
        <v>49404761</v>
      </c>
      <c r="H222" s="2">
        <v>1.4999999999999999E-2</v>
      </c>
      <c r="I222" s="17">
        <v>43800</v>
      </c>
      <c r="J222" s="17">
        <v>43814</v>
      </c>
      <c r="K222" s="3">
        <f>J222-I222+1</f>
        <v>15</v>
      </c>
      <c r="L222" s="3">
        <f>ROUND(G222*H222*K222/365,0)</f>
        <v>30455</v>
      </c>
      <c r="M222" s="3">
        <v>48809522</v>
      </c>
    </row>
    <row r="223" spans="1:13" s="16" customFormat="1" outlineLevel="2">
      <c r="A223" s="17" t="s">
        <v>338</v>
      </c>
      <c r="B223" s="18" t="s">
        <v>177</v>
      </c>
      <c r="C223" s="19" t="s">
        <v>340</v>
      </c>
      <c r="D223" s="18"/>
      <c r="E223" s="3"/>
      <c r="F223" s="17"/>
      <c r="G223" s="3">
        <v>48809522</v>
      </c>
      <c r="H223" s="2">
        <v>1.4999999999999999E-2</v>
      </c>
      <c r="I223" s="17">
        <v>43815</v>
      </c>
      <c r="J223" s="17">
        <v>43830</v>
      </c>
      <c r="K223" s="3">
        <f>J223-I223+1</f>
        <v>16</v>
      </c>
      <c r="L223" s="3">
        <f>ROUND(G223*H223*K223/365,0)</f>
        <v>32094</v>
      </c>
      <c r="M223" s="3"/>
    </row>
    <row r="224" spans="1:13" s="16" customFormat="1" outlineLevel="2">
      <c r="A224" s="17" t="s">
        <v>338</v>
      </c>
      <c r="B224" s="18" t="s">
        <v>176</v>
      </c>
      <c r="C224" s="19" t="s">
        <v>54</v>
      </c>
      <c r="D224" s="18" t="s">
        <v>34</v>
      </c>
      <c r="E224" s="3">
        <v>3233000</v>
      </c>
      <c r="F224" s="17">
        <v>43774</v>
      </c>
      <c r="G224" s="3">
        <v>3233000</v>
      </c>
      <c r="H224" s="2">
        <v>1.4999999999999999E-2</v>
      </c>
      <c r="I224" s="17">
        <v>43800</v>
      </c>
      <c r="J224" s="17">
        <v>43830</v>
      </c>
      <c r="K224" s="3">
        <f>J224-I224+1</f>
        <v>31</v>
      </c>
      <c r="L224" s="3">
        <f>ROUND(G224*H224*K224/365,0)</f>
        <v>4119</v>
      </c>
      <c r="M224" s="3">
        <v>3233000</v>
      </c>
    </row>
    <row r="225" spans="1:13" s="16" customFormat="1" outlineLevel="2">
      <c r="A225" s="17" t="s">
        <v>338</v>
      </c>
      <c r="B225" s="18" t="s">
        <v>175</v>
      </c>
      <c r="C225" s="19" t="s">
        <v>54</v>
      </c>
      <c r="D225" s="18" t="s">
        <v>34</v>
      </c>
      <c r="E225" s="3">
        <v>668000</v>
      </c>
      <c r="F225" s="17">
        <v>43784</v>
      </c>
      <c r="G225" s="3">
        <v>668000</v>
      </c>
      <c r="H225" s="2">
        <v>1.4999999999999999E-2</v>
      </c>
      <c r="I225" s="17">
        <v>43800</v>
      </c>
      <c r="J225" s="17">
        <v>43830</v>
      </c>
      <c r="K225" s="3">
        <f>J225-I225+1</f>
        <v>31</v>
      </c>
      <c r="L225" s="3">
        <f>ROUND(G225*H225*K225/365,0)</f>
        <v>851</v>
      </c>
      <c r="M225" s="3">
        <v>668000</v>
      </c>
    </row>
    <row r="226" spans="1:13" s="16" customFormat="1" outlineLevel="2">
      <c r="A226" s="17" t="s">
        <v>338</v>
      </c>
      <c r="B226" s="18" t="s">
        <v>174</v>
      </c>
      <c r="C226" s="19" t="s">
        <v>340</v>
      </c>
      <c r="D226" s="18" t="s">
        <v>339</v>
      </c>
      <c r="E226" s="3">
        <v>40000000</v>
      </c>
      <c r="F226" s="17">
        <v>43788</v>
      </c>
      <c r="G226" s="3">
        <v>40000000</v>
      </c>
      <c r="H226" s="2">
        <v>1.4999999999999999E-2</v>
      </c>
      <c r="I226" s="17">
        <v>43800</v>
      </c>
      <c r="J226" s="17">
        <v>43830</v>
      </c>
      <c r="K226" s="3">
        <f>J226-I226+1</f>
        <v>31</v>
      </c>
      <c r="L226" s="3">
        <f>ROUND(G226*H226*K226/365,0)</f>
        <v>50959</v>
      </c>
      <c r="M226" s="3">
        <v>40000000</v>
      </c>
    </row>
    <row r="227" spans="1:13" s="16" customFormat="1" outlineLevel="2">
      <c r="A227" s="17" t="s">
        <v>338</v>
      </c>
      <c r="B227" s="18" t="s">
        <v>171</v>
      </c>
      <c r="C227" s="19" t="s">
        <v>54</v>
      </c>
      <c r="D227" s="18" t="s">
        <v>34</v>
      </c>
      <c r="E227" s="3">
        <v>2923000</v>
      </c>
      <c r="F227" s="17">
        <v>43804</v>
      </c>
      <c r="G227" s="3">
        <v>2923000</v>
      </c>
      <c r="H227" s="2">
        <v>1.4999999999999999E-2</v>
      </c>
      <c r="I227" s="17">
        <v>43804</v>
      </c>
      <c r="J227" s="17">
        <v>43830</v>
      </c>
      <c r="K227" s="3">
        <f>J227-I227+1</f>
        <v>27</v>
      </c>
      <c r="L227" s="3">
        <f>ROUND(G227*H227*K227/365,0)</f>
        <v>3243</v>
      </c>
      <c r="M227" s="3">
        <v>2923000</v>
      </c>
    </row>
    <row r="228" spans="1:13" s="16" customFormat="1" outlineLevel="2">
      <c r="A228" s="17" t="s">
        <v>338</v>
      </c>
      <c r="B228" s="18" t="s">
        <v>170</v>
      </c>
      <c r="C228" s="19" t="s">
        <v>54</v>
      </c>
      <c r="D228" s="18" t="s">
        <v>34</v>
      </c>
      <c r="E228" s="3">
        <v>1315000</v>
      </c>
      <c r="F228" s="17">
        <v>43824</v>
      </c>
      <c r="G228" s="3">
        <v>1315000</v>
      </c>
      <c r="H228" s="2">
        <v>1.4999999999999999E-2</v>
      </c>
      <c r="I228" s="17">
        <v>43824</v>
      </c>
      <c r="J228" s="17">
        <v>43830</v>
      </c>
      <c r="K228" s="3">
        <f>J228-I228+1</f>
        <v>7</v>
      </c>
      <c r="L228" s="3">
        <f>ROUND(G228*H228*K228/365,0)</f>
        <v>378</v>
      </c>
      <c r="M228" s="3">
        <v>1315000</v>
      </c>
    </row>
    <row r="229" spans="1:13" s="16" customFormat="1" outlineLevel="2">
      <c r="A229" s="17" t="s">
        <v>338</v>
      </c>
      <c r="B229" s="18" t="s">
        <v>31</v>
      </c>
      <c r="C229" s="19" t="s">
        <v>54</v>
      </c>
      <c r="D229" s="18" t="s">
        <v>34</v>
      </c>
      <c r="E229" s="3">
        <v>32936000</v>
      </c>
      <c r="F229" s="17">
        <v>43621</v>
      </c>
      <c r="G229" s="3">
        <v>32936000</v>
      </c>
      <c r="H229" s="2">
        <v>1.4999999999999999E-2</v>
      </c>
      <c r="I229" s="17">
        <v>43800</v>
      </c>
      <c r="J229" s="17">
        <v>43830</v>
      </c>
      <c r="K229" s="3">
        <f>J229-I229+1</f>
        <v>31</v>
      </c>
      <c r="L229" s="3">
        <f>ROUND(G229*H229*K229/365,0)</f>
        <v>41960</v>
      </c>
      <c r="M229" s="3">
        <v>32936000</v>
      </c>
    </row>
    <row r="230" spans="1:13" s="16" customFormat="1" outlineLevel="2">
      <c r="A230" s="17" t="s">
        <v>338</v>
      </c>
      <c r="B230" s="18" t="s">
        <v>169</v>
      </c>
      <c r="C230" s="19" t="s">
        <v>340</v>
      </c>
      <c r="D230" s="18" t="s">
        <v>339</v>
      </c>
      <c r="E230" s="3">
        <v>40000000</v>
      </c>
      <c r="F230" s="17">
        <v>43817</v>
      </c>
      <c r="G230" s="3">
        <v>40000000</v>
      </c>
      <c r="H230" s="2">
        <v>1.4999999999999999E-2</v>
      </c>
      <c r="I230" s="17">
        <v>43817</v>
      </c>
      <c r="J230" s="17">
        <v>43830</v>
      </c>
      <c r="K230" s="3">
        <f>J230-I230+1</f>
        <v>14</v>
      </c>
      <c r="L230" s="3">
        <f>ROUND(G230*H230*K230/365,0)</f>
        <v>23014</v>
      </c>
      <c r="M230" s="3">
        <v>40000000</v>
      </c>
    </row>
    <row r="231" spans="1:13" s="16" customFormat="1" outlineLevel="2">
      <c r="A231" s="17" t="s">
        <v>338</v>
      </c>
      <c r="B231" s="18" t="s">
        <v>168</v>
      </c>
      <c r="C231" s="19" t="s">
        <v>402</v>
      </c>
      <c r="D231" s="18" t="s">
        <v>401</v>
      </c>
      <c r="E231" s="3">
        <v>200000000</v>
      </c>
      <c r="F231" s="17">
        <v>43830</v>
      </c>
      <c r="G231" s="3">
        <v>200000000</v>
      </c>
      <c r="H231" s="2">
        <v>3.0000000000000001E-3</v>
      </c>
      <c r="I231" s="17">
        <v>43830</v>
      </c>
      <c r="J231" s="17">
        <v>43830</v>
      </c>
      <c r="K231" s="3">
        <f>J231-I231+1</f>
        <v>1</v>
      </c>
      <c r="L231" s="3">
        <f>ROUND(G231*H231*K231/365,0)</f>
        <v>1644</v>
      </c>
      <c r="M231" s="3">
        <v>200000000</v>
      </c>
    </row>
    <row r="232" spans="1:13" s="16" customFormat="1" outlineLevel="2">
      <c r="A232" s="17" t="s">
        <v>338</v>
      </c>
      <c r="B232" s="18" t="s">
        <v>30</v>
      </c>
      <c r="C232" s="19" t="s">
        <v>54</v>
      </c>
      <c r="D232" s="18" t="s">
        <v>34</v>
      </c>
      <c r="E232" s="3">
        <v>1621000</v>
      </c>
      <c r="F232" s="17">
        <v>43641</v>
      </c>
      <c r="G232" s="3">
        <v>1621000</v>
      </c>
      <c r="H232" s="2">
        <v>1.4999999999999999E-2</v>
      </c>
      <c r="I232" s="17">
        <v>43800</v>
      </c>
      <c r="J232" s="17">
        <v>43830</v>
      </c>
      <c r="K232" s="3">
        <f>J232-I232+1</f>
        <v>31</v>
      </c>
      <c r="L232" s="3">
        <f>ROUND(G232*H232*K232/365,0)</f>
        <v>2065</v>
      </c>
      <c r="M232" s="3">
        <v>1621000</v>
      </c>
    </row>
    <row r="233" spans="1:13" s="16" customFormat="1" outlineLevel="2">
      <c r="A233" s="17" t="s">
        <v>338</v>
      </c>
      <c r="B233" s="18" t="s">
        <v>28</v>
      </c>
      <c r="C233" s="19" t="s">
        <v>54</v>
      </c>
      <c r="D233" s="18" t="s">
        <v>34</v>
      </c>
      <c r="E233" s="3">
        <v>8005000</v>
      </c>
      <c r="F233" s="17">
        <v>43651</v>
      </c>
      <c r="G233" s="3">
        <v>8005000</v>
      </c>
      <c r="H233" s="2">
        <v>1.4999999999999999E-2</v>
      </c>
      <c r="I233" s="17">
        <v>43800</v>
      </c>
      <c r="J233" s="17">
        <v>43830</v>
      </c>
      <c r="K233" s="3">
        <f>J233-I233+1</f>
        <v>31</v>
      </c>
      <c r="L233" s="3">
        <f>ROUND(G233*H233*K233/365,0)</f>
        <v>10198</v>
      </c>
      <c r="M233" s="3">
        <v>8005000</v>
      </c>
    </row>
    <row r="234" spans="1:13" s="16" customFormat="1" outlineLevel="2">
      <c r="A234" s="17" t="s">
        <v>338</v>
      </c>
      <c r="B234" s="18" t="s">
        <v>48</v>
      </c>
      <c r="C234" s="19" t="s">
        <v>54</v>
      </c>
      <c r="D234" s="18" t="s">
        <v>34</v>
      </c>
      <c r="E234" s="3">
        <v>90124000</v>
      </c>
      <c r="F234" s="17">
        <v>43661</v>
      </c>
      <c r="G234" s="3">
        <v>90124000</v>
      </c>
      <c r="H234" s="2">
        <v>1.4999999999999999E-2</v>
      </c>
      <c r="I234" s="17">
        <v>43800</v>
      </c>
      <c r="J234" s="17">
        <v>43830</v>
      </c>
      <c r="K234" s="3">
        <f>J234-I234+1</f>
        <v>31</v>
      </c>
      <c r="L234" s="3">
        <f>ROUND(G234*H234*K234/365,0)</f>
        <v>114816</v>
      </c>
      <c r="M234" s="3">
        <v>90124000</v>
      </c>
    </row>
    <row r="235" spans="1:13" s="16" customFormat="1" outlineLevel="2">
      <c r="A235" s="17" t="s">
        <v>338</v>
      </c>
      <c r="B235" s="18" t="s">
        <v>47</v>
      </c>
      <c r="C235" s="19" t="s">
        <v>54</v>
      </c>
      <c r="D235" s="18" t="s">
        <v>34</v>
      </c>
      <c r="E235" s="3">
        <v>4113000</v>
      </c>
      <c r="F235" s="17">
        <v>43682</v>
      </c>
      <c r="G235" s="3">
        <v>4113000</v>
      </c>
      <c r="H235" s="2">
        <v>1.4999999999999999E-2</v>
      </c>
      <c r="I235" s="17">
        <v>43800</v>
      </c>
      <c r="J235" s="17">
        <v>43830</v>
      </c>
      <c r="K235" s="3">
        <f>J235-I235+1</f>
        <v>31</v>
      </c>
      <c r="L235" s="3">
        <f>ROUND(G235*H235*K235/365,0)</f>
        <v>5240</v>
      </c>
      <c r="M235" s="3">
        <v>4113000</v>
      </c>
    </row>
    <row r="236" spans="1:13" s="16" customFormat="1" outlineLevel="2">
      <c r="A236" s="17" t="s">
        <v>338</v>
      </c>
      <c r="B236" s="18" t="s">
        <v>46</v>
      </c>
      <c r="C236" s="19" t="s">
        <v>54</v>
      </c>
      <c r="D236" s="18" t="s">
        <v>34</v>
      </c>
      <c r="E236" s="3">
        <v>166000</v>
      </c>
      <c r="F236" s="17">
        <v>43692</v>
      </c>
      <c r="G236" s="3">
        <v>166000</v>
      </c>
      <c r="H236" s="2">
        <v>1.4999999999999999E-2</v>
      </c>
      <c r="I236" s="17">
        <v>43800</v>
      </c>
      <c r="J236" s="17">
        <v>43830</v>
      </c>
      <c r="K236" s="3">
        <f>J236-I236+1</f>
        <v>31</v>
      </c>
      <c r="L236" s="3">
        <f>ROUND(G236*H236*K236/365,0)</f>
        <v>211</v>
      </c>
      <c r="M236" s="3">
        <v>166000</v>
      </c>
    </row>
    <row r="237" spans="1:13" s="16" customFormat="1" outlineLevel="2">
      <c r="A237" s="17" t="s">
        <v>338</v>
      </c>
      <c r="B237" s="18" t="s">
        <v>45</v>
      </c>
      <c r="C237" s="19" t="s">
        <v>54</v>
      </c>
      <c r="D237" s="18" t="s">
        <v>34</v>
      </c>
      <c r="E237" s="3">
        <v>1538000</v>
      </c>
      <c r="F237" s="17">
        <v>43703</v>
      </c>
      <c r="G237" s="3">
        <v>1538000</v>
      </c>
      <c r="H237" s="2">
        <v>1.4999999999999999E-2</v>
      </c>
      <c r="I237" s="17">
        <v>43800</v>
      </c>
      <c r="J237" s="17">
        <v>43830</v>
      </c>
      <c r="K237" s="3">
        <f>J237-I237+1</f>
        <v>31</v>
      </c>
      <c r="L237" s="3">
        <f>ROUND(G237*H237*K237/365,0)</f>
        <v>1959</v>
      </c>
      <c r="M237" s="3">
        <v>1538000</v>
      </c>
    </row>
    <row r="238" spans="1:13" s="16" customFormat="1" outlineLevel="2">
      <c r="A238" s="17" t="s">
        <v>338</v>
      </c>
      <c r="B238" s="18" t="s">
        <v>44</v>
      </c>
      <c r="C238" s="19" t="s">
        <v>54</v>
      </c>
      <c r="D238" s="18" t="s">
        <v>34</v>
      </c>
      <c r="E238" s="3">
        <v>13954000</v>
      </c>
      <c r="F238" s="17">
        <v>43713</v>
      </c>
      <c r="G238" s="3">
        <v>13954000</v>
      </c>
      <c r="H238" s="2">
        <v>1.4999999999999999E-2</v>
      </c>
      <c r="I238" s="17">
        <v>43800</v>
      </c>
      <c r="J238" s="17">
        <v>43830</v>
      </c>
      <c r="K238" s="3">
        <f>J238-I238+1</f>
        <v>31</v>
      </c>
      <c r="L238" s="3">
        <f>ROUND(G238*H238*K238/365,0)</f>
        <v>17777</v>
      </c>
      <c r="M238" s="3">
        <v>13954000</v>
      </c>
    </row>
    <row r="239" spans="1:13" s="16" customFormat="1" outlineLevel="1">
      <c r="A239" s="28" t="s">
        <v>337</v>
      </c>
      <c r="B239" s="21"/>
      <c r="C239" s="22"/>
      <c r="D239" s="21"/>
      <c r="E239" s="23">
        <f>SUBTOTAL(9,E217:E238)</f>
        <v>532309000</v>
      </c>
      <c r="F239" s="20"/>
      <c r="G239" s="23"/>
      <c r="H239" s="24"/>
      <c r="I239" s="20"/>
      <c r="J239" s="20"/>
      <c r="K239" s="23"/>
      <c r="L239" s="23">
        <f>SUBTOTAL(9,L217:L238)</f>
        <v>394124</v>
      </c>
      <c r="M239" s="23">
        <f>SUBTOTAL(9,M217:M238)</f>
        <v>531118522</v>
      </c>
    </row>
    <row r="240" spans="1:13" s="16" customFormat="1" outlineLevel="2">
      <c r="A240" s="17" t="s">
        <v>336</v>
      </c>
      <c r="B240" s="18" t="s">
        <v>17</v>
      </c>
      <c r="C240" s="19" t="s">
        <v>51</v>
      </c>
      <c r="D240" s="18" t="s">
        <v>50</v>
      </c>
      <c r="E240" s="3">
        <v>200000000</v>
      </c>
      <c r="F240" s="17">
        <v>43620</v>
      </c>
      <c r="G240" s="3">
        <v>200000000</v>
      </c>
      <c r="H240" s="2">
        <v>1.4999999999999999E-2</v>
      </c>
      <c r="I240" s="17">
        <v>43800</v>
      </c>
      <c r="J240" s="17">
        <v>43830</v>
      </c>
      <c r="K240" s="3">
        <f>J240-I240+1</f>
        <v>31</v>
      </c>
      <c r="L240" s="3">
        <f>ROUND(G240*H240*K240/365,0)</f>
        <v>254795</v>
      </c>
      <c r="M240" s="3">
        <v>200000000</v>
      </c>
    </row>
    <row r="241" spans="1:13" s="16" customFormat="1" outlineLevel="2">
      <c r="A241" s="17" t="s">
        <v>336</v>
      </c>
      <c r="B241" s="18" t="s">
        <v>181</v>
      </c>
      <c r="C241" s="19" t="s">
        <v>311</v>
      </c>
      <c r="D241" s="18" t="s">
        <v>200</v>
      </c>
      <c r="E241" s="3">
        <v>108216030</v>
      </c>
      <c r="F241" s="17">
        <v>43754</v>
      </c>
      <c r="G241" s="3">
        <v>108216030</v>
      </c>
      <c r="H241" s="2">
        <v>5.0000000000000001E-3</v>
      </c>
      <c r="I241" s="17">
        <v>43800</v>
      </c>
      <c r="J241" s="17">
        <v>43830</v>
      </c>
      <c r="K241" s="3">
        <f>J241-I241+1</f>
        <v>31</v>
      </c>
      <c r="L241" s="3">
        <f>ROUND(G241*H241*K241/365,0)</f>
        <v>45955</v>
      </c>
      <c r="M241" s="3">
        <v>108216030</v>
      </c>
    </row>
    <row r="242" spans="1:13" s="16" customFormat="1" outlineLevel="2">
      <c r="A242" s="17" t="s">
        <v>336</v>
      </c>
      <c r="B242" s="18" t="s">
        <v>180</v>
      </c>
      <c r="C242" s="19" t="s">
        <v>311</v>
      </c>
      <c r="D242" s="18" t="s">
        <v>200</v>
      </c>
      <c r="E242" s="3">
        <v>35200000</v>
      </c>
      <c r="F242" s="17">
        <v>43756</v>
      </c>
      <c r="G242" s="3">
        <v>35200000</v>
      </c>
      <c r="H242" s="2">
        <v>5.0000000000000001E-3</v>
      </c>
      <c r="I242" s="17">
        <v>43800</v>
      </c>
      <c r="J242" s="17">
        <v>43830</v>
      </c>
      <c r="K242" s="3">
        <f>J242-I242+1</f>
        <v>31</v>
      </c>
      <c r="L242" s="3">
        <f>ROUND(G242*H242*K242/365,0)</f>
        <v>14948</v>
      </c>
      <c r="M242" s="3">
        <v>35200000</v>
      </c>
    </row>
    <row r="243" spans="1:13" s="16" customFormat="1" outlineLevel="2">
      <c r="A243" s="17" t="s">
        <v>336</v>
      </c>
      <c r="B243" s="18" t="s">
        <v>179</v>
      </c>
      <c r="C243" s="19" t="s">
        <v>278</v>
      </c>
      <c r="D243" s="18" t="s">
        <v>277</v>
      </c>
      <c r="E243" s="3">
        <v>30000000</v>
      </c>
      <c r="F243" s="17">
        <v>43767</v>
      </c>
      <c r="G243" s="3">
        <v>30000000</v>
      </c>
      <c r="H243" s="2">
        <v>5.0000000000000001E-3</v>
      </c>
      <c r="I243" s="17">
        <v>43800</v>
      </c>
      <c r="J243" s="17">
        <v>43830</v>
      </c>
      <c r="K243" s="3">
        <f>J243-I243+1</f>
        <v>31</v>
      </c>
      <c r="L243" s="3">
        <f>ROUND(G243*H243*K243/365,0)</f>
        <v>12740</v>
      </c>
      <c r="M243" s="3">
        <v>30000000</v>
      </c>
    </row>
    <row r="244" spans="1:13" s="16" customFormat="1" outlineLevel="2">
      <c r="A244" s="17" t="s">
        <v>336</v>
      </c>
      <c r="B244" s="18" t="s">
        <v>178</v>
      </c>
      <c r="C244" s="19" t="s">
        <v>311</v>
      </c>
      <c r="D244" s="18" t="s">
        <v>200</v>
      </c>
      <c r="E244" s="3">
        <v>46000000</v>
      </c>
      <c r="F244" s="17">
        <v>43770</v>
      </c>
      <c r="G244" s="3">
        <v>46000000</v>
      </c>
      <c r="H244" s="2">
        <v>5.0000000000000001E-3</v>
      </c>
      <c r="I244" s="17">
        <v>43800</v>
      </c>
      <c r="J244" s="17">
        <v>43830</v>
      </c>
      <c r="K244" s="3">
        <f>J244-I244+1</f>
        <v>31</v>
      </c>
      <c r="L244" s="3">
        <f>ROUND(G244*H244*K244/365,0)</f>
        <v>19534</v>
      </c>
      <c r="M244" s="3">
        <v>46000000</v>
      </c>
    </row>
    <row r="245" spans="1:13" s="16" customFormat="1" outlineLevel="2">
      <c r="A245" s="17" t="s">
        <v>336</v>
      </c>
      <c r="B245" s="18" t="s">
        <v>177</v>
      </c>
      <c r="C245" s="19" t="s">
        <v>311</v>
      </c>
      <c r="D245" s="18" t="s">
        <v>200</v>
      </c>
      <c r="E245" s="3">
        <v>83000000</v>
      </c>
      <c r="F245" s="17">
        <v>43775</v>
      </c>
      <c r="G245" s="3">
        <v>83000000</v>
      </c>
      <c r="H245" s="2">
        <v>5.0000000000000001E-3</v>
      </c>
      <c r="I245" s="17">
        <v>43800</v>
      </c>
      <c r="J245" s="17">
        <v>43830</v>
      </c>
      <c r="K245" s="3">
        <f>J245-I245+1</f>
        <v>31</v>
      </c>
      <c r="L245" s="3">
        <f>ROUND(G245*H245*K245/365,0)</f>
        <v>35247</v>
      </c>
      <c r="M245" s="3">
        <v>83000000</v>
      </c>
    </row>
    <row r="246" spans="1:13" s="16" customFormat="1" outlineLevel="2">
      <c r="A246" s="17" t="s">
        <v>336</v>
      </c>
      <c r="B246" s="18" t="s">
        <v>176</v>
      </c>
      <c r="C246" s="19" t="s">
        <v>400</v>
      </c>
      <c r="D246" s="18" t="s">
        <v>399</v>
      </c>
      <c r="E246" s="3">
        <v>900000000</v>
      </c>
      <c r="F246" s="17">
        <v>43809</v>
      </c>
      <c r="G246" s="3">
        <v>900000000</v>
      </c>
      <c r="H246" s="2">
        <v>3.0000000000000001E-3</v>
      </c>
      <c r="I246" s="17">
        <v>43809</v>
      </c>
      <c r="J246" s="17">
        <v>43830</v>
      </c>
      <c r="K246" s="3">
        <f>J246-I246+1</f>
        <v>22</v>
      </c>
      <c r="L246" s="3">
        <f>ROUND(G246*H246*K246/365,0)</f>
        <v>162740</v>
      </c>
      <c r="M246" s="3">
        <v>900000000</v>
      </c>
    </row>
    <row r="247" spans="1:13" s="16" customFormat="1" outlineLevel="2">
      <c r="A247" s="17" t="s">
        <v>336</v>
      </c>
      <c r="B247" s="18" t="s">
        <v>175</v>
      </c>
      <c r="C247" s="19" t="s">
        <v>400</v>
      </c>
      <c r="D247" s="18" t="s">
        <v>399</v>
      </c>
      <c r="E247" s="3">
        <v>600000000</v>
      </c>
      <c r="F247" s="17">
        <v>43809</v>
      </c>
      <c r="G247" s="3">
        <v>600000000</v>
      </c>
      <c r="H247" s="2">
        <v>1E-3</v>
      </c>
      <c r="I247" s="17">
        <v>43809</v>
      </c>
      <c r="J247" s="17">
        <v>43830</v>
      </c>
      <c r="K247" s="3">
        <f>J247-I247+1</f>
        <v>22</v>
      </c>
      <c r="L247" s="3">
        <f>ROUND(G247*H247*K247/365,0)</f>
        <v>36164</v>
      </c>
      <c r="M247" s="3">
        <v>600000000</v>
      </c>
    </row>
    <row r="248" spans="1:13" s="16" customFormat="1" outlineLevel="2">
      <c r="A248" s="17" t="s">
        <v>336</v>
      </c>
      <c r="B248" s="18" t="s">
        <v>174</v>
      </c>
      <c r="C248" s="19" t="s">
        <v>400</v>
      </c>
      <c r="D248" s="18" t="s">
        <v>399</v>
      </c>
      <c r="E248" s="3">
        <v>1500000000</v>
      </c>
      <c r="F248" s="17">
        <v>43824</v>
      </c>
      <c r="G248" s="3">
        <v>1500000000</v>
      </c>
      <c r="H248" s="2">
        <v>3.0000000000000001E-3</v>
      </c>
      <c r="I248" s="17">
        <v>43824</v>
      </c>
      <c r="J248" s="17">
        <v>43830</v>
      </c>
      <c r="K248" s="3">
        <f>J248-I248+1</f>
        <v>7</v>
      </c>
      <c r="L248" s="3">
        <f>ROUND(G248*H248*K248/365,0)</f>
        <v>86301</v>
      </c>
      <c r="M248" s="3">
        <v>1500000000</v>
      </c>
    </row>
    <row r="249" spans="1:13" s="16" customFormat="1" outlineLevel="2">
      <c r="A249" s="17" t="s">
        <v>336</v>
      </c>
      <c r="B249" s="18" t="s">
        <v>171</v>
      </c>
      <c r="C249" s="19" t="s">
        <v>311</v>
      </c>
      <c r="D249" s="18" t="s">
        <v>200</v>
      </c>
      <c r="E249" s="3">
        <v>82000000</v>
      </c>
      <c r="F249" s="17">
        <v>43804</v>
      </c>
      <c r="G249" s="3">
        <v>82000000</v>
      </c>
      <c r="H249" s="2">
        <v>5.0000000000000001E-3</v>
      </c>
      <c r="I249" s="17">
        <v>43804</v>
      </c>
      <c r="J249" s="17">
        <v>43830</v>
      </c>
      <c r="K249" s="3">
        <f>J249-I249+1</f>
        <v>27</v>
      </c>
      <c r="L249" s="3">
        <f>ROUND(G249*H249*K249/365,0)</f>
        <v>30329</v>
      </c>
      <c r="M249" s="3">
        <v>82000000</v>
      </c>
    </row>
    <row r="250" spans="1:13" s="16" customFormat="1" outlineLevel="2">
      <c r="A250" s="17" t="s">
        <v>336</v>
      </c>
      <c r="B250" s="18" t="s">
        <v>170</v>
      </c>
      <c r="C250" s="19" t="s">
        <v>311</v>
      </c>
      <c r="D250" s="18" t="s">
        <v>200</v>
      </c>
      <c r="E250" s="3">
        <v>8700000</v>
      </c>
      <c r="F250" s="17">
        <v>43816</v>
      </c>
      <c r="G250" s="3">
        <v>8700000</v>
      </c>
      <c r="H250" s="2">
        <v>5.0000000000000001E-3</v>
      </c>
      <c r="I250" s="17">
        <v>43816</v>
      </c>
      <c r="J250" s="17">
        <v>43830</v>
      </c>
      <c r="K250" s="3">
        <f>J250-I250+1</f>
        <v>15</v>
      </c>
      <c r="L250" s="3">
        <f>ROUND(G250*H250*K250/365,0)</f>
        <v>1788</v>
      </c>
      <c r="M250" s="3">
        <v>8700000</v>
      </c>
    </row>
    <row r="251" spans="1:13" s="16" customFormat="1" outlineLevel="2">
      <c r="A251" s="17" t="s">
        <v>336</v>
      </c>
      <c r="B251" s="18" t="s">
        <v>31</v>
      </c>
      <c r="C251" s="19" t="s">
        <v>51</v>
      </c>
      <c r="D251" s="18" t="s">
        <v>50</v>
      </c>
      <c r="E251" s="3">
        <v>170000000</v>
      </c>
      <c r="F251" s="17">
        <v>43643</v>
      </c>
      <c r="G251" s="3">
        <v>170000000</v>
      </c>
      <c r="H251" s="2">
        <v>1.4999999999999999E-2</v>
      </c>
      <c r="I251" s="17">
        <v>43800</v>
      </c>
      <c r="J251" s="17">
        <v>43830</v>
      </c>
      <c r="K251" s="3">
        <f>J251-I251+1</f>
        <v>31</v>
      </c>
      <c r="L251" s="3">
        <f>ROUND(G251*H251*K251/365,0)</f>
        <v>216575</v>
      </c>
      <c r="M251" s="3">
        <v>170000000</v>
      </c>
    </row>
    <row r="252" spans="1:13" s="16" customFormat="1" outlineLevel="2">
      <c r="A252" s="17" t="s">
        <v>336</v>
      </c>
      <c r="B252" s="18" t="s">
        <v>169</v>
      </c>
      <c r="C252" s="19" t="s">
        <v>311</v>
      </c>
      <c r="D252" s="18" t="s">
        <v>200</v>
      </c>
      <c r="E252" s="3">
        <v>40000000</v>
      </c>
      <c r="F252" s="17">
        <v>43818</v>
      </c>
      <c r="G252" s="3">
        <v>40000000</v>
      </c>
      <c r="H252" s="2">
        <v>5.0000000000000001E-3</v>
      </c>
      <c r="I252" s="17">
        <v>43818</v>
      </c>
      <c r="J252" s="17">
        <v>43830</v>
      </c>
      <c r="K252" s="3">
        <f>J252-I252+1</f>
        <v>13</v>
      </c>
      <c r="L252" s="3">
        <f>ROUND(G252*H252*K252/365,0)</f>
        <v>7123</v>
      </c>
      <c r="M252" s="3">
        <v>40000000</v>
      </c>
    </row>
    <row r="253" spans="1:13" s="16" customFormat="1" outlineLevel="2">
      <c r="A253" s="17" t="s">
        <v>336</v>
      </c>
      <c r="B253" s="18" t="s">
        <v>168</v>
      </c>
      <c r="C253" s="19" t="s">
        <v>286</v>
      </c>
      <c r="D253" s="18" t="s">
        <v>285</v>
      </c>
      <c r="E253" s="3">
        <v>18000000</v>
      </c>
      <c r="F253" s="17">
        <v>43801</v>
      </c>
      <c r="G253" s="3">
        <v>18000000</v>
      </c>
      <c r="H253" s="2">
        <v>5.0000000000000001E-3</v>
      </c>
      <c r="I253" s="17">
        <v>43801</v>
      </c>
      <c r="J253" s="17">
        <v>43830</v>
      </c>
      <c r="K253" s="3">
        <f>J253-I253+1</f>
        <v>30</v>
      </c>
      <c r="L253" s="3">
        <f>ROUND(G253*H253*K253/365,0)</f>
        <v>7397</v>
      </c>
      <c r="M253" s="3">
        <v>18000000</v>
      </c>
    </row>
    <row r="254" spans="1:13" s="16" customFormat="1" outlineLevel="2">
      <c r="A254" s="17" t="s">
        <v>336</v>
      </c>
      <c r="B254" s="18" t="s">
        <v>167</v>
      </c>
      <c r="C254" s="19" t="s">
        <v>278</v>
      </c>
      <c r="D254" s="18" t="s">
        <v>277</v>
      </c>
      <c r="E254" s="3">
        <v>60000000</v>
      </c>
      <c r="F254" s="17">
        <v>43818</v>
      </c>
      <c r="G254" s="3">
        <v>60000000</v>
      </c>
      <c r="H254" s="2">
        <v>5.0000000000000001E-3</v>
      </c>
      <c r="I254" s="17">
        <v>43818</v>
      </c>
      <c r="J254" s="17">
        <v>43830</v>
      </c>
      <c r="K254" s="3">
        <f>J254-I254+1</f>
        <v>13</v>
      </c>
      <c r="L254" s="3">
        <f>ROUND(G254*H254*K254/365,0)</f>
        <v>10685</v>
      </c>
      <c r="M254" s="3">
        <v>60000000</v>
      </c>
    </row>
    <row r="255" spans="1:13" s="16" customFormat="1" outlineLevel="2">
      <c r="A255" s="17" t="s">
        <v>336</v>
      </c>
      <c r="B255" s="18" t="s">
        <v>166</v>
      </c>
      <c r="C255" s="19" t="s">
        <v>278</v>
      </c>
      <c r="D255" s="18" t="s">
        <v>277</v>
      </c>
      <c r="E255" s="3">
        <v>30000000</v>
      </c>
      <c r="F255" s="17">
        <v>43826</v>
      </c>
      <c r="G255" s="3">
        <v>30000000</v>
      </c>
      <c r="H255" s="2">
        <v>5.0000000000000001E-3</v>
      </c>
      <c r="I255" s="17">
        <v>43826</v>
      </c>
      <c r="J255" s="17">
        <v>43830</v>
      </c>
      <c r="K255" s="3">
        <f>J255-I255+1</f>
        <v>5</v>
      </c>
      <c r="L255" s="3">
        <f>ROUND(G255*H255*K255/365,0)</f>
        <v>2055</v>
      </c>
      <c r="M255" s="3">
        <v>30000000</v>
      </c>
    </row>
    <row r="256" spans="1:13" s="16" customFormat="1" outlineLevel="2">
      <c r="A256" s="17" t="s">
        <v>336</v>
      </c>
      <c r="B256" s="18" t="s">
        <v>165</v>
      </c>
      <c r="C256" s="19" t="s">
        <v>454</v>
      </c>
      <c r="D256" s="18" t="s">
        <v>453</v>
      </c>
      <c r="E256" s="3">
        <v>62000000</v>
      </c>
      <c r="F256" s="17">
        <v>43829</v>
      </c>
      <c r="G256" s="3">
        <v>62000000</v>
      </c>
      <c r="H256" s="2">
        <v>5.0000000000000001E-3</v>
      </c>
      <c r="I256" s="17">
        <v>43829</v>
      </c>
      <c r="J256" s="17">
        <v>43830</v>
      </c>
      <c r="K256" s="3">
        <f>J256-I256+1</f>
        <v>2</v>
      </c>
      <c r="L256" s="3">
        <f>ROUND(G256*H256*K256/365,0)</f>
        <v>1699</v>
      </c>
      <c r="M256" s="3">
        <v>62000000</v>
      </c>
    </row>
    <row r="257" spans="1:13" s="16" customFormat="1" outlineLevel="2">
      <c r="A257" s="17" t="s">
        <v>336</v>
      </c>
      <c r="B257" s="18" t="s">
        <v>164</v>
      </c>
      <c r="C257" s="19" t="s">
        <v>370</v>
      </c>
      <c r="D257" s="18" t="s">
        <v>369</v>
      </c>
      <c r="E257" s="3">
        <v>40000000</v>
      </c>
      <c r="F257" s="17">
        <v>43829</v>
      </c>
      <c r="G257" s="3">
        <v>40000000</v>
      </c>
      <c r="H257" s="2">
        <v>5.0000000000000001E-3</v>
      </c>
      <c r="I257" s="17">
        <v>43829</v>
      </c>
      <c r="J257" s="17">
        <v>43830</v>
      </c>
      <c r="K257" s="3">
        <f>J257-I257+1</f>
        <v>2</v>
      </c>
      <c r="L257" s="3">
        <f>ROUND(G257*H257*K257/365,0)</f>
        <v>1096</v>
      </c>
      <c r="M257" s="3">
        <v>40000000</v>
      </c>
    </row>
    <row r="258" spans="1:13" s="16" customFormat="1" outlineLevel="2">
      <c r="A258" s="17" t="s">
        <v>336</v>
      </c>
      <c r="B258" s="18" t="s">
        <v>30</v>
      </c>
      <c r="C258" s="19" t="s">
        <v>51</v>
      </c>
      <c r="D258" s="18" t="s">
        <v>50</v>
      </c>
      <c r="E258" s="3">
        <v>670000000</v>
      </c>
      <c r="F258" s="17">
        <v>43670</v>
      </c>
      <c r="G258" s="3">
        <v>670000000</v>
      </c>
      <c r="H258" s="2">
        <v>1.4999999999999999E-2</v>
      </c>
      <c r="I258" s="17">
        <v>43800</v>
      </c>
      <c r="J258" s="17">
        <v>43830</v>
      </c>
      <c r="K258" s="3">
        <f>J258-I258+1</f>
        <v>31</v>
      </c>
      <c r="L258" s="3">
        <f>ROUND(G258*H258*K258/365,0)</f>
        <v>853562</v>
      </c>
      <c r="M258" s="3">
        <v>670000000</v>
      </c>
    </row>
    <row r="259" spans="1:13" s="16" customFormat="1" outlineLevel="2">
      <c r="A259" s="17" t="s">
        <v>336</v>
      </c>
      <c r="B259" s="18" t="s">
        <v>28</v>
      </c>
      <c r="C259" s="19" t="s">
        <v>51</v>
      </c>
      <c r="D259" s="18" t="s">
        <v>50</v>
      </c>
      <c r="E259" s="3">
        <v>330000000</v>
      </c>
      <c r="F259" s="17">
        <v>43677</v>
      </c>
      <c r="G259" s="3">
        <v>330000000</v>
      </c>
      <c r="H259" s="2">
        <v>1.4999999999999999E-2</v>
      </c>
      <c r="I259" s="17">
        <v>43800</v>
      </c>
      <c r="J259" s="17">
        <v>43830</v>
      </c>
      <c r="K259" s="3">
        <f>J259-I259+1</f>
        <v>31</v>
      </c>
      <c r="L259" s="3">
        <f>ROUND(G259*H259*K259/365,0)</f>
        <v>420411</v>
      </c>
      <c r="M259" s="3">
        <v>330000000</v>
      </c>
    </row>
    <row r="260" spans="1:13" s="16" customFormat="1" outlineLevel="2">
      <c r="A260" s="17" t="s">
        <v>336</v>
      </c>
      <c r="B260" s="18" t="s">
        <v>48</v>
      </c>
      <c r="C260" s="19" t="s">
        <v>150</v>
      </c>
      <c r="D260" s="18" t="s">
        <v>149</v>
      </c>
      <c r="E260" s="3">
        <v>1323000</v>
      </c>
      <c r="F260" s="17">
        <v>43728</v>
      </c>
      <c r="G260" s="3">
        <v>1323000</v>
      </c>
      <c r="H260" s="2">
        <v>3.0000000000000001E-3</v>
      </c>
      <c r="I260" s="17">
        <v>43800</v>
      </c>
      <c r="J260" s="17">
        <v>43830</v>
      </c>
      <c r="K260" s="3">
        <f>J260-I260+1</f>
        <v>31</v>
      </c>
      <c r="L260" s="3">
        <f>ROUND(G260*H260*K260/365,0)</f>
        <v>337</v>
      </c>
      <c r="M260" s="3">
        <v>1323000</v>
      </c>
    </row>
    <row r="261" spans="1:13" s="16" customFormat="1" outlineLevel="2">
      <c r="A261" s="17" t="s">
        <v>336</v>
      </c>
      <c r="B261" s="18" t="s">
        <v>47</v>
      </c>
      <c r="C261" s="19" t="s">
        <v>278</v>
      </c>
      <c r="D261" s="18" t="s">
        <v>277</v>
      </c>
      <c r="E261" s="3">
        <v>122100000</v>
      </c>
      <c r="F261" s="17">
        <v>43734</v>
      </c>
      <c r="G261" s="3">
        <v>122100000</v>
      </c>
      <c r="H261" s="2">
        <v>5.0000000000000001E-3</v>
      </c>
      <c r="I261" s="17">
        <v>43800</v>
      </c>
      <c r="J261" s="17">
        <v>43830</v>
      </c>
      <c r="K261" s="3">
        <f>J261-I261+1</f>
        <v>31</v>
      </c>
      <c r="L261" s="3">
        <f>ROUND(G261*H261*K261/365,0)</f>
        <v>51851</v>
      </c>
      <c r="M261" s="3">
        <v>122100000</v>
      </c>
    </row>
    <row r="262" spans="1:13" s="16" customFormat="1" outlineLevel="2">
      <c r="A262" s="17" t="s">
        <v>336</v>
      </c>
      <c r="B262" s="18" t="s">
        <v>46</v>
      </c>
      <c r="C262" s="19" t="s">
        <v>276</v>
      </c>
      <c r="D262" s="18" t="s">
        <v>275</v>
      </c>
      <c r="E262" s="3">
        <v>282000000</v>
      </c>
      <c r="F262" s="17">
        <v>43728</v>
      </c>
      <c r="G262" s="3">
        <v>282000000</v>
      </c>
      <c r="H262" s="2">
        <v>5.0000000000000001E-3</v>
      </c>
      <c r="I262" s="17">
        <v>43800</v>
      </c>
      <c r="J262" s="17">
        <v>43830</v>
      </c>
      <c r="K262" s="3">
        <f>J262-I262+1</f>
        <v>31</v>
      </c>
      <c r="L262" s="3">
        <f>ROUND(G262*H262*K262/365,0)</f>
        <v>119753</v>
      </c>
      <c r="M262" s="3">
        <v>282000000</v>
      </c>
    </row>
    <row r="263" spans="1:13" s="16" customFormat="1" outlineLevel="2">
      <c r="A263" s="17" t="s">
        <v>336</v>
      </c>
      <c r="B263" s="18" t="s">
        <v>45</v>
      </c>
      <c r="C263" s="19" t="s">
        <v>188</v>
      </c>
      <c r="D263" s="18" t="s">
        <v>187</v>
      </c>
      <c r="E263" s="3">
        <v>237000</v>
      </c>
      <c r="F263" s="17">
        <v>43769</v>
      </c>
      <c r="G263" s="3">
        <v>237000</v>
      </c>
      <c r="H263" s="2">
        <v>3.0000000000000001E-3</v>
      </c>
      <c r="I263" s="17">
        <v>43800</v>
      </c>
      <c r="J263" s="17">
        <v>43830</v>
      </c>
      <c r="K263" s="3">
        <f>J263-I263+1</f>
        <v>31</v>
      </c>
      <c r="L263" s="3">
        <f>ROUND(G263*H263*K263/365,0)</f>
        <v>60</v>
      </c>
      <c r="M263" s="3">
        <v>237000</v>
      </c>
    </row>
    <row r="264" spans="1:13" s="16" customFormat="1" outlineLevel="2">
      <c r="A264" s="17" t="s">
        <v>336</v>
      </c>
      <c r="B264" s="18" t="s">
        <v>44</v>
      </c>
      <c r="C264" s="19" t="s">
        <v>310</v>
      </c>
      <c r="D264" s="18" t="s">
        <v>309</v>
      </c>
      <c r="E264" s="3">
        <v>500000000</v>
      </c>
      <c r="F264" s="17">
        <v>43753</v>
      </c>
      <c r="G264" s="3">
        <v>500000000</v>
      </c>
      <c r="H264" s="2">
        <v>5.0000000000000001E-3</v>
      </c>
      <c r="I264" s="17">
        <v>43800</v>
      </c>
      <c r="J264" s="17">
        <v>43830</v>
      </c>
      <c r="K264" s="3">
        <f>J264-I264+1</f>
        <v>31</v>
      </c>
      <c r="L264" s="3">
        <f>ROUND(G264*H264*K264/365,0)</f>
        <v>212329</v>
      </c>
      <c r="M264" s="3">
        <v>500000000</v>
      </c>
    </row>
    <row r="265" spans="1:13" s="16" customFormat="1" outlineLevel="1">
      <c r="A265" s="28" t="s">
        <v>335</v>
      </c>
      <c r="B265" s="21"/>
      <c r="C265" s="22"/>
      <c r="D265" s="21"/>
      <c r="E265" s="23">
        <f>SUBTOTAL(9,E240:E264)</f>
        <v>5918776030</v>
      </c>
      <c r="F265" s="20"/>
      <c r="G265" s="23"/>
      <c r="H265" s="24"/>
      <c r="I265" s="20"/>
      <c r="J265" s="20"/>
      <c r="K265" s="23"/>
      <c r="L265" s="23">
        <f>SUBTOTAL(9,L240:L264)</f>
        <v>2605474</v>
      </c>
      <c r="M265" s="23">
        <f>SUBTOTAL(9,M240:M264)</f>
        <v>5918776030</v>
      </c>
    </row>
    <row r="266" spans="1:13" s="16" customFormat="1" outlineLevel="2">
      <c r="A266" s="17" t="s">
        <v>334</v>
      </c>
      <c r="B266" s="18" t="s">
        <v>17</v>
      </c>
      <c r="C266" s="19" t="s">
        <v>230</v>
      </c>
      <c r="D266" s="18" t="s">
        <v>229</v>
      </c>
      <c r="E266" s="3">
        <v>63000000</v>
      </c>
      <c r="F266" s="17">
        <v>43732</v>
      </c>
      <c r="G266" s="3">
        <v>63000000</v>
      </c>
      <c r="H266" s="2">
        <v>5.0000000000000001E-3</v>
      </c>
      <c r="I266" s="17">
        <v>43800</v>
      </c>
      <c r="J266" s="17">
        <v>43830</v>
      </c>
      <c r="K266" s="3">
        <f>J266-I266+1</f>
        <v>31</v>
      </c>
      <c r="L266" s="3">
        <f>ROUND(G266*H266*K266/365,0)</f>
        <v>26753</v>
      </c>
      <c r="M266" s="3">
        <v>63000000</v>
      </c>
    </row>
    <row r="267" spans="1:13" s="16" customFormat="1" outlineLevel="2">
      <c r="A267" s="17" t="s">
        <v>334</v>
      </c>
      <c r="B267" s="18" t="s">
        <v>31</v>
      </c>
      <c r="C267" s="19" t="s">
        <v>230</v>
      </c>
      <c r="D267" s="18" t="s">
        <v>229</v>
      </c>
      <c r="E267" s="3">
        <v>6440000</v>
      </c>
      <c r="F267" s="17">
        <v>43783</v>
      </c>
      <c r="G267" s="3">
        <v>6440000</v>
      </c>
      <c r="H267" s="2">
        <v>5.0000000000000001E-3</v>
      </c>
      <c r="I267" s="17">
        <v>43800</v>
      </c>
      <c r="J267" s="17">
        <v>43830</v>
      </c>
      <c r="K267" s="3">
        <f>J267-I267+1</f>
        <v>31</v>
      </c>
      <c r="L267" s="3">
        <f>ROUND(G267*H267*K267/365,0)</f>
        <v>2735</v>
      </c>
      <c r="M267" s="3">
        <v>6440000</v>
      </c>
    </row>
    <row r="268" spans="1:13" s="16" customFormat="1" outlineLevel="1">
      <c r="A268" s="28" t="s">
        <v>333</v>
      </c>
      <c r="B268" s="21"/>
      <c r="C268" s="22"/>
      <c r="D268" s="21"/>
      <c r="E268" s="23">
        <f>SUBTOTAL(9,E266:E267)</f>
        <v>69440000</v>
      </c>
      <c r="F268" s="20"/>
      <c r="G268" s="23"/>
      <c r="H268" s="24"/>
      <c r="I268" s="20"/>
      <c r="J268" s="20"/>
      <c r="K268" s="23"/>
      <c r="L268" s="23">
        <f>SUBTOTAL(9,L266:L267)</f>
        <v>29488</v>
      </c>
      <c r="M268" s="23">
        <f>SUBTOTAL(9,M266:M267)</f>
        <v>69440000</v>
      </c>
    </row>
    <row r="269" spans="1:13" s="16" customFormat="1" outlineLevel="2">
      <c r="A269" s="17" t="s">
        <v>452</v>
      </c>
      <c r="B269" s="18" t="s">
        <v>17</v>
      </c>
      <c r="C269" s="19" t="s">
        <v>392</v>
      </c>
      <c r="D269" s="18" t="s">
        <v>391</v>
      </c>
      <c r="E269" s="3">
        <v>11000000</v>
      </c>
      <c r="F269" s="17">
        <v>43815</v>
      </c>
      <c r="G269" s="3">
        <v>11000000</v>
      </c>
      <c r="H269" s="2">
        <v>5.0000000000000001E-3</v>
      </c>
      <c r="I269" s="17">
        <v>43815</v>
      </c>
      <c r="J269" s="17">
        <v>43830</v>
      </c>
      <c r="K269" s="3">
        <f>J269-I269+1</f>
        <v>16</v>
      </c>
      <c r="L269" s="3">
        <f>ROUND(G269*H269*K269/365,0)</f>
        <v>2411</v>
      </c>
      <c r="M269" s="3">
        <v>11000000</v>
      </c>
    </row>
    <row r="270" spans="1:13" s="16" customFormat="1" outlineLevel="1">
      <c r="A270" s="28" t="s">
        <v>451</v>
      </c>
      <c r="B270" s="21"/>
      <c r="C270" s="22"/>
      <c r="D270" s="21"/>
      <c r="E270" s="23">
        <f>SUBTOTAL(9,E269:E269)</f>
        <v>11000000</v>
      </c>
      <c r="F270" s="20"/>
      <c r="G270" s="23"/>
      <c r="H270" s="24"/>
      <c r="I270" s="20"/>
      <c r="J270" s="20"/>
      <c r="K270" s="23"/>
      <c r="L270" s="23">
        <f>SUBTOTAL(9,L269:L269)</f>
        <v>2411</v>
      </c>
      <c r="M270" s="23">
        <f>SUBTOTAL(9,M269:M269)</f>
        <v>11000000</v>
      </c>
    </row>
    <row r="271" spans="1:13" s="16" customFormat="1" outlineLevel="2">
      <c r="A271" s="17" t="s">
        <v>65</v>
      </c>
      <c r="B271" s="18" t="s">
        <v>17</v>
      </c>
      <c r="C271" s="19" t="s">
        <v>51</v>
      </c>
      <c r="D271" s="18" t="s">
        <v>50</v>
      </c>
      <c r="E271" s="3">
        <v>500000000</v>
      </c>
      <c r="F271" s="17">
        <v>43635</v>
      </c>
      <c r="G271" s="3">
        <v>500000000</v>
      </c>
      <c r="H271" s="2">
        <v>1.4999999999999999E-2</v>
      </c>
      <c r="I271" s="17">
        <v>43800</v>
      </c>
      <c r="J271" s="17">
        <v>43830</v>
      </c>
      <c r="K271" s="3">
        <f>J271-I271+1</f>
        <v>31</v>
      </c>
      <c r="L271" s="3">
        <f>ROUND(G271*H271*K271/365,0)</f>
        <v>636986</v>
      </c>
      <c r="M271" s="3">
        <v>500000000</v>
      </c>
    </row>
    <row r="272" spans="1:13" s="16" customFormat="1" outlineLevel="2">
      <c r="A272" s="17" t="s">
        <v>65</v>
      </c>
      <c r="B272" s="18" t="s">
        <v>181</v>
      </c>
      <c r="C272" s="19" t="s">
        <v>206</v>
      </c>
      <c r="D272" s="18" t="s">
        <v>38</v>
      </c>
      <c r="E272" s="3">
        <v>200000000</v>
      </c>
      <c r="F272" s="17">
        <v>43706</v>
      </c>
      <c r="G272" s="3">
        <v>200000000</v>
      </c>
      <c r="H272" s="2">
        <v>1.4999999999999999E-2</v>
      </c>
      <c r="I272" s="17">
        <v>43800</v>
      </c>
      <c r="J272" s="17">
        <v>43830</v>
      </c>
      <c r="K272" s="3">
        <f>J272-I272+1</f>
        <v>31</v>
      </c>
      <c r="L272" s="3">
        <f>ROUND(G272*H272*K272/365,0)</f>
        <v>254795</v>
      </c>
      <c r="M272" s="3">
        <v>200000000</v>
      </c>
    </row>
    <row r="273" spans="1:13" s="16" customFormat="1" outlineLevel="2">
      <c r="A273" s="17" t="s">
        <v>65</v>
      </c>
      <c r="B273" s="18" t="s">
        <v>180</v>
      </c>
      <c r="C273" s="19" t="s">
        <v>210</v>
      </c>
      <c r="D273" s="18" t="s">
        <v>209</v>
      </c>
      <c r="E273" s="3">
        <v>3000000</v>
      </c>
      <c r="F273" s="17">
        <v>43682</v>
      </c>
      <c r="G273" s="3">
        <v>3000000</v>
      </c>
      <c r="H273" s="2">
        <v>5.0000000000000001E-3</v>
      </c>
      <c r="I273" s="17">
        <v>43800</v>
      </c>
      <c r="J273" s="17">
        <v>43830</v>
      </c>
      <c r="K273" s="3">
        <f>J273-I273+1</f>
        <v>31</v>
      </c>
      <c r="L273" s="3">
        <f>ROUND(G273*H273*K273/365,0)</f>
        <v>1274</v>
      </c>
      <c r="M273" s="3">
        <v>3000000</v>
      </c>
    </row>
    <row r="274" spans="1:13" s="16" customFormat="1" outlineLevel="2">
      <c r="A274" s="17" t="s">
        <v>65</v>
      </c>
      <c r="B274" s="18" t="s">
        <v>179</v>
      </c>
      <c r="C274" s="19" t="s">
        <v>210</v>
      </c>
      <c r="D274" s="18" t="s">
        <v>209</v>
      </c>
      <c r="E274" s="3">
        <v>23000000</v>
      </c>
      <c r="F274" s="17">
        <v>43706</v>
      </c>
      <c r="G274" s="3">
        <v>23000000</v>
      </c>
      <c r="H274" s="2">
        <v>5.0000000000000001E-3</v>
      </c>
      <c r="I274" s="17">
        <v>43800</v>
      </c>
      <c r="J274" s="17">
        <v>43830</v>
      </c>
      <c r="K274" s="3">
        <f>J274-I274+1</f>
        <v>31</v>
      </c>
      <c r="L274" s="3">
        <f>ROUND(G274*H274*K274/365,0)</f>
        <v>9767</v>
      </c>
      <c r="M274" s="3">
        <v>23000000</v>
      </c>
    </row>
    <row r="275" spans="1:13" s="16" customFormat="1" outlineLevel="2">
      <c r="A275" s="17" t="s">
        <v>65</v>
      </c>
      <c r="B275" s="18" t="s">
        <v>178</v>
      </c>
      <c r="C275" s="19" t="s">
        <v>150</v>
      </c>
      <c r="D275" s="18" t="s">
        <v>149</v>
      </c>
      <c r="E275" s="3">
        <v>6128640</v>
      </c>
      <c r="F275" s="17">
        <v>43728</v>
      </c>
      <c r="G275" s="3">
        <v>6128640</v>
      </c>
      <c r="H275" s="2">
        <v>3.0000000000000001E-3</v>
      </c>
      <c r="I275" s="17">
        <v>43800</v>
      </c>
      <c r="J275" s="17">
        <v>43830</v>
      </c>
      <c r="K275" s="3">
        <f>J275-I275+1</f>
        <v>31</v>
      </c>
      <c r="L275" s="3">
        <f>ROUND(G275*H275*K275/365,0)</f>
        <v>1562</v>
      </c>
      <c r="M275" s="3">
        <v>6128640</v>
      </c>
    </row>
    <row r="276" spans="1:13" s="16" customFormat="1" outlineLevel="2">
      <c r="A276" s="17" t="s">
        <v>65</v>
      </c>
      <c r="B276" s="18" t="s">
        <v>177</v>
      </c>
      <c r="C276" s="19" t="s">
        <v>206</v>
      </c>
      <c r="D276" s="18" t="s">
        <v>38</v>
      </c>
      <c r="E276" s="3">
        <v>120000000</v>
      </c>
      <c r="F276" s="17">
        <v>43752</v>
      </c>
      <c r="G276" s="3">
        <v>120000000</v>
      </c>
      <c r="H276" s="2">
        <v>1.4999999999999999E-2</v>
      </c>
      <c r="I276" s="17">
        <v>43800</v>
      </c>
      <c r="J276" s="17">
        <v>43830</v>
      </c>
      <c r="K276" s="3">
        <f>J276-I276+1</f>
        <v>31</v>
      </c>
      <c r="L276" s="3">
        <f>ROUND(G276*H276*K276/365,0)</f>
        <v>152877</v>
      </c>
      <c r="M276" s="3">
        <v>120000000</v>
      </c>
    </row>
    <row r="277" spans="1:13" s="16" customFormat="1" outlineLevel="2">
      <c r="A277" s="17" t="s">
        <v>65</v>
      </c>
      <c r="B277" s="18" t="s">
        <v>176</v>
      </c>
      <c r="C277" s="19" t="s">
        <v>206</v>
      </c>
      <c r="D277" s="18" t="s">
        <v>38</v>
      </c>
      <c r="E277" s="3">
        <v>100000000</v>
      </c>
      <c r="F277" s="17">
        <v>43762</v>
      </c>
      <c r="G277" s="3">
        <v>100000000</v>
      </c>
      <c r="H277" s="2">
        <v>1.4999999999999999E-2</v>
      </c>
      <c r="I277" s="17">
        <v>43800</v>
      </c>
      <c r="J277" s="17">
        <v>43830</v>
      </c>
      <c r="K277" s="3">
        <f>J277-I277+1</f>
        <v>31</v>
      </c>
      <c r="L277" s="3">
        <f>ROUND(G277*H277*K277/365,0)</f>
        <v>127397</v>
      </c>
      <c r="M277" s="3">
        <v>100000000</v>
      </c>
    </row>
    <row r="278" spans="1:13" s="16" customFormat="1" outlineLevel="2">
      <c r="A278" s="17" t="s">
        <v>65</v>
      </c>
      <c r="B278" s="18" t="s">
        <v>175</v>
      </c>
      <c r="C278" s="19" t="s">
        <v>173</v>
      </c>
      <c r="D278" s="18" t="s">
        <v>172</v>
      </c>
      <c r="E278" s="3">
        <v>1200000000</v>
      </c>
      <c r="F278" s="17">
        <v>43763</v>
      </c>
      <c r="G278" s="3">
        <v>1200000000</v>
      </c>
      <c r="H278" s="2">
        <v>1.4999999999999999E-2</v>
      </c>
      <c r="I278" s="17">
        <v>43800</v>
      </c>
      <c r="J278" s="17">
        <v>43830</v>
      </c>
      <c r="K278" s="3">
        <f>J278-I278+1</f>
        <v>31</v>
      </c>
      <c r="L278" s="3">
        <f>ROUND(G278*H278*K278/365,0)</f>
        <v>1528767</v>
      </c>
      <c r="M278" s="3">
        <v>1200000000</v>
      </c>
    </row>
    <row r="279" spans="1:13" s="16" customFormat="1" outlineLevel="2">
      <c r="A279" s="17" t="s">
        <v>65</v>
      </c>
      <c r="B279" s="18" t="s">
        <v>174</v>
      </c>
      <c r="C279" s="19" t="s">
        <v>225</v>
      </c>
      <c r="D279" s="18" t="s">
        <v>224</v>
      </c>
      <c r="E279" s="3">
        <v>50000000</v>
      </c>
      <c r="F279" s="17">
        <v>43752</v>
      </c>
      <c r="G279" s="3">
        <v>50000000</v>
      </c>
      <c r="H279" s="2">
        <v>5.0000000000000001E-3</v>
      </c>
      <c r="I279" s="17">
        <v>43800</v>
      </c>
      <c r="J279" s="17">
        <v>43830</v>
      </c>
      <c r="K279" s="3">
        <f>J279-I279+1</f>
        <v>31</v>
      </c>
      <c r="L279" s="3">
        <f>ROUND(G279*H279*K279/365,0)</f>
        <v>21233</v>
      </c>
      <c r="M279" s="3">
        <v>50000000</v>
      </c>
    </row>
    <row r="280" spans="1:13" s="16" customFormat="1" outlineLevel="2">
      <c r="A280" s="17" t="s">
        <v>65</v>
      </c>
      <c r="B280" s="18" t="s">
        <v>171</v>
      </c>
      <c r="C280" s="19" t="s">
        <v>332</v>
      </c>
      <c r="D280" s="18" t="s">
        <v>331</v>
      </c>
      <c r="E280" s="3">
        <v>44000000</v>
      </c>
      <c r="F280" s="17">
        <v>43747</v>
      </c>
      <c r="G280" s="3">
        <v>44000000</v>
      </c>
      <c r="H280" s="2">
        <v>1.4999999999999999E-2</v>
      </c>
      <c r="I280" s="17">
        <v>43800</v>
      </c>
      <c r="J280" s="17">
        <v>43830</v>
      </c>
      <c r="K280" s="3">
        <f>J280-I280+1</f>
        <v>31</v>
      </c>
      <c r="L280" s="3">
        <f>ROUND(G280*H280*K280/365,0)</f>
        <v>56055</v>
      </c>
      <c r="M280" s="3">
        <v>44000000</v>
      </c>
    </row>
    <row r="281" spans="1:13" s="16" customFormat="1" outlineLevel="2">
      <c r="A281" s="17" t="s">
        <v>65</v>
      </c>
      <c r="B281" s="18" t="s">
        <v>170</v>
      </c>
      <c r="C281" s="19" t="s">
        <v>320</v>
      </c>
      <c r="D281" s="18" t="s">
        <v>319</v>
      </c>
      <c r="E281" s="3">
        <v>14000000</v>
      </c>
      <c r="F281" s="17">
        <v>43769</v>
      </c>
      <c r="G281" s="3">
        <v>14000000</v>
      </c>
      <c r="H281" s="2">
        <v>1.4999999999999999E-2</v>
      </c>
      <c r="I281" s="17">
        <v>43800</v>
      </c>
      <c r="J281" s="17">
        <v>43830</v>
      </c>
      <c r="K281" s="3">
        <f>J281-I281+1</f>
        <v>31</v>
      </c>
      <c r="L281" s="3">
        <f>ROUND(G281*H281*K281/365,0)</f>
        <v>17836</v>
      </c>
      <c r="M281" s="3">
        <v>14000000</v>
      </c>
    </row>
    <row r="282" spans="1:13" s="16" customFormat="1" outlineLevel="2">
      <c r="A282" s="17" t="s">
        <v>65</v>
      </c>
      <c r="B282" s="18" t="s">
        <v>31</v>
      </c>
      <c r="C282" s="19" t="s">
        <v>51</v>
      </c>
      <c r="D282" s="18" t="s">
        <v>50</v>
      </c>
      <c r="E282" s="3">
        <v>200000000</v>
      </c>
      <c r="F282" s="17">
        <v>43644</v>
      </c>
      <c r="G282" s="3">
        <v>200000000</v>
      </c>
      <c r="H282" s="2">
        <v>1.4999999999999999E-2</v>
      </c>
      <c r="I282" s="17">
        <v>43800</v>
      </c>
      <c r="J282" s="17">
        <v>43830</v>
      </c>
      <c r="K282" s="3">
        <f>J282-I282+1</f>
        <v>31</v>
      </c>
      <c r="L282" s="3">
        <f>ROUND(G282*H282*K282/365,0)</f>
        <v>254795</v>
      </c>
      <c r="M282" s="3">
        <v>200000000</v>
      </c>
    </row>
    <row r="283" spans="1:13" s="16" customFormat="1" outlineLevel="2">
      <c r="A283" s="17" t="s">
        <v>65</v>
      </c>
      <c r="B283" s="18" t="s">
        <v>169</v>
      </c>
      <c r="C283" s="19" t="s">
        <v>206</v>
      </c>
      <c r="D283" s="18" t="s">
        <v>38</v>
      </c>
      <c r="E283" s="3">
        <v>200000000</v>
      </c>
      <c r="F283" s="17">
        <v>43797</v>
      </c>
      <c r="G283" s="3">
        <v>200000000</v>
      </c>
      <c r="H283" s="2">
        <v>1.4999999999999999E-2</v>
      </c>
      <c r="I283" s="17">
        <v>43800</v>
      </c>
      <c r="J283" s="17">
        <v>43830</v>
      </c>
      <c r="K283" s="3">
        <f>J283-I283+1</f>
        <v>31</v>
      </c>
      <c r="L283" s="3">
        <f>ROUND(G283*H283*K283/365,0)</f>
        <v>254795</v>
      </c>
      <c r="M283" s="3">
        <v>200000000</v>
      </c>
    </row>
    <row r="284" spans="1:13" s="16" customFormat="1" outlineLevel="2">
      <c r="A284" s="17" t="s">
        <v>65</v>
      </c>
      <c r="B284" s="18" t="s">
        <v>168</v>
      </c>
      <c r="C284" s="19" t="s">
        <v>208</v>
      </c>
      <c r="D284" s="18" t="s">
        <v>207</v>
      </c>
      <c r="E284" s="3">
        <v>40000000</v>
      </c>
      <c r="F284" s="17">
        <v>43797</v>
      </c>
      <c r="G284" s="3">
        <v>40000000</v>
      </c>
      <c r="H284" s="2">
        <v>1.4999999999999999E-2</v>
      </c>
      <c r="I284" s="17">
        <v>43800</v>
      </c>
      <c r="J284" s="17">
        <v>43830</v>
      </c>
      <c r="K284" s="3">
        <f>J284-I284+1</f>
        <v>31</v>
      </c>
      <c r="L284" s="3">
        <f>ROUND(G284*H284*K284/365,0)</f>
        <v>50959</v>
      </c>
      <c r="M284" s="3">
        <v>40000000</v>
      </c>
    </row>
    <row r="285" spans="1:13" s="16" customFormat="1" outlineLevel="2">
      <c r="A285" s="17" t="s">
        <v>65</v>
      </c>
      <c r="B285" s="18" t="s">
        <v>167</v>
      </c>
      <c r="C285" s="19" t="s">
        <v>311</v>
      </c>
      <c r="D285" s="18" t="s">
        <v>200</v>
      </c>
      <c r="E285" s="3">
        <v>13000000</v>
      </c>
      <c r="F285" s="17">
        <v>43774</v>
      </c>
      <c r="G285" s="3">
        <v>13000000</v>
      </c>
      <c r="H285" s="2">
        <v>5.0000000000000001E-3</v>
      </c>
      <c r="I285" s="17">
        <v>43800</v>
      </c>
      <c r="J285" s="17">
        <v>43830</v>
      </c>
      <c r="K285" s="3">
        <f>J285-I285+1</f>
        <v>31</v>
      </c>
      <c r="L285" s="3">
        <f>ROUND(G285*H285*K285/365,0)</f>
        <v>5521</v>
      </c>
      <c r="M285" s="3">
        <v>13000000</v>
      </c>
    </row>
    <row r="286" spans="1:13" s="16" customFormat="1" outlineLevel="2">
      <c r="A286" s="17" t="s">
        <v>65</v>
      </c>
      <c r="B286" s="18" t="s">
        <v>166</v>
      </c>
      <c r="C286" s="19" t="s">
        <v>311</v>
      </c>
      <c r="D286" s="18" t="s">
        <v>200</v>
      </c>
      <c r="E286" s="3">
        <v>16000000</v>
      </c>
      <c r="F286" s="17">
        <v>43788</v>
      </c>
      <c r="G286" s="3">
        <v>16000000</v>
      </c>
      <c r="H286" s="2">
        <v>5.0000000000000001E-3</v>
      </c>
      <c r="I286" s="17">
        <v>43800</v>
      </c>
      <c r="J286" s="17">
        <v>43830</v>
      </c>
      <c r="K286" s="3">
        <f>J286-I286+1</f>
        <v>31</v>
      </c>
      <c r="L286" s="3">
        <f>ROUND(G286*H286*K286/365,0)</f>
        <v>6795</v>
      </c>
      <c r="M286" s="3">
        <v>16000000</v>
      </c>
    </row>
    <row r="287" spans="1:13" s="16" customFormat="1" outlineLevel="2">
      <c r="A287" s="17" t="s">
        <v>65</v>
      </c>
      <c r="B287" s="18" t="s">
        <v>165</v>
      </c>
      <c r="C287" s="19" t="s">
        <v>210</v>
      </c>
      <c r="D287" s="18" t="s">
        <v>209</v>
      </c>
      <c r="E287" s="3">
        <v>14000000</v>
      </c>
      <c r="F287" s="17">
        <v>43770</v>
      </c>
      <c r="G287" s="3">
        <v>14000000</v>
      </c>
      <c r="H287" s="2">
        <v>5.0000000000000001E-3</v>
      </c>
      <c r="I287" s="17">
        <v>43800</v>
      </c>
      <c r="J287" s="17">
        <v>43830</v>
      </c>
      <c r="K287" s="3">
        <f>J287-I287+1</f>
        <v>31</v>
      </c>
      <c r="L287" s="3">
        <f>ROUND(G287*H287*K287/365,0)</f>
        <v>5945</v>
      </c>
      <c r="M287" s="3">
        <v>14000000</v>
      </c>
    </row>
    <row r="288" spans="1:13" s="16" customFormat="1" outlineLevel="2">
      <c r="A288" s="17" t="s">
        <v>65</v>
      </c>
      <c r="B288" s="18" t="s">
        <v>164</v>
      </c>
      <c r="C288" s="19" t="s">
        <v>392</v>
      </c>
      <c r="D288" s="18" t="s">
        <v>391</v>
      </c>
      <c r="E288" s="3">
        <v>65000000</v>
      </c>
      <c r="F288" s="17">
        <v>43798</v>
      </c>
      <c r="G288" s="3">
        <v>65000000</v>
      </c>
      <c r="H288" s="2">
        <v>5.0000000000000001E-3</v>
      </c>
      <c r="I288" s="17">
        <v>43800</v>
      </c>
      <c r="J288" s="17">
        <v>43830</v>
      </c>
      <c r="K288" s="3">
        <f>J288-I288+1</f>
        <v>31</v>
      </c>
      <c r="L288" s="3">
        <f>ROUND(G288*H288*K288/365,0)</f>
        <v>27603</v>
      </c>
      <c r="M288" s="3">
        <v>65000000</v>
      </c>
    </row>
    <row r="289" spans="1:13" s="16" customFormat="1" outlineLevel="2">
      <c r="A289" s="17" t="s">
        <v>65</v>
      </c>
      <c r="B289" s="18" t="s">
        <v>161</v>
      </c>
      <c r="C289" s="19" t="s">
        <v>313</v>
      </c>
      <c r="D289" s="18" t="s">
        <v>312</v>
      </c>
      <c r="E289" s="3">
        <v>20000000</v>
      </c>
      <c r="F289" s="17">
        <v>43770</v>
      </c>
      <c r="G289" s="3">
        <v>20000000</v>
      </c>
      <c r="H289" s="2">
        <v>5.0000000000000001E-3</v>
      </c>
      <c r="I289" s="17">
        <v>43800</v>
      </c>
      <c r="J289" s="17">
        <v>43830</v>
      </c>
      <c r="K289" s="3">
        <f>J289-I289+1</f>
        <v>31</v>
      </c>
      <c r="L289" s="3">
        <f>ROUND(G289*H289*K289/365,0)</f>
        <v>8493</v>
      </c>
      <c r="M289" s="3">
        <v>20000000</v>
      </c>
    </row>
    <row r="290" spans="1:13" s="16" customFormat="1" outlineLevel="2">
      <c r="A290" s="17" t="s">
        <v>65</v>
      </c>
      <c r="B290" s="18" t="s">
        <v>160</v>
      </c>
      <c r="C290" s="19" t="s">
        <v>352</v>
      </c>
      <c r="D290" s="18" t="s">
        <v>351</v>
      </c>
      <c r="E290" s="3">
        <v>6500000</v>
      </c>
      <c r="F290" s="17">
        <v>43781</v>
      </c>
      <c r="G290" s="3">
        <v>6500000</v>
      </c>
      <c r="H290" s="2">
        <v>1.4999999999999999E-2</v>
      </c>
      <c r="I290" s="17">
        <v>43800</v>
      </c>
      <c r="J290" s="17">
        <v>43830</v>
      </c>
      <c r="K290" s="3">
        <f>J290-I290+1</f>
        <v>31</v>
      </c>
      <c r="L290" s="3">
        <f>ROUND(G290*H290*K290/365,0)</f>
        <v>8281</v>
      </c>
      <c r="M290" s="3">
        <v>6500000</v>
      </c>
    </row>
    <row r="291" spans="1:13" s="16" customFormat="1" outlineLevel="2">
      <c r="A291" s="17" t="s">
        <v>65</v>
      </c>
      <c r="B291" s="18" t="s">
        <v>157</v>
      </c>
      <c r="C291" s="19" t="s">
        <v>320</v>
      </c>
      <c r="D291" s="18" t="s">
        <v>319</v>
      </c>
      <c r="E291" s="3">
        <v>18000000</v>
      </c>
      <c r="F291" s="17">
        <v>43797</v>
      </c>
      <c r="G291" s="3">
        <v>18000000</v>
      </c>
      <c r="H291" s="2">
        <v>1.4999999999999999E-2</v>
      </c>
      <c r="I291" s="17">
        <v>43800</v>
      </c>
      <c r="J291" s="17">
        <v>43830</v>
      </c>
      <c r="K291" s="3">
        <f>J291-I291+1</f>
        <v>31</v>
      </c>
      <c r="L291" s="3">
        <f>ROUND(G291*H291*K291/365,0)</f>
        <v>22932</v>
      </c>
      <c r="M291" s="3">
        <v>18000000</v>
      </c>
    </row>
    <row r="292" spans="1:13" s="16" customFormat="1" outlineLevel="2">
      <c r="A292" s="17" t="s">
        <v>65</v>
      </c>
      <c r="B292" s="18" t="s">
        <v>156</v>
      </c>
      <c r="C292" s="19" t="s">
        <v>320</v>
      </c>
      <c r="D292" s="18" t="s">
        <v>319</v>
      </c>
      <c r="E292" s="3">
        <v>7733376</v>
      </c>
      <c r="F292" s="17">
        <v>43780</v>
      </c>
      <c r="G292" s="3">
        <v>7733376</v>
      </c>
      <c r="H292" s="2">
        <v>1.4999999999999999E-2</v>
      </c>
      <c r="I292" s="17">
        <v>43800</v>
      </c>
      <c r="J292" s="17">
        <v>43830</v>
      </c>
      <c r="K292" s="3">
        <f>J292-I292+1</f>
        <v>31</v>
      </c>
      <c r="L292" s="3">
        <f>ROUND(G292*H292*K292/365,0)</f>
        <v>9852</v>
      </c>
      <c r="M292" s="3">
        <v>7733376</v>
      </c>
    </row>
    <row r="293" spans="1:13" s="16" customFormat="1" outlineLevel="2">
      <c r="A293" s="17" t="s">
        <v>65</v>
      </c>
      <c r="B293" s="18" t="s">
        <v>30</v>
      </c>
      <c r="C293" s="19" t="s">
        <v>61</v>
      </c>
      <c r="D293" s="18" t="s">
        <v>60</v>
      </c>
      <c r="E293" s="3">
        <v>150000000</v>
      </c>
      <c r="F293" s="17">
        <v>43635</v>
      </c>
      <c r="G293" s="3">
        <v>150000000</v>
      </c>
      <c r="H293" s="2">
        <v>1.4999999999999999E-2</v>
      </c>
      <c r="I293" s="17">
        <v>43800</v>
      </c>
      <c r="J293" s="17">
        <v>43830</v>
      </c>
      <c r="K293" s="3">
        <f>J293-I293+1</f>
        <v>31</v>
      </c>
      <c r="L293" s="3">
        <f>ROUND(G293*H293*K293/365,0)</f>
        <v>191096</v>
      </c>
      <c r="M293" s="3">
        <v>150000000</v>
      </c>
    </row>
    <row r="294" spans="1:13" s="16" customFormat="1" outlineLevel="2">
      <c r="A294" s="17" t="s">
        <v>65</v>
      </c>
      <c r="B294" s="18" t="s">
        <v>155</v>
      </c>
      <c r="C294" s="19" t="s">
        <v>208</v>
      </c>
      <c r="D294" s="18" t="s">
        <v>207</v>
      </c>
      <c r="E294" s="3">
        <v>40000000</v>
      </c>
      <c r="F294" s="17">
        <v>43801</v>
      </c>
      <c r="G294" s="3">
        <v>40000000</v>
      </c>
      <c r="H294" s="2">
        <v>1.4999999999999999E-2</v>
      </c>
      <c r="I294" s="17">
        <v>43801</v>
      </c>
      <c r="J294" s="17">
        <v>43830</v>
      </c>
      <c r="K294" s="3">
        <f>J294-I294+1</f>
        <v>30</v>
      </c>
      <c r="L294" s="3">
        <f>ROUND(G294*H294*K294/365,0)</f>
        <v>49315</v>
      </c>
      <c r="M294" s="3">
        <v>40000000</v>
      </c>
    </row>
    <row r="295" spans="1:13" s="16" customFormat="1" outlineLevel="2">
      <c r="A295" s="17" t="s">
        <v>65</v>
      </c>
      <c r="B295" s="18" t="s">
        <v>154</v>
      </c>
      <c r="C295" s="19" t="s">
        <v>210</v>
      </c>
      <c r="D295" s="18" t="s">
        <v>209</v>
      </c>
      <c r="E295" s="3">
        <v>11000000</v>
      </c>
      <c r="F295" s="17">
        <v>43801</v>
      </c>
      <c r="G295" s="3">
        <v>11000000</v>
      </c>
      <c r="H295" s="2">
        <v>5.0000000000000001E-3</v>
      </c>
      <c r="I295" s="17">
        <v>43801</v>
      </c>
      <c r="J295" s="17">
        <v>43830</v>
      </c>
      <c r="K295" s="3">
        <f>J295-I295+1</f>
        <v>30</v>
      </c>
      <c r="L295" s="3">
        <f>ROUND(G295*H295*K295/365,0)</f>
        <v>4521</v>
      </c>
      <c r="M295" s="3">
        <v>11000000</v>
      </c>
    </row>
    <row r="296" spans="1:13" s="16" customFormat="1" outlineLevel="2">
      <c r="A296" s="17" t="s">
        <v>65</v>
      </c>
      <c r="B296" s="18" t="s">
        <v>153</v>
      </c>
      <c r="C296" s="19" t="s">
        <v>392</v>
      </c>
      <c r="D296" s="18" t="s">
        <v>391</v>
      </c>
      <c r="E296" s="3">
        <v>3900000</v>
      </c>
      <c r="F296" s="17">
        <v>43829</v>
      </c>
      <c r="G296" s="3">
        <v>3900000</v>
      </c>
      <c r="H296" s="2">
        <v>5.0000000000000001E-3</v>
      </c>
      <c r="I296" s="17">
        <v>43829</v>
      </c>
      <c r="J296" s="17">
        <v>43830</v>
      </c>
      <c r="K296" s="3">
        <f>J296-I296+1</f>
        <v>2</v>
      </c>
      <c r="L296" s="3">
        <f>ROUND(G296*H296*K296/365,0)</f>
        <v>107</v>
      </c>
      <c r="M296" s="3">
        <v>3900000</v>
      </c>
    </row>
    <row r="297" spans="1:13" s="16" customFormat="1" outlineLevel="2">
      <c r="A297" s="17" t="s">
        <v>65</v>
      </c>
      <c r="B297" s="18" t="s">
        <v>152</v>
      </c>
      <c r="C297" s="19" t="s">
        <v>450</v>
      </c>
      <c r="D297" s="18" t="s">
        <v>449</v>
      </c>
      <c r="E297" s="3">
        <v>125160</v>
      </c>
      <c r="F297" s="17">
        <v>43822</v>
      </c>
      <c r="G297" s="3">
        <v>125160</v>
      </c>
      <c r="H297" s="2">
        <v>5.0000000000000001E-3</v>
      </c>
      <c r="I297" s="17">
        <v>43822</v>
      </c>
      <c r="J297" s="17">
        <v>43830</v>
      </c>
      <c r="K297" s="3">
        <f>J297-I297+1</f>
        <v>9</v>
      </c>
      <c r="L297" s="3">
        <f>ROUND(G297*H297*K297/365,0)</f>
        <v>15</v>
      </c>
      <c r="M297" s="3">
        <v>125160</v>
      </c>
    </row>
    <row r="298" spans="1:13" s="16" customFormat="1" outlineLevel="2">
      <c r="A298" s="17" t="s">
        <v>65</v>
      </c>
      <c r="B298" s="18" t="s">
        <v>151</v>
      </c>
      <c r="C298" s="19" t="s">
        <v>448</v>
      </c>
      <c r="D298" s="18" t="s">
        <v>447</v>
      </c>
      <c r="E298" s="3">
        <v>14000000</v>
      </c>
      <c r="F298" s="17">
        <v>43801</v>
      </c>
      <c r="G298" s="3">
        <v>14000000</v>
      </c>
      <c r="H298" s="2">
        <v>5.0000000000000001E-3</v>
      </c>
      <c r="I298" s="17">
        <v>43801</v>
      </c>
      <c r="J298" s="17">
        <v>43830</v>
      </c>
      <c r="K298" s="3">
        <f>J298-I298+1</f>
        <v>30</v>
      </c>
      <c r="L298" s="3">
        <f>ROUND(G298*H298*K298/365,0)</f>
        <v>5753</v>
      </c>
      <c r="M298" s="3">
        <v>14000000</v>
      </c>
    </row>
    <row r="299" spans="1:13" s="16" customFormat="1" outlineLevel="2">
      <c r="A299" s="17" t="s">
        <v>65</v>
      </c>
      <c r="B299" s="18" t="s">
        <v>196</v>
      </c>
      <c r="C299" s="19" t="s">
        <v>448</v>
      </c>
      <c r="D299" s="18" t="s">
        <v>447</v>
      </c>
      <c r="E299" s="3">
        <v>25400000</v>
      </c>
      <c r="F299" s="17">
        <v>43808</v>
      </c>
      <c r="G299" s="3">
        <v>25400000</v>
      </c>
      <c r="H299" s="2">
        <v>5.0000000000000001E-3</v>
      </c>
      <c r="I299" s="17">
        <v>43808</v>
      </c>
      <c r="J299" s="17">
        <v>43830</v>
      </c>
      <c r="K299" s="3">
        <f>J299-I299+1</f>
        <v>23</v>
      </c>
      <c r="L299" s="3">
        <f>ROUND(G299*H299*K299/365,0)</f>
        <v>8003</v>
      </c>
      <c r="M299" s="3">
        <v>25400000</v>
      </c>
    </row>
    <row r="300" spans="1:13" s="16" customFormat="1" outlineLevel="2">
      <c r="A300" s="17" t="s">
        <v>65</v>
      </c>
      <c r="B300" s="18" t="s">
        <v>195</v>
      </c>
      <c r="C300" s="19" t="s">
        <v>448</v>
      </c>
      <c r="D300" s="18" t="s">
        <v>447</v>
      </c>
      <c r="E300" s="3">
        <v>5400000</v>
      </c>
      <c r="F300" s="17">
        <v>43815</v>
      </c>
      <c r="G300" s="3">
        <v>5400000</v>
      </c>
      <c r="H300" s="2">
        <v>5.0000000000000001E-3</v>
      </c>
      <c r="I300" s="17">
        <v>43815</v>
      </c>
      <c r="J300" s="17">
        <v>43830</v>
      </c>
      <c r="K300" s="3">
        <f>J300-I300+1</f>
        <v>16</v>
      </c>
      <c r="L300" s="3">
        <f>ROUND(G300*H300*K300/365,0)</f>
        <v>1184</v>
      </c>
      <c r="M300" s="3">
        <v>5400000</v>
      </c>
    </row>
    <row r="301" spans="1:13" s="16" customFormat="1" outlineLevel="2">
      <c r="A301" s="17" t="s">
        <v>65</v>
      </c>
      <c r="B301" s="18" t="s">
        <v>194</v>
      </c>
      <c r="C301" s="19" t="s">
        <v>448</v>
      </c>
      <c r="D301" s="18" t="s">
        <v>447</v>
      </c>
      <c r="E301" s="3">
        <v>15300000</v>
      </c>
      <c r="F301" s="17">
        <v>43830</v>
      </c>
      <c r="G301" s="3">
        <v>15300000</v>
      </c>
      <c r="H301" s="2">
        <v>5.0000000000000001E-3</v>
      </c>
      <c r="I301" s="17">
        <v>43830</v>
      </c>
      <c r="J301" s="17">
        <v>43830</v>
      </c>
      <c r="K301" s="3">
        <f>J301-I301+1</f>
        <v>1</v>
      </c>
      <c r="L301" s="3">
        <f>ROUND(G301*H301*K301/365,0)</f>
        <v>210</v>
      </c>
      <c r="M301" s="3">
        <v>15300000</v>
      </c>
    </row>
    <row r="302" spans="1:13" s="16" customFormat="1" outlineLevel="2">
      <c r="A302" s="17" t="s">
        <v>65</v>
      </c>
      <c r="B302" s="18" t="s">
        <v>193</v>
      </c>
      <c r="C302" s="19" t="s">
        <v>448</v>
      </c>
      <c r="D302" s="18" t="s">
        <v>447</v>
      </c>
      <c r="E302" s="3">
        <v>28000000</v>
      </c>
      <c r="F302" s="17">
        <v>43829</v>
      </c>
      <c r="G302" s="3">
        <v>28000000</v>
      </c>
      <c r="H302" s="2">
        <v>5.0000000000000001E-3</v>
      </c>
      <c r="I302" s="17">
        <v>43829</v>
      </c>
      <c r="J302" s="17">
        <v>43830</v>
      </c>
      <c r="K302" s="3">
        <f>J302-I302+1</f>
        <v>2</v>
      </c>
      <c r="L302" s="3">
        <f>ROUND(G302*H302*K302/365,0)</f>
        <v>767</v>
      </c>
      <c r="M302" s="3">
        <v>28000000</v>
      </c>
    </row>
    <row r="303" spans="1:13" s="16" customFormat="1" outlineLevel="2">
      <c r="A303" s="17" t="s">
        <v>65</v>
      </c>
      <c r="B303" s="18" t="s">
        <v>192</v>
      </c>
      <c r="C303" s="19" t="s">
        <v>356</v>
      </c>
      <c r="D303" s="18" t="s">
        <v>355</v>
      </c>
      <c r="E303" s="3">
        <v>44000000</v>
      </c>
      <c r="F303" s="17">
        <v>43823</v>
      </c>
      <c r="G303" s="3">
        <v>44000000</v>
      </c>
      <c r="H303" s="2">
        <v>5.0000000000000001E-3</v>
      </c>
      <c r="I303" s="17">
        <v>43823</v>
      </c>
      <c r="J303" s="17">
        <v>43830</v>
      </c>
      <c r="K303" s="3">
        <f>J303-I303+1</f>
        <v>8</v>
      </c>
      <c r="L303" s="3">
        <f>ROUND(G303*H303*K303/365,0)</f>
        <v>4822</v>
      </c>
      <c r="M303" s="3">
        <v>44000000</v>
      </c>
    </row>
    <row r="304" spans="1:13" s="16" customFormat="1" outlineLevel="2">
      <c r="A304" s="17" t="s">
        <v>65</v>
      </c>
      <c r="B304" s="18" t="s">
        <v>28</v>
      </c>
      <c r="C304" s="19" t="s">
        <v>51</v>
      </c>
      <c r="D304" s="18" t="s">
        <v>50</v>
      </c>
      <c r="E304" s="3">
        <v>400000000</v>
      </c>
      <c r="F304" s="17">
        <v>43663</v>
      </c>
      <c r="G304" s="3">
        <v>400000000</v>
      </c>
      <c r="H304" s="2">
        <v>1.4999999999999999E-2</v>
      </c>
      <c r="I304" s="17">
        <v>43800</v>
      </c>
      <c r="J304" s="17">
        <v>43830</v>
      </c>
      <c r="K304" s="3">
        <f>J304-I304+1</f>
        <v>31</v>
      </c>
      <c r="L304" s="3">
        <f>ROUND(G304*H304*K304/365,0)</f>
        <v>509589</v>
      </c>
      <c r="M304" s="3">
        <v>400000000</v>
      </c>
    </row>
    <row r="305" spans="1:13" s="16" customFormat="1" outlineLevel="2">
      <c r="A305" s="17" t="s">
        <v>65</v>
      </c>
      <c r="B305" s="18" t="s">
        <v>191</v>
      </c>
      <c r="C305" s="19" t="s">
        <v>225</v>
      </c>
      <c r="D305" s="18" t="s">
        <v>224</v>
      </c>
      <c r="E305" s="3">
        <v>150000000</v>
      </c>
      <c r="F305" s="17">
        <v>43812</v>
      </c>
      <c r="G305" s="3">
        <v>150000000</v>
      </c>
      <c r="H305" s="2">
        <v>5.0000000000000001E-3</v>
      </c>
      <c r="I305" s="17">
        <v>43812</v>
      </c>
      <c r="J305" s="17">
        <v>43830</v>
      </c>
      <c r="K305" s="3">
        <f>J305-I305+1</f>
        <v>19</v>
      </c>
      <c r="L305" s="3">
        <f>ROUND(G305*H305*K305/365,0)</f>
        <v>39041</v>
      </c>
      <c r="M305" s="3">
        <v>150000000</v>
      </c>
    </row>
    <row r="306" spans="1:13" s="16" customFormat="1" outlineLevel="2">
      <c r="A306" s="17" t="s">
        <v>65</v>
      </c>
      <c r="B306" s="18" t="s">
        <v>190</v>
      </c>
      <c r="C306" s="19" t="s">
        <v>402</v>
      </c>
      <c r="D306" s="18" t="s">
        <v>401</v>
      </c>
      <c r="E306" s="3">
        <v>55000000</v>
      </c>
      <c r="F306" s="17">
        <v>43830</v>
      </c>
      <c r="G306" s="3">
        <v>55000000</v>
      </c>
      <c r="H306" s="2">
        <v>3.0000000000000001E-3</v>
      </c>
      <c r="I306" s="17">
        <v>43830</v>
      </c>
      <c r="J306" s="17">
        <v>43830</v>
      </c>
      <c r="K306" s="3">
        <f>J306-I306+1</f>
        <v>1</v>
      </c>
      <c r="L306" s="3">
        <f>ROUND(G306*H306*K306/365,0)</f>
        <v>452</v>
      </c>
      <c r="M306" s="3">
        <v>55000000</v>
      </c>
    </row>
    <row r="307" spans="1:13" s="16" customFormat="1" outlineLevel="2">
      <c r="A307" s="17" t="s">
        <v>65</v>
      </c>
      <c r="B307" s="18" t="s">
        <v>189</v>
      </c>
      <c r="C307" s="19" t="s">
        <v>352</v>
      </c>
      <c r="D307" s="18" t="s">
        <v>351</v>
      </c>
      <c r="E307" s="3">
        <v>5800000</v>
      </c>
      <c r="F307" s="17">
        <v>43804</v>
      </c>
      <c r="G307" s="3">
        <v>5800000</v>
      </c>
      <c r="H307" s="2">
        <v>1.4999999999999999E-2</v>
      </c>
      <c r="I307" s="17">
        <v>43804</v>
      </c>
      <c r="J307" s="17">
        <v>43830</v>
      </c>
      <c r="K307" s="3">
        <f>J307-I307+1</f>
        <v>27</v>
      </c>
      <c r="L307" s="3">
        <f>ROUND(G307*H307*K307/365,0)</f>
        <v>6436</v>
      </c>
      <c r="M307" s="3">
        <v>5800000</v>
      </c>
    </row>
    <row r="308" spans="1:13" s="16" customFormat="1" outlineLevel="2">
      <c r="A308" s="17" t="s">
        <v>65</v>
      </c>
      <c r="B308" s="18" t="s">
        <v>186</v>
      </c>
      <c r="C308" s="19" t="s">
        <v>352</v>
      </c>
      <c r="D308" s="18" t="s">
        <v>351</v>
      </c>
      <c r="E308" s="3">
        <v>2600000</v>
      </c>
      <c r="F308" s="17">
        <v>43815</v>
      </c>
      <c r="G308" s="3">
        <v>2600000</v>
      </c>
      <c r="H308" s="2">
        <v>1.4999999999999999E-2</v>
      </c>
      <c r="I308" s="17">
        <v>43815</v>
      </c>
      <c r="J308" s="17">
        <v>43830</v>
      </c>
      <c r="K308" s="3">
        <f>J308-I308+1</f>
        <v>16</v>
      </c>
      <c r="L308" s="3">
        <f>ROUND(G308*H308*K308/365,0)</f>
        <v>1710</v>
      </c>
      <c r="M308" s="3">
        <v>2600000</v>
      </c>
    </row>
    <row r="309" spans="1:13" s="16" customFormat="1" outlineLevel="2">
      <c r="A309" s="17" t="s">
        <v>65</v>
      </c>
      <c r="B309" s="18" t="s">
        <v>228</v>
      </c>
      <c r="C309" s="19" t="s">
        <v>352</v>
      </c>
      <c r="D309" s="18" t="s">
        <v>351</v>
      </c>
      <c r="E309" s="3">
        <v>2700000</v>
      </c>
      <c r="F309" s="17">
        <v>43819</v>
      </c>
      <c r="G309" s="3">
        <v>2700000</v>
      </c>
      <c r="H309" s="2">
        <v>1.4999999999999999E-2</v>
      </c>
      <c r="I309" s="17">
        <v>43819</v>
      </c>
      <c r="J309" s="17">
        <v>43830</v>
      </c>
      <c r="K309" s="3">
        <f>J309-I309+1</f>
        <v>12</v>
      </c>
      <c r="L309" s="3">
        <f>ROUND(G309*H309*K309/365,0)</f>
        <v>1332</v>
      </c>
      <c r="M309" s="3">
        <v>2700000</v>
      </c>
    </row>
    <row r="310" spans="1:13" s="16" customFormat="1" outlineLevel="2">
      <c r="A310" s="17" t="s">
        <v>65</v>
      </c>
      <c r="B310" s="18" t="s">
        <v>227</v>
      </c>
      <c r="C310" s="19" t="s">
        <v>352</v>
      </c>
      <c r="D310" s="18" t="s">
        <v>351</v>
      </c>
      <c r="E310" s="3">
        <v>4700000</v>
      </c>
      <c r="F310" s="17">
        <v>43830</v>
      </c>
      <c r="G310" s="3">
        <v>4700000</v>
      </c>
      <c r="H310" s="2">
        <v>1.4999999999999999E-2</v>
      </c>
      <c r="I310" s="17">
        <v>43830</v>
      </c>
      <c r="J310" s="17">
        <v>43830</v>
      </c>
      <c r="K310" s="3">
        <f>J310-I310+1</f>
        <v>1</v>
      </c>
      <c r="L310" s="3">
        <f>ROUND(G310*H310*K310/365,0)</f>
        <v>193</v>
      </c>
      <c r="M310" s="3">
        <v>4700000</v>
      </c>
    </row>
    <row r="311" spans="1:13" s="16" customFormat="1" outlineLevel="2">
      <c r="A311" s="17" t="s">
        <v>65</v>
      </c>
      <c r="B311" s="18" t="s">
        <v>226</v>
      </c>
      <c r="C311" s="19" t="s">
        <v>320</v>
      </c>
      <c r="D311" s="18" t="s">
        <v>319</v>
      </c>
      <c r="E311" s="3">
        <v>10311168</v>
      </c>
      <c r="F311" s="17">
        <v>43805</v>
      </c>
      <c r="G311" s="3">
        <v>10311168</v>
      </c>
      <c r="H311" s="2">
        <v>1.4999999999999999E-2</v>
      </c>
      <c r="I311" s="17">
        <v>43805</v>
      </c>
      <c r="J311" s="17">
        <v>43830</v>
      </c>
      <c r="K311" s="3">
        <f>J311-I311+1</f>
        <v>26</v>
      </c>
      <c r="L311" s="3">
        <f>ROUND(G311*H311*K311/365,0)</f>
        <v>11017</v>
      </c>
      <c r="M311" s="3">
        <v>10311168</v>
      </c>
    </row>
    <row r="312" spans="1:13" s="16" customFormat="1" outlineLevel="2">
      <c r="A312" s="17" t="s">
        <v>65</v>
      </c>
      <c r="B312" s="18" t="s">
        <v>223</v>
      </c>
      <c r="C312" s="19" t="s">
        <v>320</v>
      </c>
      <c r="D312" s="18" t="s">
        <v>319</v>
      </c>
      <c r="E312" s="3">
        <v>1288000</v>
      </c>
      <c r="F312" s="17">
        <v>43805</v>
      </c>
      <c r="G312" s="3">
        <v>1288000</v>
      </c>
      <c r="H312" s="2">
        <v>1.4999999999999999E-2</v>
      </c>
      <c r="I312" s="17">
        <v>43805</v>
      </c>
      <c r="J312" s="17">
        <v>43830</v>
      </c>
      <c r="K312" s="3">
        <f>J312-I312+1</f>
        <v>26</v>
      </c>
      <c r="L312" s="3">
        <f>ROUND(G312*H312*K312/365,0)</f>
        <v>1376</v>
      </c>
      <c r="M312" s="3">
        <v>1288000</v>
      </c>
    </row>
    <row r="313" spans="1:13" s="16" customFormat="1" outlineLevel="2">
      <c r="A313" s="17" t="s">
        <v>65</v>
      </c>
      <c r="B313" s="18" t="s">
        <v>48</v>
      </c>
      <c r="C313" s="19" t="s">
        <v>173</v>
      </c>
      <c r="D313" s="18" t="s">
        <v>172</v>
      </c>
      <c r="E313" s="3">
        <v>1000000000</v>
      </c>
      <c r="F313" s="17">
        <v>43672</v>
      </c>
      <c r="G313" s="3">
        <v>1000000000</v>
      </c>
      <c r="H313" s="2">
        <v>1.4999999999999999E-2</v>
      </c>
      <c r="I313" s="17">
        <v>43800</v>
      </c>
      <c r="J313" s="17">
        <v>43830</v>
      </c>
      <c r="K313" s="3">
        <f>J313-I313+1</f>
        <v>31</v>
      </c>
      <c r="L313" s="3">
        <f>ROUND(G313*H313*K313/365,0)</f>
        <v>1273973</v>
      </c>
      <c r="M313" s="3">
        <v>1000000000</v>
      </c>
    </row>
    <row r="314" spans="1:13" s="16" customFormat="1" outlineLevel="2">
      <c r="A314" s="17" t="s">
        <v>65</v>
      </c>
      <c r="B314" s="18" t="s">
        <v>47</v>
      </c>
      <c r="C314" s="19" t="s">
        <v>208</v>
      </c>
      <c r="D314" s="18" t="s">
        <v>207</v>
      </c>
      <c r="E314" s="3">
        <v>29300670</v>
      </c>
      <c r="F314" s="17">
        <v>43658</v>
      </c>
      <c r="G314" s="3">
        <v>29300670</v>
      </c>
      <c r="H314" s="2">
        <v>1.4999999999999999E-2</v>
      </c>
      <c r="I314" s="17">
        <v>43800</v>
      </c>
      <c r="J314" s="17">
        <v>43830</v>
      </c>
      <c r="K314" s="3">
        <f>J314-I314+1</f>
        <v>31</v>
      </c>
      <c r="L314" s="3">
        <f>ROUND(G314*H314*K314/365,0)</f>
        <v>37328</v>
      </c>
      <c r="M314" s="3">
        <v>29300670</v>
      </c>
    </row>
    <row r="315" spans="1:13" s="16" customFormat="1" outlineLevel="2">
      <c r="A315" s="17" t="s">
        <v>65</v>
      </c>
      <c r="B315" s="18" t="s">
        <v>46</v>
      </c>
      <c r="C315" s="19" t="s">
        <v>61</v>
      </c>
      <c r="D315" s="18" t="s">
        <v>60</v>
      </c>
      <c r="E315" s="3">
        <v>100000000</v>
      </c>
      <c r="F315" s="17">
        <v>43649</v>
      </c>
      <c r="G315" s="3">
        <v>100000000</v>
      </c>
      <c r="H315" s="2">
        <v>1.4999999999999999E-2</v>
      </c>
      <c r="I315" s="17">
        <v>43800</v>
      </c>
      <c r="J315" s="17">
        <v>43830</v>
      </c>
      <c r="K315" s="3">
        <f>J315-I315+1</f>
        <v>31</v>
      </c>
      <c r="L315" s="3">
        <f>ROUND(G315*H315*K315/365,0)</f>
        <v>127397</v>
      </c>
      <c r="M315" s="3">
        <v>100000000</v>
      </c>
    </row>
    <row r="316" spans="1:13" s="16" customFormat="1" outlineLevel="2">
      <c r="A316" s="17" t="s">
        <v>65</v>
      </c>
      <c r="B316" s="18" t="s">
        <v>45</v>
      </c>
      <c r="C316" s="19" t="s">
        <v>206</v>
      </c>
      <c r="D316" s="18" t="s">
        <v>38</v>
      </c>
      <c r="E316" s="3">
        <v>70000000</v>
      </c>
      <c r="F316" s="17">
        <v>43656</v>
      </c>
      <c r="G316" s="3">
        <v>70000000</v>
      </c>
      <c r="H316" s="2">
        <v>1.4999999999999999E-2</v>
      </c>
      <c r="I316" s="17">
        <v>43800</v>
      </c>
      <c r="J316" s="17">
        <v>43830</v>
      </c>
      <c r="K316" s="3">
        <f>J316-I316+1</f>
        <v>31</v>
      </c>
      <c r="L316" s="3">
        <f>ROUND(G316*H316*K316/365,0)</f>
        <v>89178</v>
      </c>
      <c r="M316" s="3">
        <v>70000000</v>
      </c>
    </row>
    <row r="317" spans="1:13" s="16" customFormat="1" outlineLevel="2">
      <c r="A317" s="17" t="s">
        <v>65</v>
      </c>
      <c r="B317" s="18" t="s">
        <v>44</v>
      </c>
      <c r="C317" s="19" t="s">
        <v>206</v>
      </c>
      <c r="D317" s="18" t="s">
        <v>38</v>
      </c>
      <c r="E317" s="3">
        <v>116000000</v>
      </c>
      <c r="F317" s="17">
        <v>43676</v>
      </c>
      <c r="G317" s="3">
        <v>116000000</v>
      </c>
      <c r="H317" s="2">
        <v>1.4999999999999999E-2</v>
      </c>
      <c r="I317" s="17">
        <v>43800</v>
      </c>
      <c r="J317" s="17">
        <v>43830</v>
      </c>
      <c r="K317" s="3">
        <f>J317-I317+1</f>
        <v>31</v>
      </c>
      <c r="L317" s="3">
        <f>ROUND(G317*H317*K317/365,0)</f>
        <v>147781</v>
      </c>
      <c r="M317" s="3">
        <v>116000000</v>
      </c>
    </row>
    <row r="318" spans="1:13" s="16" customFormat="1" outlineLevel="1">
      <c r="A318" s="28" t="s">
        <v>64</v>
      </c>
      <c r="B318" s="21"/>
      <c r="C318" s="22"/>
      <c r="D318" s="21"/>
      <c r="E318" s="23">
        <f>SUBTOTAL(9,E271:E317)</f>
        <v>5145187014</v>
      </c>
      <c r="F318" s="20"/>
      <c r="G318" s="23"/>
      <c r="H318" s="24"/>
      <c r="I318" s="20"/>
      <c r="J318" s="20"/>
      <c r="K318" s="23"/>
      <c r="L318" s="23">
        <f>SUBTOTAL(9,L271:L317)</f>
        <v>5977116</v>
      </c>
      <c r="M318" s="23">
        <f>SUBTOTAL(9,M271:M317)</f>
        <v>5145187014</v>
      </c>
    </row>
    <row r="319" spans="1:13" s="16" customFormat="1" outlineLevel="2">
      <c r="A319" s="17" t="s">
        <v>16</v>
      </c>
      <c r="B319" s="18" t="s">
        <v>17</v>
      </c>
      <c r="C319" s="19" t="s">
        <v>205</v>
      </c>
      <c r="D319" s="18" t="s">
        <v>19</v>
      </c>
      <c r="E319" s="3">
        <v>200000000</v>
      </c>
      <c r="F319" s="17">
        <v>43556</v>
      </c>
      <c r="G319" s="3">
        <v>200000000</v>
      </c>
      <c r="H319" s="2">
        <v>1.4999999999999999E-2</v>
      </c>
      <c r="I319" s="17">
        <v>43800</v>
      </c>
      <c r="J319" s="17">
        <v>43814</v>
      </c>
      <c r="K319" s="3">
        <f>J319-I319+1</f>
        <v>15</v>
      </c>
      <c r="L319" s="3">
        <f>ROUND(G319*H319*K319/365,0)</f>
        <v>123288</v>
      </c>
      <c r="M319" s="3">
        <v>100000000</v>
      </c>
    </row>
    <row r="320" spans="1:13" s="16" customFormat="1" outlineLevel="2">
      <c r="A320" s="17" t="s">
        <v>16</v>
      </c>
      <c r="B320" s="18" t="s">
        <v>17</v>
      </c>
      <c r="C320" s="19" t="s">
        <v>205</v>
      </c>
      <c r="D320" s="18"/>
      <c r="E320" s="3"/>
      <c r="F320" s="17"/>
      <c r="G320" s="3">
        <v>100000000</v>
      </c>
      <c r="H320" s="2">
        <v>1.4999999999999999E-2</v>
      </c>
      <c r="I320" s="17">
        <v>43815</v>
      </c>
      <c r="J320" s="17">
        <v>43830</v>
      </c>
      <c r="K320" s="3">
        <f>J320-I320+1</f>
        <v>16</v>
      </c>
      <c r="L320" s="3">
        <f>ROUND(G320*H320*K320/365,0)</f>
        <v>65753</v>
      </c>
      <c r="M320" s="3"/>
    </row>
    <row r="321" spans="1:13" s="16" customFormat="1" outlineLevel="2">
      <c r="A321" s="17" t="s">
        <v>16</v>
      </c>
      <c r="B321" s="18" t="s">
        <v>181</v>
      </c>
      <c r="C321" s="19" t="s">
        <v>159</v>
      </c>
      <c r="D321" s="18" t="s">
        <v>158</v>
      </c>
      <c r="E321" s="3">
        <v>66532000</v>
      </c>
      <c r="F321" s="17">
        <v>43663</v>
      </c>
      <c r="G321" s="3">
        <v>66532000</v>
      </c>
      <c r="H321" s="2">
        <v>1.4999999999999999E-2</v>
      </c>
      <c r="I321" s="17">
        <v>43800</v>
      </c>
      <c r="J321" s="17">
        <v>43830</v>
      </c>
      <c r="K321" s="3">
        <f>J321-I321+1</f>
        <v>31</v>
      </c>
      <c r="L321" s="3">
        <f>ROUND(G321*H321*K321/365,0)</f>
        <v>84760</v>
      </c>
      <c r="M321" s="3">
        <v>66532000</v>
      </c>
    </row>
    <row r="322" spans="1:13" s="16" customFormat="1" outlineLevel="2">
      <c r="A322" s="17" t="s">
        <v>16</v>
      </c>
      <c r="B322" s="18" t="s">
        <v>180</v>
      </c>
      <c r="C322" s="19" t="s">
        <v>159</v>
      </c>
      <c r="D322" s="18" t="s">
        <v>158</v>
      </c>
      <c r="E322" s="3">
        <v>5530000</v>
      </c>
      <c r="F322" s="17">
        <v>43693</v>
      </c>
      <c r="G322" s="3">
        <v>5530000</v>
      </c>
      <c r="H322" s="2">
        <v>1.4999999999999999E-2</v>
      </c>
      <c r="I322" s="17">
        <v>43800</v>
      </c>
      <c r="J322" s="17">
        <v>43830</v>
      </c>
      <c r="K322" s="3">
        <f>J322-I322+1</f>
        <v>31</v>
      </c>
      <c r="L322" s="3">
        <f>ROUND(G322*H322*K322/365,0)</f>
        <v>7045</v>
      </c>
      <c r="M322" s="3">
        <v>5530000</v>
      </c>
    </row>
    <row r="323" spans="1:13" s="16" customFormat="1" outlineLevel="2">
      <c r="A323" s="17" t="s">
        <v>16</v>
      </c>
      <c r="B323" s="18" t="s">
        <v>179</v>
      </c>
      <c r="C323" s="19" t="s">
        <v>159</v>
      </c>
      <c r="D323" s="18" t="s">
        <v>158</v>
      </c>
      <c r="E323" s="3">
        <v>15172000</v>
      </c>
      <c r="F323" s="17">
        <v>43693</v>
      </c>
      <c r="G323" s="3">
        <v>15172000</v>
      </c>
      <c r="H323" s="2">
        <v>1.4999999999999999E-2</v>
      </c>
      <c r="I323" s="17">
        <v>43800</v>
      </c>
      <c r="J323" s="17">
        <v>43830</v>
      </c>
      <c r="K323" s="3">
        <f>J323-I323+1</f>
        <v>31</v>
      </c>
      <c r="L323" s="3">
        <f>ROUND(G323*H323*K323/365,0)</f>
        <v>19329</v>
      </c>
      <c r="M323" s="3">
        <v>15172000</v>
      </c>
    </row>
    <row r="324" spans="1:13" s="16" customFormat="1" outlineLevel="2">
      <c r="A324" s="17" t="s">
        <v>16</v>
      </c>
      <c r="B324" s="18" t="s">
        <v>178</v>
      </c>
      <c r="C324" s="19" t="s">
        <v>159</v>
      </c>
      <c r="D324" s="18" t="s">
        <v>158</v>
      </c>
      <c r="E324" s="3">
        <v>3062000</v>
      </c>
      <c r="F324" s="17">
        <v>43725</v>
      </c>
      <c r="G324" s="3">
        <v>3062000</v>
      </c>
      <c r="H324" s="2">
        <v>1.4999999999999999E-2</v>
      </c>
      <c r="I324" s="17">
        <v>43800</v>
      </c>
      <c r="J324" s="17">
        <v>43830</v>
      </c>
      <c r="K324" s="3">
        <f>J324-I324+1</f>
        <v>31</v>
      </c>
      <c r="L324" s="3">
        <f>ROUND(G324*H324*K324/365,0)</f>
        <v>3901</v>
      </c>
      <c r="M324" s="3">
        <v>3062000</v>
      </c>
    </row>
    <row r="325" spans="1:13" s="16" customFormat="1" outlineLevel="2">
      <c r="A325" s="17" t="s">
        <v>16</v>
      </c>
      <c r="B325" s="18" t="s">
        <v>177</v>
      </c>
      <c r="C325" s="19" t="s">
        <v>159</v>
      </c>
      <c r="D325" s="18" t="s">
        <v>158</v>
      </c>
      <c r="E325" s="3">
        <v>15763000</v>
      </c>
      <c r="F325" s="17">
        <v>43725</v>
      </c>
      <c r="G325" s="3">
        <v>15763000</v>
      </c>
      <c r="H325" s="2">
        <v>1.4999999999999999E-2</v>
      </c>
      <c r="I325" s="17">
        <v>43800</v>
      </c>
      <c r="J325" s="17">
        <v>43830</v>
      </c>
      <c r="K325" s="3">
        <f>J325-I325+1</f>
        <v>31</v>
      </c>
      <c r="L325" s="3">
        <f>ROUND(G325*H325*K325/365,0)</f>
        <v>20082</v>
      </c>
      <c r="M325" s="3">
        <v>15763000</v>
      </c>
    </row>
    <row r="326" spans="1:13" s="16" customFormat="1" outlineLevel="2">
      <c r="A326" s="17" t="s">
        <v>16</v>
      </c>
      <c r="B326" s="18" t="s">
        <v>176</v>
      </c>
      <c r="C326" s="19" t="s">
        <v>159</v>
      </c>
      <c r="D326" s="18" t="s">
        <v>158</v>
      </c>
      <c r="E326" s="3">
        <v>4888000</v>
      </c>
      <c r="F326" s="17">
        <v>43755</v>
      </c>
      <c r="G326" s="3">
        <v>4888000</v>
      </c>
      <c r="H326" s="2">
        <v>1.4999999999999999E-2</v>
      </c>
      <c r="I326" s="17">
        <v>43800</v>
      </c>
      <c r="J326" s="17">
        <v>43830</v>
      </c>
      <c r="K326" s="3">
        <f>J326-I326+1</f>
        <v>31</v>
      </c>
      <c r="L326" s="3">
        <f>ROUND(G326*H326*K326/365,0)</f>
        <v>6227</v>
      </c>
      <c r="M326" s="3">
        <v>4888000</v>
      </c>
    </row>
    <row r="327" spans="1:13" s="16" customFormat="1" outlineLevel="2">
      <c r="A327" s="17" t="s">
        <v>16</v>
      </c>
      <c r="B327" s="18" t="s">
        <v>175</v>
      </c>
      <c r="C327" s="19" t="s">
        <v>159</v>
      </c>
      <c r="D327" s="18" t="s">
        <v>158</v>
      </c>
      <c r="E327" s="3">
        <v>16419000</v>
      </c>
      <c r="F327" s="17">
        <v>43755</v>
      </c>
      <c r="G327" s="3">
        <v>16419000</v>
      </c>
      <c r="H327" s="2">
        <v>1.4999999999999999E-2</v>
      </c>
      <c r="I327" s="17">
        <v>43800</v>
      </c>
      <c r="J327" s="17">
        <v>43830</v>
      </c>
      <c r="K327" s="3">
        <f>J327-I327+1</f>
        <v>31</v>
      </c>
      <c r="L327" s="3">
        <f>ROUND(G327*H327*K327/365,0)</f>
        <v>20917</v>
      </c>
      <c r="M327" s="3">
        <v>16419000</v>
      </c>
    </row>
    <row r="328" spans="1:13" s="16" customFormat="1" outlineLevel="2">
      <c r="A328" s="17" t="s">
        <v>16</v>
      </c>
      <c r="B328" s="18" t="s">
        <v>174</v>
      </c>
      <c r="C328" s="19" t="s">
        <v>159</v>
      </c>
      <c r="D328" s="18" t="s">
        <v>158</v>
      </c>
      <c r="E328" s="3">
        <v>5291000</v>
      </c>
      <c r="F328" s="17">
        <v>43784</v>
      </c>
      <c r="G328" s="3">
        <v>5291000</v>
      </c>
      <c r="H328" s="2">
        <v>1.4999999999999999E-2</v>
      </c>
      <c r="I328" s="17">
        <v>43800</v>
      </c>
      <c r="J328" s="17">
        <v>43830</v>
      </c>
      <c r="K328" s="3">
        <f>J328-I328+1</f>
        <v>31</v>
      </c>
      <c r="L328" s="3">
        <f>ROUND(G328*H328*K328/365,0)</f>
        <v>6741</v>
      </c>
      <c r="M328" s="3">
        <v>5291000</v>
      </c>
    </row>
    <row r="329" spans="1:13" s="16" customFormat="1" outlineLevel="2">
      <c r="A329" s="17" t="s">
        <v>16</v>
      </c>
      <c r="B329" s="18" t="s">
        <v>171</v>
      </c>
      <c r="C329" s="19" t="s">
        <v>159</v>
      </c>
      <c r="D329" s="18" t="s">
        <v>158</v>
      </c>
      <c r="E329" s="3">
        <v>9956000</v>
      </c>
      <c r="F329" s="17">
        <v>43784</v>
      </c>
      <c r="G329" s="3">
        <v>9956000</v>
      </c>
      <c r="H329" s="2">
        <v>1.4999999999999999E-2</v>
      </c>
      <c r="I329" s="17">
        <v>43800</v>
      </c>
      <c r="J329" s="17">
        <v>43830</v>
      </c>
      <c r="K329" s="3">
        <f>J329-I329+1</f>
        <v>31</v>
      </c>
      <c r="L329" s="3">
        <f>ROUND(G329*H329*K329/365,0)</f>
        <v>12684</v>
      </c>
      <c r="M329" s="3">
        <v>9956000</v>
      </c>
    </row>
    <row r="330" spans="1:13" s="16" customFormat="1" outlineLevel="2">
      <c r="A330" s="17" t="s">
        <v>16</v>
      </c>
      <c r="B330" s="18" t="s">
        <v>170</v>
      </c>
      <c r="C330" s="19" t="s">
        <v>230</v>
      </c>
      <c r="D330" s="18" t="s">
        <v>229</v>
      </c>
      <c r="E330" s="3">
        <v>67000000</v>
      </c>
      <c r="F330" s="17">
        <v>43798</v>
      </c>
      <c r="G330" s="3">
        <v>67000000</v>
      </c>
      <c r="H330" s="2">
        <v>5.0000000000000001E-3</v>
      </c>
      <c r="I330" s="17">
        <v>43800</v>
      </c>
      <c r="J330" s="17">
        <v>43830</v>
      </c>
      <c r="K330" s="3">
        <f>J330-I330+1</f>
        <v>31</v>
      </c>
      <c r="L330" s="3">
        <f>ROUND(G330*H330*K330/365,0)</f>
        <v>28452</v>
      </c>
      <c r="M330" s="3">
        <v>67000000</v>
      </c>
    </row>
    <row r="331" spans="1:13" s="16" customFormat="1" outlineLevel="2">
      <c r="A331" s="17" t="s">
        <v>16</v>
      </c>
      <c r="B331" s="18" t="s">
        <v>31</v>
      </c>
      <c r="C331" s="19" t="s">
        <v>63</v>
      </c>
      <c r="D331" s="18" t="s">
        <v>62</v>
      </c>
      <c r="E331" s="3">
        <v>50000000</v>
      </c>
      <c r="F331" s="17">
        <v>43607</v>
      </c>
      <c r="G331" s="3">
        <v>50000000</v>
      </c>
      <c r="H331" s="2">
        <v>1.4999999999999999E-2</v>
      </c>
      <c r="I331" s="17">
        <v>43800</v>
      </c>
      <c r="J331" s="17">
        <v>43830</v>
      </c>
      <c r="K331" s="3">
        <f>J331-I331+1</f>
        <v>31</v>
      </c>
      <c r="L331" s="3">
        <f>ROUND(G331*H331*K331/365,0)</f>
        <v>63699</v>
      </c>
      <c r="M331" s="3">
        <v>50000000</v>
      </c>
    </row>
    <row r="332" spans="1:13" s="16" customFormat="1" outlineLevel="2">
      <c r="A332" s="17" t="s">
        <v>16</v>
      </c>
      <c r="B332" s="18" t="s">
        <v>169</v>
      </c>
      <c r="C332" s="19" t="s">
        <v>159</v>
      </c>
      <c r="D332" s="18" t="s">
        <v>158</v>
      </c>
      <c r="E332" s="3">
        <v>5452000</v>
      </c>
      <c r="F332" s="17">
        <v>43816</v>
      </c>
      <c r="G332" s="3">
        <v>5452000</v>
      </c>
      <c r="H332" s="2">
        <v>1.4999999999999999E-2</v>
      </c>
      <c r="I332" s="17">
        <v>43816</v>
      </c>
      <c r="J332" s="17">
        <v>43830</v>
      </c>
      <c r="K332" s="3">
        <f>J332-I332+1</f>
        <v>15</v>
      </c>
      <c r="L332" s="3">
        <f>ROUND(G332*H332*K332/365,0)</f>
        <v>3361</v>
      </c>
      <c r="M332" s="3">
        <v>5452000</v>
      </c>
    </row>
    <row r="333" spans="1:13" s="16" customFormat="1" outlineLevel="2">
      <c r="A333" s="17" t="s">
        <v>16</v>
      </c>
      <c r="B333" s="18" t="s">
        <v>168</v>
      </c>
      <c r="C333" s="19" t="s">
        <v>159</v>
      </c>
      <c r="D333" s="18" t="s">
        <v>158</v>
      </c>
      <c r="E333" s="3">
        <v>24948000</v>
      </c>
      <c r="F333" s="17">
        <v>43816</v>
      </c>
      <c r="G333" s="3">
        <v>24948000</v>
      </c>
      <c r="H333" s="2">
        <v>1.4999999999999999E-2</v>
      </c>
      <c r="I333" s="17">
        <v>43816</v>
      </c>
      <c r="J333" s="17">
        <v>43830</v>
      </c>
      <c r="K333" s="3">
        <f>J333-I333+1</f>
        <v>15</v>
      </c>
      <c r="L333" s="3">
        <f>ROUND(G333*H333*K333/365,0)</f>
        <v>15379</v>
      </c>
      <c r="M333" s="3">
        <v>24948000</v>
      </c>
    </row>
    <row r="334" spans="1:13" s="16" customFormat="1" outlineLevel="2">
      <c r="A334" s="17" t="s">
        <v>16</v>
      </c>
      <c r="B334" s="18" t="s">
        <v>167</v>
      </c>
      <c r="C334" s="19" t="s">
        <v>245</v>
      </c>
      <c r="D334" s="18" t="s">
        <v>244</v>
      </c>
      <c r="E334" s="3">
        <v>50000000</v>
      </c>
      <c r="F334" s="17">
        <v>43809</v>
      </c>
      <c r="G334" s="3">
        <v>50000000</v>
      </c>
      <c r="H334" s="2">
        <v>5.0000000000000001E-3</v>
      </c>
      <c r="I334" s="17">
        <v>43809</v>
      </c>
      <c r="J334" s="17">
        <v>43830</v>
      </c>
      <c r="K334" s="3">
        <f>J334-I334+1</f>
        <v>22</v>
      </c>
      <c r="L334" s="3">
        <f>ROUND(G334*H334*K334/365,0)</f>
        <v>15068</v>
      </c>
      <c r="M334" s="3">
        <v>50000000</v>
      </c>
    </row>
    <row r="335" spans="1:13" s="16" customFormat="1" outlineLevel="2">
      <c r="A335" s="17" t="s">
        <v>16</v>
      </c>
      <c r="B335" s="18" t="s">
        <v>166</v>
      </c>
      <c r="C335" s="19" t="s">
        <v>245</v>
      </c>
      <c r="D335" s="18" t="s">
        <v>244</v>
      </c>
      <c r="E335" s="3">
        <v>150000000</v>
      </c>
      <c r="F335" s="17">
        <v>43826</v>
      </c>
      <c r="G335" s="3">
        <v>150000000</v>
      </c>
      <c r="H335" s="2">
        <v>5.0000000000000001E-3</v>
      </c>
      <c r="I335" s="17">
        <v>43826</v>
      </c>
      <c r="J335" s="17">
        <v>43830</v>
      </c>
      <c r="K335" s="3">
        <f>J335-I335+1</f>
        <v>5</v>
      </c>
      <c r="L335" s="3">
        <f>ROUND(G335*H335*K335/365,0)</f>
        <v>10274</v>
      </c>
      <c r="M335" s="3">
        <v>150000000</v>
      </c>
    </row>
    <row r="336" spans="1:13" s="16" customFormat="1" outlineLevel="2">
      <c r="A336" s="17" t="s">
        <v>16</v>
      </c>
      <c r="B336" s="18" t="s">
        <v>165</v>
      </c>
      <c r="C336" s="19" t="s">
        <v>446</v>
      </c>
      <c r="D336" s="18" t="s">
        <v>369</v>
      </c>
      <c r="E336" s="3">
        <v>40000000</v>
      </c>
      <c r="F336" s="17">
        <v>43829</v>
      </c>
      <c r="G336" s="3">
        <v>40000000</v>
      </c>
      <c r="H336" s="2">
        <v>5.0000000000000001E-3</v>
      </c>
      <c r="I336" s="17">
        <v>43829</v>
      </c>
      <c r="J336" s="17">
        <v>43830</v>
      </c>
      <c r="K336" s="3">
        <f>J336-I336+1</f>
        <v>2</v>
      </c>
      <c r="L336" s="3">
        <f>ROUND(G336*H336*K336/365,0)</f>
        <v>1096</v>
      </c>
      <c r="M336" s="3">
        <v>40000000</v>
      </c>
    </row>
    <row r="337" spans="1:13" s="16" customFormat="1" outlineLevel="2">
      <c r="A337" s="17" t="s">
        <v>16</v>
      </c>
      <c r="B337" s="18" t="s">
        <v>30</v>
      </c>
      <c r="C337" s="19" t="s">
        <v>63</v>
      </c>
      <c r="D337" s="18" t="s">
        <v>62</v>
      </c>
      <c r="E337" s="3">
        <v>50000000</v>
      </c>
      <c r="F337" s="17">
        <v>43615</v>
      </c>
      <c r="G337" s="3">
        <v>50000000</v>
      </c>
      <c r="H337" s="2">
        <v>1.4999999999999999E-2</v>
      </c>
      <c r="I337" s="17">
        <v>43800</v>
      </c>
      <c r="J337" s="17">
        <v>43830</v>
      </c>
      <c r="K337" s="3">
        <f>J337-I337+1</f>
        <v>31</v>
      </c>
      <c r="L337" s="3">
        <f>ROUND(G337*H337*K337/365,0)</f>
        <v>63699</v>
      </c>
      <c r="M337" s="3">
        <v>50000000</v>
      </c>
    </row>
    <row r="338" spans="1:13" s="16" customFormat="1" outlineLevel="2">
      <c r="A338" s="17" t="s">
        <v>16</v>
      </c>
      <c r="B338" s="18" t="s">
        <v>28</v>
      </c>
      <c r="C338" s="19" t="s">
        <v>61</v>
      </c>
      <c r="D338" s="18" t="s">
        <v>60</v>
      </c>
      <c r="E338" s="3">
        <v>150000000</v>
      </c>
      <c r="F338" s="17">
        <v>43640</v>
      </c>
      <c r="G338" s="3">
        <v>150000000</v>
      </c>
      <c r="H338" s="2">
        <v>1.4999999999999999E-2</v>
      </c>
      <c r="I338" s="17">
        <v>43800</v>
      </c>
      <c r="J338" s="17">
        <v>43830</v>
      </c>
      <c r="K338" s="3">
        <f>J338-I338+1</f>
        <v>31</v>
      </c>
      <c r="L338" s="3">
        <f>ROUND(G338*H338*K338/365,0)</f>
        <v>191096</v>
      </c>
      <c r="M338" s="3">
        <v>150000000</v>
      </c>
    </row>
    <row r="339" spans="1:13" s="16" customFormat="1" outlineLevel="2">
      <c r="A339" s="17" t="s">
        <v>16</v>
      </c>
      <c r="B339" s="18" t="s">
        <v>48</v>
      </c>
      <c r="C339" s="19" t="s">
        <v>63</v>
      </c>
      <c r="D339" s="18" t="s">
        <v>62</v>
      </c>
      <c r="E339" s="3">
        <v>30000000</v>
      </c>
      <c r="F339" s="17">
        <v>43651</v>
      </c>
      <c r="G339" s="3">
        <v>30000000</v>
      </c>
      <c r="H339" s="2">
        <v>1.4999999999999999E-2</v>
      </c>
      <c r="I339" s="17">
        <v>43800</v>
      </c>
      <c r="J339" s="17">
        <v>43830</v>
      </c>
      <c r="K339" s="3">
        <f>J339-I339+1</f>
        <v>31</v>
      </c>
      <c r="L339" s="3">
        <f>ROUND(G339*H339*K339/365,0)</f>
        <v>38219</v>
      </c>
      <c r="M339" s="3">
        <v>30000000</v>
      </c>
    </row>
    <row r="340" spans="1:13" s="16" customFormat="1" outlineLevel="2">
      <c r="A340" s="17" t="s">
        <v>16</v>
      </c>
      <c r="B340" s="18" t="s">
        <v>47</v>
      </c>
      <c r="C340" s="19" t="s">
        <v>63</v>
      </c>
      <c r="D340" s="18" t="s">
        <v>62</v>
      </c>
      <c r="E340" s="3">
        <v>30000000</v>
      </c>
      <c r="F340" s="17">
        <v>43655</v>
      </c>
      <c r="G340" s="3">
        <v>30000000</v>
      </c>
      <c r="H340" s="2">
        <v>1.4999999999999999E-2</v>
      </c>
      <c r="I340" s="17">
        <v>43800</v>
      </c>
      <c r="J340" s="17">
        <v>43830</v>
      </c>
      <c r="K340" s="3">
        <f>J340-I340+1</f>
        <v>31</v>
      </c>
      <c r="L340" s="3">
        <f>ROUND(G340*H340*K340/365,0)</f>
        <v>38219</v>
      </c>
      <c r="M340" s="3">
        <v>30000000</v>
      </c>
    </row>
    <row r="341" spans="1:13" s="16" customFormat="1" outlineLevel="2">
      <c r="A341" s="17" t="s">
        <v>16</v>
      </c>
      <c r="B341" s="18" t="s">
        <v>46</v>
      </c>
      <c r="C341" s="19" t="s">
        <v>63</v>
      </c>
      <c r="D341" s="18" t="s">
        <v>62</v>
      </c>
      <c r="E341" s="3">
        <v>35000000</v>
      </c>
      <c r="F341" s="17">
        <v>43663</v>
      </c>
      <c r="G341" s="3">
        <v>35000000</v>
      </c>
      <c r="H341" s="2">
        <v>1.4999999999999999E-2</v>
      </c>
      <c r="I341" s="17">
        <v>43800</v>
      </c>
      <c r="J341" s="17">
        <v>43830</v>
      </c>
      <c r="K341" s="3">
        <f>J341-I341+1</f>
        <v>31</v>
      </c>
      <c r="L341" s="3">
        <f>ROUND(G341*H341*K341/365,0)</f>
        <v>44589</v>
      </c>
      <c r="M341" s="3">
        <v>35000000</v>
      </c>
    </row>
    <row r="342" spans="1:13" s="16" customFormat="1" outlineLevel="2">
      <c r="A342" s="17" t="s">
        <v>16</v>
      </c>
      <c r="B342" s="18" t="s">
        <v>45</v>
      </c>
      <c r="C342" s="19" t="s">
        <v>63</v>
      </c>
      <c r="D342" s="18" t="s">
        <v>62</v>
      </c>
      <c r="E342" s="3">
        <v>40000000</v>
      </c>
      <c r="F342" s="17">
        <v>43665</v>
      </c>
      <c r="G342" s="3">
        <v>40000000</v>
      </c>
      <c r="H342" s="2">
        <v>1.4999999999999999E-2</v>
      </c>
      <c r="I342" s="17">
        <v>43800</v>
      </c>
      <c r="J342" s="17">
        <v>43830</v>
      </c>
      <c r="K342" s="3">
        <f>J342-I342+1</f>
        <v>31</v>
      </c>
      <c r="L342" s="3">
        <f>ROUND(G342*H342*K342/365,0)</f>
        <v>50959</v>
      </c>
      <c r="M342" s="3">
        <v>40000000</v>
      </c>
    </row>
    <row r="343" spans="1:13" s="16" customFormat="1" outlineLevel="2">
      <c r="A343" s="17" t="s">
        <v>16</v>
      </c>
      <c r="B343" s="18" t="s">
        <v>44</v>
      </c>
      <c r="C343" s="19" t="s">
        <v>159</v>
      </c>
      <c r="D343" s="18" t="s">
        <v>158</v>
      </c>
      <c r="E343" s="3">
        <v>31748000</v>
      </c>
      <c r="F343" s="17">
        <v>43663</v>
      </c>
      <c r="G343" s="3">
        <v>31748000</v>
      </c>
      <c r="H343" s="2">
        <v>1.4999999999999999E-2</v>
      </c>
      <c r="I343" s="17">
        <v>43800</v>
      </c>
      <c r="J343" s="17">
        <v>43830</v>
      </c>
      <c r="K343" s="3">
        <f>J343-I343+1</f>
        <v>31</v>
      </c>
      <c r="L343" s="3">
        <f>ROUND(G343*H343*K343/365,0)</f>
        <v>40446</v>
      </c>
      <c r="M343" s="3">
        <v>31748000</v>
      </c>
    </row>
    <row r="344" spans="1:13" s="16" customFormat="1" outlineLevel="1">
      <c r="A344" s="28" t="s">
        <v>32</v>
      </c>
      <c r="B344" s="21"/>
      <c r="C344" s="22"/>
      <c r="D344" s="21"/>
      <c r="E344" s="23">
        <f>SUBTOTAL(9,E319:E343)</f>
        <v>1096761000</v>
      </c>
      <c r="F344" s="20"/>
      <c r="G344" s="23"/>
      <c r="H344" s="24"/>
      <c r="I344" s="20"/>
      <c r="J344" s="20"/>
      <c r="K344" s="23"/>
      <c r="L344" s="23">
        <f>SUBTOTAL(9,L319:L343)</f>
        <v>975283</v>
      </c>
      <c r="M344" s="23">
        <f>SUBTOTAL(9,M319:M343)</f>
        <v>996761000</v>
      </c>
    </row>
    <row r="345" spans="1:13" s="16" customFormat="1" outlineLevel="2">
      <c r="A345" s="17" t="s">
        <v>59</v>
      </c>
      <c r="B345" s="18" t="s">
        <v>17</v>
      </c>
      <c r="C345" s="19" t="s">
        <v>58</v>
      </c>
      <c r="D345" s="18" t="s">
        <v>57</v>
      </c>
      <c r="E345" s="3">
        <v>200000000</v>
      </c>
      <c r="F345" s="17">
        <v>43613</v>
      </c>
      <c r="G345" s="3">
        <v>200000000</v>
      </c>
      <c r="H345" s="2">
        <v>1.4999999999999999E-2</v>
      </c>
      <c r="I345" s="17">
        <v>43800</v>
      </c>
      <c r="J345" s="17">
        <v>43830</v>
      </c>
      <c r="K345" s="3">
        <f>J345-I345+1</f>
        <v>31</v>
      </c>
      <c r="L345" s="3">
        <f>ROUND(G345*H345*K345/365,0)</f>
        <v>254795</v>
      </c>
      <c r="M345" s="3">
        <v>200000000</v>
      </c>
    </row>
    <row r="346" spans="1:13" s="16" customFormat="1" outlineLevel="2">
      <c r="A346" s="17" t="s">
        <v>59</v>
      </c>
      <c r="B346" s="18" t="s">
        <v>181</v>
      </c>
      <c r="C346" s="19" t="s">
        <v>260</v>
      </c>
      <c r="D346" s="18" t="s">
        <v>259</v>
      </c>
      <c r="E346" s="3">
        <v>11540000</v>
      </c>
      <c r="F346" s="17">
        <v>43763</v>
      </c>
      <c r="G346" s="3">
        <v>11540000</v>
      </c>
      <c r="H346" s="2">
        <v>5.0000000000000001E-3</v>
      </c>
      <c r="I346" s="17">
        <v>43800</v>
      </c>
      <c r="J346" s="17">
        <v>43830</v>
      </c>
      <c r="K346" s="3">
        <f>J346-I346+1</f>
        <v>31</v>
      </c>
      <c r="L346" s="3">
        <f>ROUND(G346*H346*K346/365,0)</f>
        <v>4901</v>
      </c>
      <c r="M346" s="3">
        <v>11540000</v>
      </c>
    </row>
    <row r="347" spans="1:13" s="16" customFormat="1" outlineLevel="2">
      <c r="A347" s="17" t="s">
        <v>59</v>
      </c>
      <c r="B347" s="18" t="s">
        <v>180</v>
      </c>
      <c r="C347" s="19" t="s">
        <v>260</v>
      </c>
      <c r="D347" s="18" t="s">
        <v>259</v>
      </c>
      <c r="E347" s="3">
        <v>30000000</v>
      </c>
      <c r="F347" s="17">
        <v>43774</v>
      </c>
      <c r="G347" s="3">
        <v>30000000</v>
      </c>
      <c r="H347" s="2">
        <v>5.0000000000000001E-3</v>
      </c>
      <c r="I347" s="17">
        <v>43800</v>
      </c>
      <c r="J347" s="17">
        <v>43830</v>
      </c>
      <c r="K347" s="3">
        <f>J347-I347+1</f>
        <v>31</v>
      </c>
      <c r="L347" s="3">
        <f>ROUND(G347*H347*K347/365,0)</f>
        <v>12740</v>
      </c>
      <c r="M347" s="3">
        <v>30000000</v>
      </c>
    </row>
    <row r="348" spans="1:13" s="16" customFormat="1" outlineLevel="2">
      <c r="A348" s="17" t="s">
        <v>59</v>
      </c>
      <c r="B348" s="18" t="s">
        <v>179</v>
      </c>
      <c r="C348" s="19" t="s">
        <v>260</v>
      </c>
      <c r="D348" s="18" t="s">
        <v>259</v>
      </c>
      <c r="E348" s="3">
        <v>27060000</v>
      </c>
      <c r="F348" s="17">
        <v>43777</v>
      </c>
      <c r="G348" s="3">
        <v>27060000</v>
      </c>
      <c r="H348" s="2">
        <v>5.0000000000000001E-3</v>
      </c>
      <c r="I348" s="17">
        <v>43800</v>
      </c>
      <c r="J348" s="17">
        <v>43830</v>
      </c>
      <c r="K348" s="3">
        <f>J348-I348+1</f>
        <v>31</v>
      </c>
      <c r="L348" s="3">
        <f>ROUND(G348*H348*K348/365,0)</f>
        <v>11491</v>
      </c>
      <c r="M348" s="3">
        <v>27060000</v>
      </c>
    </row>
    <row r="349" spans="1:13" s="16" customFormat="1" outlineLevel="2">
      <c r="A349" s="17" t="s">
        <v>59</v>
      </c>
      <c r="B349" s="18" t="s">
        <v>178</v>
      </c>
      <c r="C349" s="19" t="s">
        <v>260</v>
      </c>
      <c r="D349" s="18" t="s">
        <v>259</v>
      </c>
      <c r="E349" s="3">
        <v>22000000</v>
      </c>
      <c r="F349" s="17">
        <v>43781</v>
      </c>
      <c r="G349" s="3">
        <v>22000000</v>
      </c>
      <c r="H349" s="2">
        <v>5.0000000000000001E-3</v>
      </c>
      <c r="I349" s="17">
        <v>43800</v>
      </c>
      <c r="J349" s="17">
        <v>43814</v>
      </c>
      <c r="K349" s="3">
        <f>J349-I349+1</f>
        <v>15</v>
      </c>
      <c r="L349" s="3">
        <f>ROUND(G349*H349*K349/365,0)</f>
        <v>4521</v>
      </c>
      <c r="M349" s="3">
        <v>21000000</v>
      </c>
    </row>
    <row r="350" spans="1:13" s="16" customFormat="1" outlineLevel="2">
      <c r="A350" s="17" t="s">
        <v>59</v>
      </c>
      <c r="B350" s="18" t="s">
        <v>178</v>
      </c>
      <c r="C350" s="19" t="s">
        <v>260</v>
      </c>
      <c r="D350" s="18"/>
      <c r="E350" s="3"/>
      <c r="F350" s="17"/>
      <c r="G350" s="3">
        <v>21000000</v>
      </c>
      <c r="H350" s="2">
        <v>5.0000000000000001E-3</v>
      </c>
      <c r="I350" s="17">
        <v>43815</v>
      </c>
      <c r="J350" s="17">
        <v>43830</v>
      </c>
      <c r="K350" s="3">
        <f>J350-I350+1</f>
        <v>16</v>
      </c>
      <c r="L350" s="3">
        <f>ROUND(G350*H350*K350/365,0)</f>
        <v>4603</v>
      </c>
      <c r="M350" s="3"/>
    </row>
    <row r="351" spans="1:13" s="16" customFormat="1" outlineLevel="2">
      <c r="A351" s="17" t="s">
        <v>59</v>
      </c>
      <c r="B351" s="18" t="s">
        <v>177</v>
      </c>
      <c r="C351" s="19" t="s">
        <v>390</v>
      </c>
      <c r="D351" s="18" t="s">
        <v>389</v>
      </c>
      <c r="E351" s="3">
        <v>100000000</v>
      </c>
      <c r="F351" s="17">
        <v>43795</v>
      </c>
      <c r="G351" s="3">
        <v>100000000</v>
      </c>
      <c r="H351" s="2">
        <v>1.4999999999999999E-2</v>
      </c>
      <c r="I351" s="17">
        <v>43800</v>
      </c>
      <c r="J351" s="17">
        <v>43830</v>
      </c>
      <c r="K351" s="3">
        <f>J351-I351+1</f>
        <v>31</v>
      </c>
      <c r="L351" s="3">
        <f>ROUND(G351*H351*K351/365,0)</f>
        <v>127397</v>
      </c>
      <c r="M351" s="3">
        <v>100000000</v>
      </c>
    </row>
    <row r="352" spans="1:13" s="16" customFormat="1" outlineLevel="2">
      <c r="A352" s="17" t="s">
        <v>59</v>
      </c>
      <c r="B352" s="18" t="s">
        <v>176</v>
      </c>
      <c r="C352" s="19" t="s">
        <v>260</v>
      </c>
      <c r="D352" s="18" t="s">
        <v>259</v>
      </c>
      <c r="E352" s="3">
        <v>11540000</v>
      </c>
      <c r="F352" s="17">
        <v>43823</v>
      </c>
      <c r="G352" s="3">
        <v>11540000</v>
      </c>
      <c r="H352" s="2">
        <v>5.0000000000000001E-3</v>
      </c>
      <c r="I352" s="17">
        <v>43823</v>
      </c>
      <c r="J352" s="17">
        <v>43830</v>
      </c>
      <c r="K352" s="3">
        <f>J352-I352+1</f>
        <v>8</v>
      </c>
      <c r="L352" s="3">
        <f>ROUND(G352*H352*K352/365,0)</f>
        <v>1265</v>
      </c>
      <c r="M352" s="3">
        <v>11540000</v>
      </c>
    </row>
    <row r="353" spans="1:13" s="16" customFormat="1" outlineLevel="2">
      <c r="A353" s="17" t="s">
        <v>59</v>
      </c>
      <c r="B353" s="18" t="s">
        <v>31</v>
      </c>
      <c r="C353" s="19" t="s">
        <v>260</v>
      </c>
      <c r="D353" s="18" t="s">
        <v>259</v>
      </c>
      <c r="E353" s="3">
        <v>40000000</v>
      </c>
      <c r="F353" s="17">
        <v>43718</v>
      </c>
      <c r="G353" s="3">
        <v>40000000</v>
      </c>
      <c r="H353" s="2">
        <v>5.0000000000000001E-3</v>
      </c>
      <c r="I353" s="17">
        <v>43800</v>
      </c>
      <c r="J353" s="17">
        <v>43830</v>
      </c>
      <c r="K353" s="3">
        <f>J353-I353+1</f>
        <v>31</v>
      </c>
      <c r="L353" s="3">
        <f>ROUND(G353*H353*K353/365,0)</f>
        <v>16986</v>
      </c>
      <c r="M353" s="3">
        <v>40000000</v>
      </c>
    </row>
    <row r="354" spans="1:13" s="16" customFormat="1" outlineLevel="2">
      <c r="A354" s="17" t="s">
        <v>59</v>
      </c>
      <c r="B354" s="18" t="s">
        <v>30</v>
      </c>
      <c r="C354" s="19" t="s">
        <v>260</v>
      </c>
      <c r="D354" s="18" t="s">
        <v>259</v>
      </c>
      <c r="E354" s="3">
        <v>13200000</v>
      </c>
      <c r="F354" s="17">
        <v>43726</v>
      </c>
      <c r="G354" s="3">
        <v>12100000</v>
      </c>
      <c r="H354" s="2">
        <v>5.0000000000000001E-3</v>
      </c>
      <c r="I354" s="17">
        <v>43800</v>
      </c>
      <c r="J354" s="17">
        <v>43814</v>
      </c>
      <c r="K354" s="3">
        <f>J354-I354+1</f>
        <v>15</v>
      </c>
      <c r="L354" s="3">
        <f>ROUND(G354*H354*K354/365,0)</f>
        <v>2486</v>
      </c>
      <c r="M354" s="3">
        <v>11550000</v>
      </c>
    </row>
    <row r="355" spans="1:13" s="16" customFormat="1" outlineLevel="2">
      <c r="A355" s="17" t="s">
        <v>59</v>
      </c>
      <c r="B355" s="18" t="s">
        <v>30</v>
      </c>
      <c r="C355" s="19" t="s">
        <v>260</v>
      </c>
      <c r="D355" s="18"/>
      <c r="E355" s="3"/>
      <c r="F355" s="17"/>
      <c r="G355" s="3">
        <v>11550000</v>
      </c>
      <c r="H355" s="2">
        <v>5.0000000000000001E-3</v>
      </c>
      <c r="I355" s="17">
        <v>43815</v>
      </c>
      <c r="J355" s="17">
        <v>43830</v>
      </c>
      <c r="K355" s="3">
        <f>J355-I355+1</f>
        <v>16</v>
      </c>
      <c r="L355" s="3">
        <f>ROUND(G355*H355*K355/365,0)</f>
        <v>2532</v>
      </c>
      <c r="M355" s="3"/>
    </row>
    <row r="356" spans="1:13" s="16" customFormat="1" outlineLevel="2">
      <c r="A356" s="17" t="s">
        <v>59</v>
      </c>
      <c r="B356" s="18" t="s">
        <v>28</v>
      </c>
      <c r="C356" s="19" t="s">
        <v>260</v>
      </c>
      <c r="D356" s="18" t="s">
        <v>259</v>
      </c>
      <c r="E356" s="3">
        <v>11540000</v>
      </c>
      <c r="F356" s="17">
        <v>43731</v>
      </c>
      <c r="G356" s="3">
        <v>11540000</v>
      </c>
      <c r="H356" s="2">
        <v>5.0000000000000001E-3</v>
      </c>
      <c r="I356" s="17">
        <v>43800</v>
      </c>
      <c r="J356" s="17">
        <v>43830</v>
      </c>
      <c r="K356" s="3">
        <f>J356-I356+1</f>
        <v>31</v>
      </c>
      <c r="L356" s="3">
        <f>ROUND(G356*H356*K356/365,0)</f>
        <v>4901</v>
      </c>
      <c r="M356" s="3">
        <v>11540000</v>
      </c>
    </row>
    <row r="357" spans="1:13" s="16" customFormat="1" outlineLevel="2">
      <c r="A357" s="17" t="s">
        <v>59</v>
      </c>
      <c r="B357" s="18" t="s">
        <v>48</v>
      </c>
      <c r="C357" s="19" t="s">
        <v>260</v>
      </c>
      <c r="D357" s="18" t="s">
        <v>259</v>
      </c>
      <c r="E357" s="3">
        <v>4340000</v>
      </c>
      <c r="F357" s="17">
        <v>43727</v>
      </c>
      <c r="G357" s="3">
        <v>4340000</v>
      </c>
      <c r="H357" s="2">
        <v>5.0000000000000001E-3</v>
      </c>
      <c r="I357" s="17">
        <v>43800</v>
      </c>
      <c r="J357" s="17">
        <v>43830</v>
      </c>
      <c r="K357" s="3">
        <f>J357-I357+1</f>
        <v>31</v>
      </c>
      <c r="L357" s="3">
        <f>ROUND(G357*H357*K357/365,0)</f>
        <v>1843</v>
      </c>
      <c r="M357" s="3">
        <v>4340000</v>
      </c>
    </row>
    <row r="358" spans="1:13" s="16" customFormat="1" outlineLevel="2">
      <c r="A358" s="17" t="s">
        <v>59</v>
      </c>
      <c r="B358" s="18" t="s">
        <v>47</v>
      </c>
      <c r="C358" s="19" t="s">
        <v>260</v>
      </c>
      <c r="D358" s="18" t="s">
        <v>259</v>
      </c>
      <c r="E358" s="3">
        <v>18040000</v>
      </c>
      <c r="F358" s="17">
        <v>43727</v>
      </c>
      <c r="G358" s="3">
        <v>18040000</v>
      </c>
      <c r="H358" s="2">
        <v>5.0000000000000001E-3</v>
      </c>
      <c r="I358" s="17">
        <v>43800</v>
      </c>
      <c r="J358" s="17">
        <v>43830</v>
      </c>
      <c r="K358" s="3">
        <f>J358-I358+1</f>
        <v>31</v>
      </c>
      <c r="L358" s="3">
        <f>ROUND(G358*H358*K358/365,0)</f>
        <v>7661</v>
      </c>
      <c r="M358" s="3">
        <v>18040000</v>
      </c>
    </row>
    <row r="359" spans="1:13" s="16" customFormat="1" outlineLevel="2">
      <c r="A359" s="17" t="s">
        <v>59</v>
      </c>
      <c r="B359" s="18" t="s">
        <v>46</v>
      </c>
      <c r="C359" s="19" t="s">
        <v>260</v>
      </c>
      <c r="D359" s="18" t="s">
        <v>259</v>
      </c>
      <c r="E359" s="3">
        <v>3470000</v>
      </c>
      <c r="F359" s="17">
        <v>43727</v>
      </c>
      <c r="G359" s="3">
        <v>3470000</v>
      </c>
      <c r="H359" s="2">
        <v>5.0000000000000001E-3</v>
      </c>
      <c r="I359" s="17">
        <v>43800</v>
      </c>
      <c r="J359" s="17">
        <v>43830</v>
      </c>
      <c r="K359" s="3">
        <f>J359-I359+1</f>
        <v>31</v>
      </c>
      <c r="L359" s="3">
        <f>ROUND(G359*H359*K359/365,0)</f>
        <v>1474</v>
      </c>
      <c r="M359" s="3">
        <v>3470000</v>
      </c>
    </row>
    <row r="360" spans="1:13" s="16" customFormat="1" outlineLevel="2">
      <c r="A360" s="17" t="s">
        <v>59</v>
      </c>
      <c r="B360" s="18" t="s">
        <v>45</v>
      </c>
      <c r="C360" s="19" t="s">
        <v>260</v>
      </c>
      <c r="D360" s="18" t="s">
        <v>259</v>
      </c>
      <c r="E360" s="3">
        <v>4090000</v>
      </c>
      <c r="F360" s="17">
        <v>43727</v>
      </c>
      <c r="G360" s="3">
        <v>4090000</v>
      </c>
      <c r="H360" s="2">
        <v>5.0000000000000001E-3</v>
      </c>
      <c r="I360" s="17">
        <v>43800</v>
      </c>
      <c r="J360" s="17">
        <v>43830</v>
      </c>
      <c r="K360" s="3">
        <f>J360-I360+1</f>
        <v>31</v>
      </c>
      <c r="L360" s="3">
        <f>ROUND(G360*H360*K360/365,0)</f>
        <v>1737</v>
      </c>
      <c r="M360" s="3">
        <v>4090000</v>
      </c>
    </row>
    <row r="361" spans="1:13" s="16" customFormat="1" outlineLevel="2">
      <c r="A361" s="17" t="s">
        <v>59</v>
      </c>
      <c r="B361" s="18" t="s">
        <v>44</v>
      </c>
      <c r="C361" s="19" t="s">
        <v>260</v>
      </c>
      <c r="D361" s="18" t="s">
        <v>259</v>
      </c>
      <c r="E361" s="3">
        <v>30000000</v>
      </c>
      <c r="F361" s="17">
        <v>43742</v>
      </c>
      <c r="G361" s="3">
        <v>30000000</v>
      </c>
      <c r="H361" s="2">
        <v>5.0000000000000001E-3</v>
      </c>
      <c r="I361" s="17">
        <v>43800</v>
      </c>
      <c r="J361" s="17">
        <v>43830</v>
      </c>
      <c r="K361" s="3">
        <f>J361-I361+1</f>
        <v>31</v>
      </c>
      <c r="L361" s="3">
        <f>ROUND(G361*H361*K361/365,0)</f>
        <v>12740</v>
      </c>
      <c r="M361" s="3">
        <v>30000000</v>
      </c>
    </row>
    <row r="362" spans="1:13" s="16" customFormat="1" outlineLevel="1">
      <c r="A362" s="28" t="s">
        <v>56</v>
      </c>
      <c r="B362" s="21"/>
      <c r="C362" s="22"/>
      <c r="D362" s="21"/>
      <c r="E362" s="23">
        <f>SUBTOTAL(9,E345:E361)</f>
        <v>526820000</v>
      </c>
      <c r="F362" s="20"/>
      <c r="G362" s="23"/>
      <c r="H362" s="24"/>
      <c r="I362" s="20"/>
      <c r="J362" s="20"/>
      <c r="K362" s="23"/>
      <c r="L362" s="23">
        <f>SUBTOTAL(9,L345:L361)</f>
        <v>474073</v>
      </c>
      <c r="M362" s="23">
        <f>SUBTOTAL(9,M345:M361)</f>
        <v>524170000</v>
      </c>
    </row>
    <row r="363" spans="1:13" s="16" customFormat="1" outlineLevel="2">
      <c r="A363" s="17" t="s">
        <v>330</v>
      </c>
      <c r="B363" s="18" t="s">
        <v>17</v>
      </c>
      <c r="C363" s="19" t="s">
        <v>329</v>
      </c>
      <c r="D363" s="18" t="s">
        <v>328</v>
      </c>
      <c r="E363" s="3">
        <v>40000000</v>
      </c>
      <c r="F363" s="17">
        <v>43756</v>
      </c>
      <c r="G363" s="3">
        <v>40000000</v>
      </c>
      <c r="H363" s="2">
        <v>5.0000000000000001E-3</v>
      </c>
      <c r="I363" s="17">
        <v>43800</v>
      </c>
      <c r="J363" s="17">
        <v>43830</v>
      </c>
      <c r="K363" s="3">
        <f>J363-I363+1</f>
        <v>31</v>
      </c>
      <c r="L363" s="3">
        <f>ROUND(G363*H363*K363/365,0)</f>
        <v>16986</v>
      </c>
      <c r="M363" s="3">
        <v>40000000</v>
      </c>
    </row>
    <row r="364" spans="1:13" s="16" customFormat="1" outlineLevel="1">
      <c r="A364" s="28" t="s">
        <v>327</v>
      </c>
      <c r="B364" s="21"/>
      <c r="C364" s="22"/>
      <c r="D364" s="21"/>
      <c r="E364" s="23">
        <f>SUBTOTAL(9,E363:E363)</f>
        <v>40000000</v>
      </c>
      <c r="F364" s="20"/>
      <c r="G364" s="23"/>
      <c r="H364" s="24"/>
      <c r="I364" s="20"/>
      <c r="J364" s="20"/>
      <c r="K364" s="23"/>
      <c r="L364" s="23">
        <f>SUBTOTAL(9,L363:L363)</f>
        <v>16986</v>
      </c>
      <c r="M364" s="23">
        <f>SUBTOTAL(9,M363:M363)</f>
        <v>40000000</v>
      </c>
    </row>
    <row r="365" spans="1:13" s="16" customFormat="1" outlineLevel="2">
      <c r="A365" s="17" t="s">
        <v>326</v>
      </c>
      <c r="B365" s="18" t="s">
        <v>17</v>
      </c>
      <c r="C365" s="19" t="s">
        <v>204</v>
      </c>
      <c r="D365" s="18" t="s">
        <v>203</v>
      </c>
      <c r="E365" s="3">
        <v>60000000</v>
      </c>
      <c r="F365" s="17">
        <v>43685</v>
      </c>
      <c r="G365" s="3">
        <v>60000000</v>
      </c>
      <c r="H365" s="2">
        <v>5.0000000000000001E-3</v>
      </c>
      <c r="I365" s="17">
        <v>43800</v>
      </c>
      <c r="J365" s="17">
        <v>43830</v>
      </c>
      <c r="K365" s="3">
        <f>J365-I365+1</f>
        <v>31</v>
      </c>
      <c r="L365" s="3">
        <f>ROUND(G365*H365*K365/365,0)</f>
        <v>25479</v>
      </c>
      <c r="M365" s="3">
        <v>60000000</v>
      </c>
    </row>
    <row r="366" spans="1:13" s="16" customFormat="1" outlineLevel="2">
      <c r="A366" s="17" t="s">
        <v>326</v>
      </c>
      <c r="B366" s="18" t="s">
        <v>181</v>
      </c>
      <c r="C366" s="19" t="s">
        <v>270</v>
      </c>
      <c r="D366" s="18" t="s">
        <v>269</v>
      </c>
      <c r="E366" s="3">
        <v>39200000</v>
      </c>
      <c r="F366" s="17">
        <v>43759</v>
      </c>
      <c r="G366" s="3">
        <v>39200000</v>
      </c>
      <c r="H366" s="2">
        <v>1.4999999999999999E-2</v>
      </c>
      <c r="I366" s="17">
        <v>43800</v>
      </c>
      <c r="J366" s="17">
        <v>43830</v>
      </c>
      <c r="K366" s="3">
        <f>J366-I366+1</f>
        <v>31</v>
      </c>
      <c r="L366" s="3">
        <f>ROUND(G366*H366*K366/365,0)</f>
        <v>49940</v>
      </c>
      <c r="M366" s="3">
        <v>39200000</v>
      </c>
    </row>
    <row r="367" spans="1:13" s="16" customFormat="1" outlineLevel="2">
      <c r="A367" s="17" t="s">
        <v>326</v>
      </c>
      <c r="B367" s="18" t="s">
        <v>180</v>
      </c>
      <c r="C367" s="19" t="s">
        <v>204</v>
      </c>
      <c r="D367" s="18" t="s">
        <v>203</v>
      </c>
      <c r="E367" s="3">
        <v>72000000</v>
      </c>
      <c r="F367" s="17">
        <v>43776</v>
      </c>
      <c r="G367" s="3">
        <v>72000000</v>
      </c>
      <c r="H367" s="2">
        <v>5.0000000000000001E-3</v>
      </c>
      <c r="I367" s="17">
        <v>43800</v>
      </c>
      <c r="J367" s="17">
        <v>43830</v>
      </c>
      <c r="K367" s="3">
        <f>J367-I367+1</f>
        <v>31</v>
      </c>
      <c r="L367" s="3">
        <f>ROUND(G367*H367*K367/365,0)</f>
        <v>30575</v>
      </c>
      <c r="M367" s="3">
        <v>72000000</v>
      </c>
    </row>
    <row r="368" spans="1:13" s="16" customFormat="1" outlineLevel="2">
      <c r="A368" s="17" t="s">
        <v>326</v>
      </c>
      <c r="B368" s="18" t="s">
        <v>179</v>
      </c>
      <c r="C368" s="19" t="s">
        <v>272</v>
      </c>
      <c r="D368" s="18" t="s">
        <v>271</v>
      </c>
      <c r="E368" s="3">
        <v>10000000</v>
      </c>
      <c r="F368" s="17">
        <v>43776</v>
      </c>
      <c r="G368" s="3">
        <v>10000000</v>
      </c>
      <c r="H368" s="2">
        <v>5.0000000000000001E-3</v>
      </c>
      <c r="I368" s="17">
        <v>43800</v>
      </c>
      <c r="J368" s="17">
        <v>43830</v>
      </c>
      <c r="K368" s="3">
        <f>J368-I368+1</f>
        <v>31</v>
      </c>
      <c r="L368" s="3">
        <f>ROUND(G368*H368*K368/365,0)</f>
        <v>4247</v>
      </c>
      <c r="M368" s="3">
        <v>10000000</v>
      </c>
    </row>
    <row r="369" spans="1:13" s="16" customFormat="1" outlineLevel="2">
      <c r="A369" s="17" t="s">
        <v>326</v>
      </c>
      <c r="B369" s="18" t="s">
        <v>178</v>
      </c>
      <c r="C369" s="19" t="s">
        <v>311</v>
      </c>
      <c r="D369" s="18" t="s">
        <v>200</v>
      </c>
      <c r="E369" s="3">
        <v>15400000</v>
      </c>
      <c r="F369" s="17">
        <v>43804</v>
      </c>
      <c r="G369" s="3">
        <v>15400000</v>
      </c>
      <c r="H369" s="2">
        <v>5.0000000000000001E-3</v>
      </c>
      <c r="I369" s="17">
        <v>43804</v>
      </c>
      <c r="J369" s="17">
        <v>43830</v>
      </c>
      <c r="K369" s="3">
        <f>J369-I369+1</f>
        <v>27</v>
      </c>
      <c r="L369" s="3">
        <f>ROUND(G369*H369*K369/365,0)</f>
        <v>5696</v>
      </c>
      <c r="M369" s="3">
        <v>15400000</v>
      </c>
    </row>
    <row r="370" spans="1:13" s="16" customFormat="1" outlineLevel="2">
      <c r="A370" s="17" t="s">
        <v>326</v>
      </c>
      <c r="B370" s="18" t="s">
        <v>177</v>
      </c>
      <c r="C370" s="19" t="s">
        <v>392</v>
      </c>
      <c r="D370" s="18" t="s">
        <v>391</v>
      </c>
      <c r="E370" s="3">
        <v>10000000</v>
      </c>
      <c r="F370" s="17">
        <v>43829</v>
      </c>
      <c r="G370" s="3">
        <v>10000000</v>
      </c>
      <c r="H370" s="2">
        <v>5.0000000000000001E-3</v>
      </c>
      <c r="I370" s="17">
        <v>43829</v>
      </c>
      <c r="J370" s="17">
        <v>43830</v>
      </c>
      <c r="K370" s="3">
        <f>J370-I370+1</f>
        <v>2</v>
      </c>
      <c r="L370" s="3">
        <f>ROUND(G370*H370*K370/365,0)</f>
        <v>274</v>
      </c>
      <c r="M370" s="3">
        <v>10000000</v>
      </c>
    </row>
    <row r="371" spans="1:13" s="16" customFormat="1" outlineLevel="2">
      <c r="A371" s="17" t="s">
        <v>326</v>
      </c>
      <c r="B371" s="18" t="s">
        <v>31</v>
      </c>
      <c r="C371" s="19" t="s">
        <v>201</v>
      </c>
      <c r="D371" s="18" t="s">
        <v>200</v>
      </c>
      <c r="E371" s="3">
        <v>20700000</v>
      </c>
      <c r="F371" s="17">
        <v>43696</v>
      </c>
      <c r="G371" s="3">
        <v>20700000</v>
      </c>
      <c r="H371" s="2">
        <v>5.0000000000000001E-3</v>
      </c>
      <c r="I371" s="17">
        <v>43800</v>
      </c>
      <c r="J371" s="17">
        <v>43830</v>
      </c>
      <c r="K371" s="3">
        <f>J371-I371+1</f>
        <v>31</v>
      </c>
      <c r="L371" s="3">
        <f>ROUND(G371*H371*K371/365,0)</f>
        <v>8790</v>
      </c>
      <c r="M371" s="3">
        <v>20700000</v>
      </c>
    </row>
    <row r="372" spans="1:13" s="16" customFormat="1" outlineLevel="2">
      <c r="A372" s="17" t="s">
        <v>326</v>
      </c>
      <c r="B372" s="18" t="s">
        <v>30</v>
      </c>
      <c r="C372" s="19" t="s">
        <v>204</v>
      </c>
      <c r="D372" s="18" t="s">
        <v>203</v>
      </c>
      <c r="E372" s="3">
        <v>60000000</v>
      </c>
      <c r="F372" s="17">
        <v>43717</v>
      </c>
      <c r="G372" s="3">
        <v>60000000</v>
      </c>
      <c r="H372" s="2">
        <v>5.0000000000000001E-3</v>
      </c>
      <c r="I372" s="17">
        <v>43800</v>
      </c>
      <c r="J372" s="17">
        <v>43830</v>
      </c>
      <c r="K372" s="3">
        <f>J372-I372+1</f>
        <v>31</v>
      </c>
      <c r="L372" s="3">
        <f>ROUND(G372*H372*K372/365,0)</f>
        <v>25479</v>
      </c>
      <c r="M372" s="3">
        <v>60000000</v>
      </c>
    </row>
    <row r="373" spans="1:13" s="16" customFormat="1" outlineLevel="2">
      <c r="A373" s="17" t="s">
        <v>326</v>
      </c>
      <c r="B373" s="18" t="s">
        <v>28</v>
      </c>
      <c r="C373" s="19" t="s">
        <v>201</v>
      </c>
      <c r="D373" s="18" t="s">
        <v>200</v>
      </c>
      <c r="E373" s="3">
        <v>27200000</v>
      </c>
      <c r="F373" s="17">
        <v>43712</v>
      </c>
      <c r="G373" s="3">
        <v>27200000</v>
      </c>
      <c r="H373" s="2">
        <v>5.0000000000000001E-3</v>
      </c>
      <c r="I373" s="17">
        <v>43800</v>
      </c>
      <c r="J373" s="17">
        <v>43830</v>
      </c>
      <c r="K373" s="3">
        <f>J373-I373+1</f>
        <v>31</v>
      </c>
      <c r="L373" s="3">
        <f>ROUND(G373*H373*K373/365,0)</f>
        <v>11551</v>
      </c>
      <c r="M373" s="3">
        <v>27200000</v>
      </c>
    </row>
    <row r="374" spans="1:13" s="16" customFormat="1" outlineLevel="2">
      <c r="A374" s="17" t="s">
        <v>326</v>
      </c>
      <c r="B374" s="18" t="s">
        <v>48</v>
      </c>
      <c r="C374" s="19" t="s">
        <v>201</v>
      </c>
      <c r="D374" s="18" t="s">
        <v>200</v>
      </c>
      <c r="E374" s="3">
        <v>13180000</v>
      </c>
      <c r="F374" s="17">
        <v>43713</v>
      </c>
      <c r="G374" s="3">
        <v>13180000</v>
      </c>
      <c r="H374" s="2">
        <v>5.0000000000000001E-3</v>
      </c>
      <c r="I374" s="17">
        <v>43800</v>
      </c>
      <c r="J374" s="17">
        <v>43830</v>
      </c>
      <c r="K374" s="3">
        <f>J374-I374+1</f>
        <v>31</v>
      </c>
      <c r="L374" s="3">
        <f>ROUND(G374*H374*K374/365,0)</f>
        <v>5597</v>
      </c>
      <c r="M374" s="3">
        <v>13180000</v>
      </c>
    </row>
    <row r="375" spans="1:13" s="16" customFormat="1" outlineLevel="2">
      <c r="A375" s="17" t="s">
        <v>326</v>
      </c>
      <c r="B375" s="18" t="s">
        <v>47</v>
      </c>
      <c r="C375" s="19" t="s">
        <v>201</v>
      </c>
      <c r="D375" s="18" t="s">
        <v>200</v>
      </c>
      <c r="E375" s="3">
        <v>10600000</v>
      </c>
      <c r="F375" s="17">
        <v>43727</v>
      </c>
      <c r="G375" s="3">
        <v>10600000</v>
      </c>
      <c r="H375" s="2">
        <v>5.0000000000000001E-3</v>
      </c>
      <c r="I375" s="17">
        <v>43800</v>
      </c>
      <c r="J375" s="17">
        <v>43830</v>
      </c>
      <c r="K375" s="3">
        <f>J375-I375+1</f>
        <v>31</v>
      </c>
      <c r="L375" s="3">
        <f>ROUND(G375*H375*K375/365,0)</f>
        <v>4501</v>
      </c>
      <c r="M375" s="3">
        <v>10600000</v>
      </c>
    </row>
    <row r="376" spans="1:13" s="16" customFormat="1" outlineLevel="2">
      <c r="A376" s="17" t="s">
        <v>326</v>
      </c>
      <c r="B376" s="18" t="s">
        <v>46</v>
      </c>
      <c r="C376" s="19" t="s">
        <v>272</v>
      </c>
      <c r="D376" s="18" t="s">
        <v>271</v>
      </c>
      <c r="E376" s="3">
        <v>20000000</v>
      </c>
      <c r="F376" s="17">
        <v>43735</v>
      </c>
      <c r="G376" s="3">
        <v>20000000</v>
      </c>
      <c r="H376" s="2">
        <v>5.0000000000000001E-3</v>
      </c>
      <c r="I376" s="17">
        <v>43800</v>
      </c>
      <c r="J376" s="17">
        <v>43830</v>
      </c>
      <c r="K376" s="3">
        <f>J376-I376+1</f>
        <v>31</v>
      </c>
      <c r="L376" s="3">
        <f>ROUND(G376*H376*K376/365,0)</f>
        <v>8493</v>
      </c>
      <c r="M376" s="3">
        <v>20000000</v>
      </c>
    </row>
    <row r="377" spans="1:13" s="16" customFormat="1" outlineLevel="2">
      <c r="A377" s="17" t="s">
        <v>326</v>
      </c>
      <c r="B377" s="18" t="s">
        <v>45</v>
      </c>
      <c r="C377" s="19" t="s">
        <v>270</v>
      </c>
      <c r="D377" s="18" t="s">
        <v>269</v>
      </c>
      <c r="E377" s="3">
        <v>15680000</v>
      </c>
      <c r="F377" s="17">
        <v>43733</v>
      </c>
      <c r="G377" s="3">
        <v>15680000</v>
      </c>
      <c r="H377" s="2">
        <v>1.4999999999999999E-2</v>
      </c>
      <c r="I377" s="17">
        <v>43800</v>
      </c>
      <c r="J377" s="17">
        <v>43830</v>
      </c>
      <c r="K377" s="3">
        <f>J377-I377+1</f>
        <v>31</v>
      </c>
      <c r="L377" s="3">
        <f>ROUND(G377*H377*K377/365,0)</f>
        <v>19976</v>
      </c>
      <c r="M377" s="3">
        <v>15680000</v>
      </c>
    </row>
    <row r="378" spans="1:13" s="16" customFormat="1" outlineLevel="2">
      <c r="A378" s="17" t="s">
        <v>326</v>
      </c>
      <c r="B378" s="18" t="s">
        <v>44</v>
      </c>
      <c r="C378" s="19" t="s">
        <v>272</v>
      </c>
      <c r="D378" s="18" t="s">
        <v>271</v>
      </c>
      <c r="E378" s="3">
        <v>180000</v>
      </c>
      <c r="F378" s="17">
        <v>43745</v>
      </c>
      <c r="G378" s="3">
        <v>180000</v>
      </c>
      <c r="H378" s="2">
        <v>5.0000000000000001E-3</v>
      </c>
      <c r="I378" s="17">
        <v>43800</v>
      </c>
      <c r="J378" s="17">
        <v>43830</v>
      </c>
      <c r="K378" s="3">
        <f>J378-I378+1</f>
        <v>31</v>
      </c>
      <c r="L378" s="3">
        <f>ROUND(G378*H378*K378/365,0)</f>
        <v>76</v>
      </c>
      <c r="M378" s="3">
        <v>180000</v>
      </c>
    </row>
    <row r="379" spans="1:13" s="16" customFormat="1" outlineLevel="1">
      <c r="A379" s="28" t="s">
        <v>325</v>
      </c>
      <c r="B379" s="21"/>
      <c r="C379" s="22"/>
      <c r="D379" s="21"/>
      <c r="E379" s="23">
        <f>SUBTOTAL(9,E365:E378)</f>
        <v>374140000</v>
      </c>
      <c r="F379" s="20"/>
      <c r="G379" s="23"/>
      <c r="H379" s="24"/>
      <c r="I379" s="20"/>
      <c r="J379" s="20"/>
      <c r="K379" s="23"/>
      <c r="L379" s="23">
        <f>SUBTOTAL(9,L365:L378)</f>
        <v>200674</v>
      </c>
      <c r="M379" s="23">
        <f>SUBTOTAL(9,M365:M378)</f>
        <v>374140000</v>
      </c>
    </row>
    <row r="380" spans="1:13" s="16" customFormat="1" outlineLevel="2">
      <c r="A380" s="17" t="s">
        <v>55</v>
      </c>
      <c r="B380" s="18" t="s">
        <v>17</v>
      </c>
      <c r="C380" s="19" t="s">
        <v>54</v>
      </c>
      <c r="D380" s="18" t="s">
        <v>34</v>
      </c>
      <c r="E380" s="3">
        <v>3656000</v>
      </c>
      <c r="F380" s="17">
        <v>43633</v>
      </c>
      <c r="G380" s="3">
        <v>3656000</v>
      </c>
      <c r="H380" s="2">
        <v>1.4999999999999999E-2</v>
      </c>
      <c r="I380" s="17">
        <v>43800</v>
      </c>
      <c r="J380" s="17">
        <v>43830</v>
      </c>
      <c r="K380" s="3">
        <f>J380-I380+1</f>
        <v>31</v>
      </c>
      <c r="L380" s="3">
        <f>ROUND(G380*H380*K380/365,0)</f>
        <v>4658</v>
      </c>
      <c r="M380" s="3">
        <v>3656000</v>
      </c>
    </row>
    <row r="381" spans="1:13" s="16" customFormat="1" outlineLevel="2">
      <c r="A381" s="17" t="s">
        <v>55</v>
      </c>
      <c r="B381" s="18" t="s">
        <v>181</v>
      </c>
      <c r="C381" s="19" t="s">
        <v>51</v>
      </c>
      <c r="D381" s="18" t="s">
        <v>50</v>
      </c>
      <c r="E381" s="3">
        <v>85000000</v>
      </c>
      <c r="F381" s="17">
        <v>43672</v>
      </c>
      <c r="G381" s="3">
        <v>85000000</v>
      </c>
      <c r="H381" s="2">
        <v>1.4999999999999999E-2</v>
      </c>
      <c r="I381" s="17">
        <v>43800</v>
      </c>
      <c r="J381" s="17">
        <v>43830</v>
      </c>
      <c r="K381" s="3">
        <f>J381-I381+1</f>
        <v>31</v>
      </c>
      <c r="L381" s="3">
        <f>ROUND(G381*H381*K381/365,0)</f>
        <v>108288</v>
      </c>
      <c r="M381" s="3">
        <v>85000000</v>
      </c>
    </row>
    <row r="382" spans="1:13" s="16" customFormat="1" outlineLevel="2">
      <c r="A382" s="17" t="s">
        <v>55</v>
      </c>
      <c r="B382" s="18" t="s">
        <v>384</v>
      </c>
      <c r="C382" s="19" t="s">
        <v>188</v>
      </c>
      <c r="D382" s="18" t="s">
        <v>187</v>
      </c>
      <c r="E382" s="3">
        <v>7633000</v>
      </c>
      <c r="F382" s="17">
        <v>43798</v>
      </c>
      <c r="G382" s="3">
        <v>7633000</v>
      </c>
      <c r="H382" s="2">
        <v>1.4999999999999999E-2</v>
      </c>
      <c r="I382" s="17">
        <v>43800</v>
      </c>
      <c r="J382" s="17">
        <v>43830</v>
      </c>
      <c r="K382" s="3">
        <f>J382-I382+1</f>
        <v>31</v>
      </c>
      <c r="L382" s="3">
        <f>ROUND(G382*H382*K382/365,0)</f>
        <v>9724</v>
      </c>
      <c r="M382" s="3">
        <v>7633000</v>
      </c>
    </row>
    <row r="383" spans="1:13" s="16" customFormat="1" outlineLevel="2">
      <c r="A383" s="17" t="s">
        <v>55</v>
      </c>
      <c r="B383" s="18" t="s">
        <v>383</v>
      </c>
      <c r="C383" s="19" t="s">
        <v>188</v>
      </c>
      <c r="D383" s="18" t="s">
        <v>187</v>
      </c>
      <c r="E383" s="3">
        <v>183106000</v>
      </c>
      <c r="F383" s="17">
        <v>43783</v>
      </c>
      <c r="G383" s="3">
        <v>183106000</v>
      </c>
      <c r="H383" s="2">
        <v>1.4999999999999999E-2</v>
      </c>
      <c r="I383" s="17">
        <v>43800</v>
      </c>
      <c r="J383" s="17">
        <v>43830</v>
      </c>
      <c r="K383" s="3">
        <f>J383-I383+1</f>
        <v>31</v>
      </c>
      <c r="L383" s="3">
        <f>ROUND(G383*H383*K383/365,0)</f>
        <v>233272</v>
      </c>
      <c r="M383" s="3">
        <v>183106000</v>
      </c>
    </row>
    <row r="384" spans="1:13" s="16" customFormat="1" outlineLevel="2">
      <c r="A384" s="17" t="s">
        <v>55</v>
      </c>
      <c r="B384" s="18" t="s">
        <v>382</v>
      </c>
      <c r="C384" s="19" t="s">
        <v>188</v>
      </c>
      <c r="D384" s="18" t="s">
        <v>187</v>
      </c>
      <c r="E384" s="3">
        <v>17374000</v>
      </c>
      <c r="F384" s="17">
        <v>43798</v>
      </c>
      <c r="G384" s="3">
        <v>17374000</v>
      </c>
      <c r="H384" s="2">
        <v>1.4999999999999999E-2</v>
      </c>
      <c r="I384" s="17">
        <v>43800</v>
      </c>
      <c r="J384" s="17">
        <v>43830</v>
      </c>
      <c r="K384" s="3">
        <f>J384-I384+1</f>
        <v>31</v>
      </c>
      <c r="L384" s="3">
        <f>ROUND(G384*H384*K384/365,0)</f>
        <v>22134</v>
      </c>
      <c r="M384" s="3">
        <v>17374000</v>
      </c>
    </row>
    <row r="385" spans="1:13" s="16" customFormat="1" outlineLevel="2">
      <c r="A385" s="17" t="s">
        <v>55</v>
      </c>
      <c r="B385" s="18" t="s">
        <v>381</v>
      </c>
      <c r="C385" s="19" t="s">
        <v>198</v>
      </c>
      <c r="D385" s="18" t="s">
        <v>197</v>
      </c>
      <c r="E385" s="3">
        <v>44600000</v>
      </c>
      <c r="F385" s="17">
        <v>43789</v>
      </c>
      <c r="G385" s="3">
        <v>44600000</v>
      </c>
      <c r="H385" s="2">
        <v>1.4999999999999999E-2</v>
      </c>
      <c r="I385" s="17">
        <v>43800</v>
      </c>
      <c r="J385" s="17">
        <v>43830</v>
      </c>
      <c r="K385" s="3">
        <f>J385-I385+1</f>
        <v>31</v>
      </c>
      <c r="L385" s="3">
        <f>ROUND(G385*H385*K385/365,0)</f>
        <v>56819</v>
      </c>
      <c r="M385" s="3">
        <v>44600000</v>
      </c>
    </row>
    <row r="386" spans="1:13" s="16" customFormat="1" outlineLevel="2">
      <c r="A386" s="17" t="s">
        <v>55</v>
      </c>
      <c r="B386" s="18" t="s">
        <v>380</v>
      </c>
      <c r="C386" s="19" t="s">
        <v>265</v>
      </c>
      <c r="D386" s="18" t="s">
        <v>264</v>
      </c>
      <c r="E386" s="3">
        <v>547680</v>
      </c>
      <c r="F386" s="17">
        <v>43773</v>
      </c>
      <c r="G386" s="3">
        <v>547680</v>
      </c>
      <c r="H386" s="2">
        <v>1.4999999999999999E-2</v>
      </c>
      <c r="I386" s="17">
        <v>43800</v>
      </c>
      <c r="J386" s="17">
        <v>43830</v>
      </c>
      <c r="K386" s="3">
        <f>J386-I386+1</f>
        <v>31</v>
      </c>
      <c r="L386" s="3">
        <f>ROUND(G386*H386*K386/365,0)</f>
        <v>698</v>
      </c>
      <c r="M386" s="3">
        <v>547680</v>
      </c>
    </row>
    <row r="387" spans="1:13" s="16" customFormat="1" outlineLevel="2">
      <c r="A387" s="17" t="s">
        <v>55</v>
      </c>
      <c r="B387" s="18" t="s">
        <v>379</v>
      </c>
      <c r="C387" s="19" t="s">
        <v>320</v>
      </c>
      <c r="D387" s="18" t="s">
        <v>319</v>
      </c>
      <c r="E387" s="3">
        <v>1654576</v>
      </c>
      <c r="F387" s="17">
        <v>43775</v>
      </c>
      <c r="G387" s="3">
        <v>1654576</v>
      </c>
      <c r="H387" s="2">
        <v>1.4999999999999999E-2</v>
      </c>
      <c r="I387" s="17">
        <v>43800</v>
      </c>
      <c r="J387" s="17">
        <v>43830</v>
      </c>
      <c r="K387" s="3">
        <f>J387-I387+1</f>
        <v>31</v>
      </c>
      <c r="L387" s="3">
        <f>ROUND(G387*H387*K387/365,0)</f>
        <v>2108</v>
      </c>
      <c r="M387" s="3">
        <v>1654576</v>
      </c>
    </row>
    <row r="388" spans="1:13" s="16" customFormat="1" outlineLevel="2">
      <c r="A388" s="17" t="s">
        <v>55</v>
      </c>
      <c r="B388" s="18" t="s">
        <v>378</v>
      </c>
      <c r="C388" s="19" t="s">
        <v>320</v>
      </c>
      <c r="D388" s="18" t="s">
        <v>319</v>
      </c>
      <c r="E388" s="3">
        <v>3604177</v>
      </c>
      <c r="F388" s="17">
        <v>43775</v>
      </c>
      <c r="G388" s="3">
        <v>3604177</v>
      </c>
      <c r="H388" s="2">
        <v>1.4999999999999999E-2</v>
      </c>
      <c r="I388" s="17">
        <v>43800</v>
      </c>
      <c r="J388" s="17">
        <v>43830</v>
      </c>
      <c r="K388" s="3">
        <f>J388-I388+1</f>
        <v>31</v>
      </c>
      <c r="L388" s="3">
        <f>ROUND(G388*H388*K388/365,0)</f>
        <v>4592</v>
      </c>
      <c r="M388" s="3">
        <v>3604177</v>
      </c>
    </row>
    <row r="389" spans="1:13" s="16" customFormat="1" outlineLevel="2">
      <c r="A389" s="17" t="s">
        <v>55</v>
      </c>
      <c r="B389" s="18" t="s">
        <v>377</v>
      </c>
      <c r="C389" s="19" t="s">
        <v>320</v>
      </c>
      <c r="D389" s="18" t="s">
        <v>319</v>
      </c>
      <c r="E389" s="3">
        <v>1688400</v>
      </c>
      <c r="F389" s="17">
        <v>43791</v>
      </c>
      <c r="G389" s="3">
        <v>1688400</v>
      </c>
      <c r="H389" s="2">
        <v>1.4999999999999999E-2</v>
      </c>
      <c r="I389" s="17">
        <v>43800</v>
      </c>
      <c r="J389" s="17">
        <v>43830</v>
      </c>
      <c r="K389" s="3">
        <f>J389-I389+1</f>
        <v>31</v>
      </c>
      <c r="L389" s="3">
        <f>ROUND(G389*H389*K389/365,0)</f>
        <v>2151</v>
      </c>
      <c r="M389" s="3">
        <v>1688400</v>
      </c>
    </row>
    <row r="390" spans="1:13" s="16" customFormat="1" outlineLevel="2">
      <c r="A390" s="17" t="s">
        <v>55</v>
      </c>
      <c r="B390" s="18" t="s">
        <v>376</v>
      </c>
      <c r="C390" s="19" t="s">
        <v>185</v>
      </c>
      <c r="D390" s="18" t="s">
        <v>184</v>
      </c>
      <c r="E390" s="3">
        <v>4000000</v>
      </c>
      <c r="F390" s="17">
        <v>43780</v>
      </c>
      <c r="G390" s="3">
        <v>4000000</v>
      </c>
      <c r="H390" s="2">
        <v>5.0000000000000001E-3</v>
      </c>
      <c r="I390" s="17">
        <v>43800</v>
      </c>
      <c r="J390" s="17">
        <v>43830</v>
      </c>
      <c r="K390" s="3">
        <f>J390-I390+1</f>
        <v>31</v>
      </c>
      <c r="L390" s="3">
        <f>ROUND(G390*H390*K390/365,0)</f>
        <v>1699</v>
      </c>
      <c r="M390" s="3">
        <v>4000000</v>
      </c>
    </row>
    <row r="391" spans="1:13" s="16" customFormat="1" outlineLevel="2">
      <c r="A391" s="17" t="s">
        <v>55</v>
      </c>
      <c r="B391" s="18" t="s">
        <v>375</v>
      </c>
      <c r="C391" s="19" t="s">
        <v>282</v>
      </c>
      <c r="D391" s="18" t="s">
        <v>281</v>
      </c>
      <c r="E391" s="3">
        <v>12800000</v>
      </c>
      <c r="F391" s="17">
        <v>43796</v>
      </c>
      <c r="G391" s="3">
        <v>12800000</v>
      </c>
      <c r="H391" s="2">
        <v>5.0000000000000001E-3</v>
      </c>
      <c r="I391" s="17">
        <v>43800</v>
      </c>
      <c r="J391" s="17">
        <v>43830</v>
      </c>
      <c r="K391" s="3">
        <f>J391-I391+1</f>
        <v>31</v>
      </c>
      <c r="L391" s="3">
        <f>ROUND(G391*H391*K391/365,0)</f>
        <v>5436</v>
      </c>
      <c r="M391" s="3">
        <v>12800000</v>
      </c>
    </row>
    <row r="392" spans="1:13" s="16" customFormat="1" outlineLevel="2">
      <c r="A392" s="17" t="s">
        <v>55</v>
      </c>
      <c r="B392" s="18" t="s">
        <v>180</v>
      </c>
      <c r="C392" s="19" t="s">
        <v>51</v>
      </c>
      <c r="D392" s="18" t="s">
        <v>50</v>
      </c>
      <c r="E392" s="3">
        <v>15000000</v>
      </c>
      <c r="F392" s="17">
        <v>43677</v>
      </c>
      <c r="G392" s="3">
        <v>15000000</v>
      </c>
      <c r="H392" s="2">
        <v>1.4999999999999999E-2</v>
      </c>
      <c r="I392" s="17">
        <v>43800</v>
      </c>
      <c r="J392" s="17">
        <v>43830</v>
      </c>
      <c r="K392" s="3">
        <f>J392-I392+1</f>
        <v>31</v>
      </c>
      <c r="L392" s="3">
        <f>ROUND(G392*H392*K392/365,0)</f>
        <v>19110</v>
      </c>
      <c r="M392" s="3">
        <v>15000000</v>
      </c>
    </row>
    <row r="393" spans="1:13" s="16" customFormat="1" outlineLevel="2">
      <c r="A393" s="17" t="s">
        <v>55</v>
      </c>
      <c r="B393" s="18" t="s">
        <v>374</v>
      </c>
      <c r="C393" s="19" t="s">
        <v>332</v>
      </c>
      <c r="D393" s="18" t="s">
        <v>331</v>
      </c>
      <c r="E393" s="3">
        <v>20000000</v>
      </c>
      <c r="F393" s="17">
        <v>43780</v>
      </c>
      <c r="G393" s="3">
        <v>20000000</v>
      </c>
      <c r="H393" s="2">
        <v>1.4999999999999999E-2</v>
      </c>
      <c r="I393" s="17">
        <v>43800</v>
      </c>
      <c r="J393" s="17">
        <v>43830</v>
      </c>
      <c r="K393" s="3">
        <f>J393-I393+1</f>
        <v>31</v>
      </c>
      <c r="L393" s="3">
        <f>ROUND(G393*H393*K393/365,0)</f>
        <v>25479</v>
      </c>
      <c r="M393" s="3">
        <v>20000000</v>
      </c>
    </row>
    <row r="394" spans="1:13" s="16" customFormat="1" outlineLevel="2">
      <c r="A394" s="17" t="s">
        <v>55</v>
      </c>
      <c r="B394" s="18" t="s">
        <v>373</v>
      </c>
      <c r="C394" s="19" t="s">
        <v>370</v>
      </c>
      <c r="D394" s="18" t="s">
        <v>369</v>
      </c>
      <c r="E394" s="3">
        <v>40000000</v>
      </c>
      <c r="F394" s="17">
        <v>43798</v>
      </c>
      <c r="G394" s="3">
        <v>40000000</v>
      </c>
      <c r="H394" s="2">
        <v>5.0000000000000001E-3</v>
      </c>
      <c r="I394" s="17">
        <v>43800</v>
      </c>
      <c r="J394" s="17">
        <v>43830</v>
      </c>
      <c r="K394" s="3">
        <f>J394-I394+1</f>
        <v>31</v>
      </c>
      <c r="L394" s="3">
        <f>ROUND(G394*H394*K394/365,0)</f>
        <v>16986</v>
      </c>
      <c r="M394" s="3">
        <v>40000000</v>
      </c>
    </row>
    <row r="395" spans="1:13" s="16" customFormat="1" outlineLevel="2">
      <c r="A395" s="17" t="s">
        <v>55</v>
      </c>
      <c r="B395" s="18" t="s">
        <v>372</v>
      </c>
      <c r="C395" s="19" t="s">
        <v>388</v>
      </c>
      <c r="D395" s="18" t="s">
        <v>387</v>
      </c>
      <c r="E395" s="3">
        <v>26999999</v>
      </c>
      <c r="F395" s="17">
        <v>43791</v>
      </c>
      <c r="G395" s="3">
        <v>26999999</v>
      </c>
      <c r="H395" s="2">
        <v>5.0000000000000001E-3</v>
      </c>
      <c r="I395" s="17">
        <v>43800</v>
      </c>
      <c r="J395" s="17">
        <v>43830</v>
      </c>
      <c r="K395" s="3">
        <f>J395-I395+1</f>
        <v>31</v>
      </c>
      <c r="L395" s="3">
        <f>ROUND(G395*H395*K395/365,0)</f>
        <v>11466</v>
      </c>
      <c r="M395" s="3">
        <v>26999999</v>
      </c>
    </row>
    <row r="396" spans="1:13" s="16" customFormat="1" outlineLevel="2">
      <c r="A396" s="17" t="s">
        <v>55</v>
      </c>
      <c r="B396" s="18" t="s">
        <v>371</v>
      </c>
      <c r="C396" s="19" t="s">
        <v>54</v>
      </c>
      <c r="D396" s="18" t="s">
        <v>34</v>
      </c>
      <c r="E396" s="3">
        <v>70286000</v>
      </c>
      <c r="F396" s="17">
        <v>43804</v>
      </c>
      <c r="G396" s="3">
        <v>70286000</v>
      </c>
      <c r="H396" s="2">
        <v>1.4999999999999999E-2</v>
      </c>
      <c r="I396" s="17">
        <v>43804</v>
      </c>
      <c r="J396" s="17">
        <v>43830</v>
      </c>
      <c r="K396" s="3">
        <f>J396-I396+1</f>
        <v>27</v>
      </c>
      <c r="L396" s="3">
        <f>ROUND(G396*H396*K396/365,0)</f>
        <v>77989</v>
      </c>
      <c r="M396" s="3">
        <v>70286000</v>
      </c>
    </row>
    <row r="397" spans="1:13" s="16" customFormat="1" outlineLevel="2">
      <c r="A397" s="17" t="s">
        <v>55</v>
      </c>
      <c r="B397" s="18" t="s">
        <v>435</v>
      </c>
      <c r="C397" s="19" t="s">
        <v>54</v>
      </c>
      <c r="D397" s="18" t="s">
        <v>34</v>
      </c>
      <c r="E397" s="3">
        <v>10903000</v>
      </c>
      <c r="F397" s="17">
        <v>43815</v>
      </c>
      <c r="G397" s="3">
        <v>10903000</v>
      </c>
      <c r="H397" s="2">
        <v>1.4999999999999999E-2</v>
      </c>
      <c r="I397" s="17">
        <v>43815</v>
      </c>
      <c r="J397" s="17">
        <v>43830</v>
      </c>
      <c r="K397" s="3">
        <f>J397-I397+1</f>
        <v>16</v>
      </c>
      <c r="L397" s="3">
        <f>ROUND(G397*H397*K397/365,0)</f>
        <v>7169</v>
      </c>
      <c r="M397" s="3">
        <v>10903000</v>
      </c>
    </row>
    <row r="398" spans="1:13" s="16" customFormat="1" outlineLevel="2">
      <c r="A398" s="17" t="s">
        <v>55</v>
      </c>
      <c r="B398" s="18" t="s">
        <v>434</v>
      </c>
      <c r="C398" s="19" t="s">
        <v>54</v>
      </c>
      <c r="D398" s="18" t="s">
        <v>34</v>
      </c>
      <c r="E398" s="3">
        <v>36219000</v>
      </c>
      <c r="F398" s="17">
        <v>43824</v>
      </c>
      <c r="G398" s="3">
        <v>36219000</v>
      </c>
      <c r="H398" s="2">
        <v>1.4999999999999999E-2</v>
      </c>
      <c r="I398" s="17">
        <v>43824</v>
      </c>
      <c r="J398" s="17">
        <v>43830</v>
      </c>
      <c r="K398" s="3">
        <f>J398-I398+1</f>
        <v>7</v>
      </c>
      <c r="L398" s="3">
        <f>ROUND(G398*H398*K398/365,0)</f>
        <v>10419</v>
      </c>
      <c r="M398" s="3">
        <v>36219000</v>
      </c>
    </row>
    <row r="399" spans="1:13" s="16" customFormat="1" outlineLevel="2">
      <c r="A399" s="17" t="s">
        <v>55</v>
      </c>
      <c r="B399" s="18" t="s">
        <v>433</v>
      </c>
      <c r="C399" s="19" t="s">
        <v>43</v>
      </c>
      <c r="D399" s="18" t="s">
        <v>26</v>
      </c>
      <c r="E399" s="3">
        <v>193056</v>
      </c>
      <c r="F399" s="17">
        <v>43808</v>
      </c>
      <c r="G399" s="3">
        <v>193056</v>
      </c>
      <c r="H399" s="2">
        <v>1.4999999999999999E-2</v>
      </c>
      <c r="I399" s="17">
        <v>43808</v>
      </c>
      <c r="J399" s="17">
        <v>43830</v>
      </c>
      <c r="K399" s="3">
        <f>J399-I399+1</f>
        <v>23</v>
      </c>
      <c r="L399" s="3">
        <f>ROUND(G399*H399*K399/365,0)</f>
        <v>182</v>
      </c>
      <c r="M399" s="3">
        <v>193056</v>
      </c>
    </row>
    <row r="400" spans="1:13" s="16" customFormat="1" outlineLevel="2">
      <c r="A400" s="17" t="s">
        <v>55</v>
      </c>
      <c r="B400" s="18" t="s">
        <v>432</v>
      </c>
      <c r="C400" s="19" t="s">
        <v>43</v>
      </c>
      <c r="D400" s="18" t="s">
        <v>26</v>
      </c>
      <c r="E400" s="3">
        <v>26676428</v>
      </c>
      <c r="F400" s="17">
        <v>43808</v>
      </c>
      <c r="G400" s="3">
        <v>26676428</v>
      </c>
      <c r="H400" s="2">
        <v>1.4999999999999999E-2</v>
      </c>
      <c r="I400" s="17">
        <v>43808</v>
      </c>
      <c r="J400" s="17">
        <v>43830</v>
      </c>
      <c r="K400" s="3">
        <f>J400-I400+1</f>
        <v>23</v>
      </c>
      <c r="L400" s="3">
        <f>ROUND(G400*H400*K400/365,0)</f>
        <v>25215</v>
      </c>
      <c r="M400" s="3">
        <v>26676428</v>
      </c>
    </row>
    <row r="401" spans="1:13" s="16" customFormat="1" outlineLevel="2">
      <c r="A401" s="17" t="s">
        <v>55</v>
      </c>
      <c r="B401" s="18" t="s">
        <v>431</v>
      </c>
      <c r="C401" s="19" t="s">
        <v>43</v>
      </c>
      <c r="D401" s="18" t="s">
        <v>26</v>
      </c>
      <c r="E401" s="3">
        <v>132746379</v>
      </c>
      <c r="F401" s="17">
        <v>43817</v>
      </c>
      <c r="G401" s="3">
        <v>132746379</v>
      </c>
      <c r="H401" s="2">
        <v>1.4999999999999999E-2</v>
      </c>
      <c r="I401" s="17">
        <v>43817</v>
      </c>
      <c r="J401" s="17">
        <v>43830</v>
      </c>
      <c r="K401" s="3">
        <f>J401-I401+1</f>
        <v>14</v>
      </c>
      <c r="L401" s="3">
        <f>ROUND(G401*H401*K401/365,0)</f>
        <v>76375</v>
      </c>
      <c r="M401" s="3">
        <v>132746379</v>
      </c>
    </row>
    <row r="402" spans="1:13" s="16" customFormat="1" outlineLevel="2">
      <c r="A402" s="17" t="s">
        <v>55</v>
      </c>
      <c r="B402" s="18" t="s">
        <v>430</v>
      </c>
      <c r="C402" s="19" t="s">
        <v>43</v>
      </c>
      <c r="D402" s="18" t="s">
        <v>26</v>
      </c>
      <c r="E402" s="3">
        <v>5957957</v>
      </c>
      <c r="F402" s="17">
        <v>43829</v>
      </c>
      <c r="G402" s="3">
        <v>5957957</v>
      </c>
      <c r="H402" s="2">
        <v>1.4999999999999999E-2</v>
      </c>
      <c r="I402" s="17">
        <v>43829</v>
      </c>
      <c r="J402" s="17">
        <v>43830</v>
      </c>
      <c r="K402" s="3">
        <f>J402-I402+1</f>
        <v>2</v>
      </c>
      <c r="L402" s="3">
        <f>ROUND(G402*H402*K402/365,0)</f>
        <v>490</v>
      </c>
      <c r="M402" s="3">
        <v>5957957</v>
      </c>
    </row>
    <row r="403" spans="1:13" s="16" customFormat="1" outlineLevel="2">
      <c r="A403" s="17" t="s">
        <v>55</v>
      </c>
      <c r="B403" s="18" t="s">
        <v>179</v>
      </c>
      <c r="C403" s="19" t="s">
        <v>51</v>
      </c>
      <c r="D403" s="18" t="s">
        <v>50</v>
      </c>
      <c r="E403" s="3">
        <v>96000000</v>
      </c>
      <c r="F403" s="17">
        <v>43650</v>
      </c>
      <c r="G403" s="3">
        <v>96000000</v>
      </c>
      <c r="H403" s="2">
        <v>1.4999999999999999E-2</v>
      </c>
      <c r="I403" s="17">
        <v>43800</v>
      </c>
      <c r="J403" s="17">
        <v>43830</v>
      </c>
      <c r="K403" s="3">
        <f>J403-I403+1</f>
        <v>31</v>
      </c>
      <c r="L403" s="3">
        <f>ROUND(G403*H403*K403/365,0)</f>
        <v>122301</v>
      </c>
      <c r="M403" s="3">
        <v>96000000</v>
      </c>
    </row>
    <row r="404" spans="1:13" s="16" customFormat="1" outlineLevel="2">
      <c r="A404" s="17" t="s">
        <v>55</v>
      </c>
      <c r="B404" s="18" t="s">
        <v>429</v>
      </c>
      <c r="C404" s="19" t="s">
        <v>43</v>
      </c>
      <c r="D404" s="18" t="s">
        <v>26</v>
      </c>
      <c r="E404" s="3">
        <v>1159200</v>
      </c>
      <c r="F404" s="17">
        <v>43808</v>
      </c>
      <c r="G404" s="3">
        <v>1159200</v>
      </c>
      <c r="H404" s="2">
        <v>1.4999999999999999E-2</v>
      </c>
      <c r="I404" s="17">
        <v>43808</v>
      </c>
      <c r="J404" s="17">
        <v>43830</v>
      </c>
      <c r="K404" s="3">
        <f>J404-I404+1</f>
        <v>23</v>
      </c>
      <c r="L404" s="3">
        <f>ROUND(G404*H404*K404/365,0)</f>
        <v>1096</v>
      </c>
      <c r="M404" s="3">
        <v>1159200</v>
      </c>
    </row>
    <row r="405" spans="1:13" s="16" customFormat="1" outlineLevel="2">
      <c r="A405" s="17" t="s">
        <v>55</v>
      </c>
      <c r="B405" s="18" t="s">
        <v>428</v>
      </c>
      <c r="C405" s="19" t="s">
        <v>43</v>
      </c>
      <c r="D405" s="18" t="s">
        <v>26</v>
      </c>
      <c r="E405" s="3">
        <v>514964</v>
      </c>
      <c r="F405" s="17">
        <v>43817</v>
      </c>
      <c r="G405" s="3">
        <v>514964</v>
      </c>
      <c r="H405" s="2">
        <v>1.4999999999999999E-2</v>
      </c>
      <c r="I405" s="17">
        <v>43817</v>
      </c>
      <c r="J405" s="17">
        <v>43830</v>
      </c>
      <c r="K405" s="3">
        <f>J405-I405+1</f>
        <v>14</v>
      </c>
      <c r="L405" s="3">
        <f>ROUND(G405*H405*K405/365,0)</f>
        <v>296</v>
      </c>
      <c r="M405" s="3">
        <v>514964</v>
      </c>
    </row>
    <row r="406" spans="1:13" s="16" customFormat="1" outlineLevel="2">
      <c r="A406" s="17" t="s">
        <v>55</v>
      </c>
      <c r="B406" s="18" t="s">
        <v>427</v>
      </c>
      <c r="C406" s="19" t="s">
        <v>159</v>
      </c>
      <c r="D406" s="18" t="s">
        <v>158</v>
      </c>
      <c r="E406" s="3">
        <v>34925000</v>
      </c>
      <c r="F406" s="17">
        <v>43816</v>
      </c>
      <c r="G406" s="3">
        <v>34925000</v>
      </c>
      <c r="H406" s="2">
        <v>1.4999999999999999E-2</v>
      </c>
      <c r="I406" s="17">
        <v>43816</v>
      </c>
      <c r="J406" s="17">
        <v>43830</v>
      </c>
      <c r="K406" s="3">
        <f>J406-I406+1</f>
        <v>15</v>
      </c>
      <c r="L406" s="3">
        <f>ROUND(G406*H406*K406/365,0)</f>
        <v>21529</v>
      </c>
      <c r="M406" s="3">
        <v>34925000</v>
      </c>
    </row>
    <row r="407" spans="1:13" s="16" customFormat="1" outlineLevel="2">
      <c r="A407" s="17" t="s">
        <v>55</v>
      </c>
      <c r="B407" s="18" t="s">
        <v>426</v>
      </c>
      <c r="C407" s="19" t="s">
        <v>159</v>
      </c>
      <c r="D407" s="18" t="s">
        <v>158</v>
      </c>
      <c r="E407" s="3">
        <v>7632000</v>
      </c>
      <c r="F407" s="17">
        <v>43816</v>
      </c>
      <c r="G407" s="3">
        <v>7632000</v>
      </c>
      <c r="H407" s="2">
        <v>1.4999999999999999E-2</v>
      </c>
      <c r="I407" s="17">
        <v>43816</v>
      </c>
      <c r="J407" s="17">
        <v>43830</v>
      </c>
      <c r="K407" s="3">
        <f>J407-I407+1</f>
        <v>15</v>
      </c>
      <c r="L407" s="3">
        <f>ROUND(G407*H407*K407/365,0)</f>
        <v>4705</v>
      </c>
      <c r="M407" s="3">
        <v>7632000</v>
      </c>
    </row>
    <row r="408" spans="1:13" s="16" customFormat="1" outlineLevel="2">
      <c r="A408" s="17" t="s">
        <v>55</v>
      </c>
      <c r="B408" s="18" t="s">
        <v>425</v>
      </c>
      <c r="C408" s="19" t="s">
        <v>183</v>
      </c>
      <c r="D408" s="18" t="s">
        <v>182</v>
      </c>
      <c r="E408" s="3">
        <v>8500000</v>
      </c>
      <c r="F408" s="17">
        <v>43808</v>
      </c>
      <c r="G408" s="3">
        <v>8500000</v>
      </c>
      <c r="H408" s="2">
        <v>5.0000000000000001E-3</v>
      </c>
      <c r="I408" s="17">
        <v>43808</v>
      </c>
      <c r="J408" s="17">
        <v>43830</v>
      </c>
      <c r="K408" s="3">
        <f>J408-I408+1</f>
        <v>23</v>
      </c>
      <c r="L408" s="3">
        <f>ROUND(G408*H408*K408/365,0)</f>
        <v>2678</v>
      </c>
      <c r="M408" s="3">
        <v>8500000</v>
      </c>
    </row>
    <row r="409" spans="1:13" s="16" customFormat="1" outlineLevel="2">
      <c r="A409" s="17" t="s">
        <v>55</v>
      </c>
      <c r="B409" s="18" t="s">
        <v>424</v>
      </c>
      <c r="C409" s="19" t="s">
        <v>183</v>
      </c>
      <c r="D409" s="18" t="s">
        <v>182</v>
      </c>
      <c r="E409" s="3">
        <v>10040470</v>
      </c>
      <c r="F409" s="17">
        <v>43811</v>
      </c>
      <c r="G409" s="3">
        <v>10040470</v>
      </c>
      <c r="H409" s="2">
        <v>5.0000000000000001E-3</v>
      </c>
      <c r="I409" s="17">
        <v>43811</v>
      </c>
      <c r="J409" s="17">
        <v>43830</v>
      </c>
      <c r="K409" s="3">
        <f>J409-I409+1</f>
        <v>20</v>
      </c>
      <c r="L409" s="3">
        <f>ROUND(G409*H409*K409/365,0)</f>
        <v>2751</v>
      </c>
      <c r="M409" s="3">
        <v>10040470</v>
      </c>
    </row>
    <row r="410" spans="1:13" s="16" customFormat="1" outlineLevel="2">
      <c r="A410" s="17" t="s">
        <v>55</v>
      </c>
      <c r="B410" s="18" t="s">
        <v>423</v>
      </c>
      <c r="C410" s="19" t="s">
        <v>183</v>
      </c>
      <c r="D410" s="18" t="s">
        <v>182</v>
      </c>
      <c r="E410" s="3">
        <v>10210534</v>
      </c>
      <c r="F410" s="17">
        <v>43822</v>
      </c>
      <c r="G410" s="3">
        <v>10210534</v>
      </c>
      <c r="H410" s="2">
        <v>5.0000000000000001E-3</v>
      </c>
      <c r="I410" s="17">
        <v>43822</v>
      </c>
      <c r="J410" s="17">
        <v>43830</v>
      </c>
      <c r="K410" s="3">
        <f>J410-I410+1</f>
        <v>9</v>
      </c>
      <c r="L410" s="3">
        <f>ROUND(G410*H410*K410/365,0)</f>
        <v>1259</v>
      </c>
      <c r="M410" s="3">
        <v>10210534</v>
      </c>
    </row>
    <row r="411" spans="1:13" s="16" customFormat="1" outlineLevel="2">
      <c r="A411" s="17" t="s">
        <v>55</v>
      </c>
      <c r="B411" s="18" t="s">
        <v>422</v>
      </c>
      <c r="C411" s="19" t="s">
        <v>188</v>
      </c>
      <c r="D411" s="18" t="s">
        <v>187</v>
      </c>
      <c r="E411" s="3">
        <v>8024000</v>
      </c>
      <c r="F411" s="17">
        <v>43812</v>
      </c>
      <c r="G411" s="3">
        <v>8024000</v>
      </c>
      <c r="H411" s="2">
        <v>1.4999999999999999E-2</v>
      </c>
      <c r="I411" s="17">
        <v>43812</v>
      </c>
      <c r="J411" s="17">
        <v>43830</v>
      </c>
      <c r="K411" s="3">
        <f>J411-I411+1</f>
        <v>19</v>
      </c>
      <c r="L411" s="3">
        <f>ROUND(G411*H411*K411/365,0)</f>
        <v>6265</v>
      </c>
      <c r="M411" s="3">
        <v>8024000</v>
      </c>
    </row>
    <row r="412" spans="1:13" s="16" customFormat="1" outlineLevel="2">
      <c r="A412" s="17" t="s">
        <v>55</v>
      </c>
      <c r="B412" s="18" t="s">
        <v>421</v>
      </c>
      <c r="C412" s="19" t="s">
        <v>188</v>
      </c>
      <c r="D412" s="18" t="s">
        <v>187</v>
      </c>
      <c r="E412" s="3">
        <v>37767000</v>
      </c>
      <c r="F412" s="17">
        <v>43830</v>
      </c>
      <c r="G412" s="3">
        <v>37767000</v>
      </c>
      <c r="H412" s="2">
        <v>1.4999999999999999E-2</v>
      </c>
      <c r="I412" s="17">
        <v>43830</v>
      </c>
      <c r="J412" s="17">
        <v>43830</v>
      </c>
      <c r="K412" s="3">
        <f>J412-I412+1</f>
        <v>1</v>
      </c>
      <c r="L412" s="3">
        <f>ROUND(G412*H412*K412/365,0)</f>
        <v>1552</v>
      </c>
      <c r="M412" s="3">
        <v>37767000</v>
      </c>
    </row>
    <row r="413" spans="1:13" s="16" customFormat="1" outlineLevel="2">
      <c r="A413" s="17" t="s">
        <v>55</v>
      </c>
      <c r="B413" s="18" t="s">
        <v>420</v>
      </c>
      <c r="C413" s="19" t="s">
        <v>188</v>
      </c>
      <c r="D413" s="18" t="s">
        <v>187</v>
      </c>
      <c r="E413" s="3">
        <v>15242000</v>
      </c>
      <c r="F413" s="17">
        <v>43812</v>
      </c>
      <c r="G413" s="3">
        <v>15242000</v>
      </c>
      <c r="H413" s="2">
        <v>1.4999999999999999E-2</v>
      </c>
      <c r="I413" s="17">
        <v>43812</v>
      </c>
      <c r="J413" s="17">
        <v>43830</v>
      </c>
      <c r="K413" s="3">
        <f>J413-I413+1</f>
        <v>19</v>
      </c>
      <c r="L413" s="3">
        <f>ROUND(G413*H413*K413/365,0)</f>
        <v>11901</v>
      </c>
      <c r="M413" s="3">
        <v>15242000</v>
      </c>
    </row>
    <row r="414" spans="1:13" s="16" customFormat="1" outlineLevel="2">
      <c r="A414" s="17" t="s">
        <v>55</v>
      </c>
      <c r="B414" s="18" t="s">
        <v>178</v>
      </c>
      <c r="C414" s="19" t="s">
        <v>51</v>
      </c>
      <c r="D414" s="18" t="s">
        <v>50</v>
      </c>
      <c r="E414" s="3">
        <v>347000000</v>
      </c>
      <c r="F414" s="17">
        <v>43656</v>
      </c>
      <c r="G414" s="3">
        <v>347000000</v>
      </c>
      <c r="H414" s="2">
        <v>1.4999999999999999E-2</v>
      </c>
      <c r="I414" s="17">
        <v>43800</v>
      </c>
      <c r="J414" s="17">
        <v>43830</v>
      </c>
      <c r="K414" s="3">
        <f>J414-I414+1</f>
        <v>31</v>
      </c>
      <c r="L414" s="3">
        <f>ROUND(G414*H414*K414/365,0)</f>
        <v>442068</v>
      </c>
      <c r="M414" s="3">
        <v>347000000</v>
      </c>
    </row>
    <row r="415" spans="1:13" s="16" customFormat="1" outlineLevel="2">
      <c r="A415" s="17" t="s">
        <v>55</v>
      </c>
      <c r="B415" s="18" t="s">
        <v>419</v>
      </c>
      <c r="C415" s="19" t="s">
        <v>188</v>
      </c>
      <c r="D415" s="18" t="s">
        <v>187</v>
      </c>
      <c r="E415" s="3">
        <v>26753000</v>
      </c>
      <c r="F415" s="17">
        <v>43830</v>
      </c>
      <c r="G415" s="3">
        <v>26753000</v>
      </c>
      <c r="H415" s="2">
        <v>1.4999999999999999E-2</v>
      </c>
      <c r="I415" s="17">
        <v>43830</v>
      </c>
      <c r="J415" s="17">
        <v>43830</v>
      </c>
      <c r="K415" s="3">
        <f>J415-I415+1</f>
        <v>1</v>
      </c>
      <c r="L415" s="3">
        <f>ROUND(G415*H415*K415/365,0)</f>
        <v>1099</v>
      </c>
      <c r="M415" s="3">
        <v>26753000</v>
      </c>
    </row>
    <row r="416" spans="1:13" s="16" customFormat="1" outlineLevel="2">
      <c r="A416" s="17" t="s">
        <v>55</v>
      </c>
      <c r="B416" s="18" t="s">
        <v>418</v>
      </c>
      <c r="C416" s="19" t="s">
        <v>288</v>
      </c>
      <c r="D416" s="18" t="s">
        <v>287</v>
      </c>
      <c r="E416" s="3">
        <v>40000000</v>
      </c>
      <c r="F416" s="17">
        <v>43808</v>
      </c>
      <c r="G416" s="3">
        <v>40000000</v>
      </c>
      <c r="H416" s="2">
        <v>1.4999999999999999E-2</v>
      </c>
      <c r="I416" s="17">
        <v>43808</v>
      </c>
      <c r="J416" s="17">
        <v>43830</v>
      </c>
      <c r="K416" s="3">
        <f>J416-I416+1</f>
        <v>23</v>
      </c>
      <c r="L416" s="3">
        <f>ROUND(G416*H416*K416/365,0)</f>
        <v>37808</v>
      </c>
      <c r="M416" s="3">
        <v>40000000</v>
      </c>
    </row>
    <row r="417" spans="1:13" s="16" customFormat="1" outlineLevel="2">
      <c r="A417" s="17" t="s">
        <v>55</v>
      </c>
      <c r="B417" s="18" t="s">
        <v>417</v>
      </c>
      <c r="C417" s="19" t="s">
        <v>260</v>
      </c>
      <c r="D417" s="18" t="s">
        <v>259</v>
      </c>
      <c r="E417" s="3">
        <v>11480000</v>
      </c>
      <c r="F417" s="17">
        <v>43823</v>
      </c>
      <c r="G417" s="3">
        <v>11480000</v>
      </c>
      <c r="H417" s="2">
        <v>5.0000000000000001E-3</v>
      </c>
      <c r="I417" s="17">
        <v>43823</v>
      </c>
      <c r="J417" s="17">
        <v>43830</v>
      </c>
      <c r="K417" s="3">
        <f>J417-I417+1</f>
        <v>8</v>
      </c>
      <c r="L417" s="3">
        <f>ROUND(G417*H417*K417/365,0)</f>
        <v>1258</v>
      </c>
      <c r="M417" s="3">
        <v>11480000</v>
      </c>
    </row>
    <row r="418" spans="1:13" s="16" customFormat="1" outlineLevel="2">
      <c r="A418" s="17" t="s">
        <v>55</v>
      </c>
      <c r="B418" s="18" t="s">
        <v>416</v>
      </c>
      <c r="C418" s="19" t="s">
        <v>204</v>
      </c>
      <c r="D418" s="18" t="s">
        <v>203</v>
      </c>
      <c r="E418" s="3">
        <v>10000000</v>
      </c>
      <c r="F418" s="17">
        <v>43822</v>
      </c>
      <c r="G418" s="3">
        <v>10000000</v>
      </c>
      <c r="H418" s="2">
        <v>5.0000000000000001E-3</v>
      </c>
      <c r="I418" s="17">
        <v>43822</v>
      </c>
      <c r="J418" s="17">
        <v>43830</v>
      </c>
      <c r="K418" s="3">
        <f>J418-I418+1</f>
        <v>9</v>
      </c>
      <c r="L418" s="3">
        <f>ROUND(G418*H418*K418/365,0)</f>
        <v>1233</v>
      </c>
      <c r="M418" s="3">
        <v>10000000</v>
      </c>
    </row>
    <row r="419" spans="1:13" s="16" customFormat="1" outlineLevel="2">
      <c r="A419" s="17" t="s">
        <v>55</v>
      </c>
      <c r="B419" s="18" t="s">
        <v>415</v>
      </c>
      <c r="C419" s="19" t="s">
        <v>320</v>
      </c>
      <c r="D419" s="18" t="s">
        <v>319</v>
      </c>
      <c r="E419" s="3">
        <v>144648</v>
      </c>
      <c r="F419" s="17">
        <v>43805</v>
      </c>
      <c r="G419" s="3">
        <v>144648</v>
      </c>
      <c r="H419" s="2">
        <v>1.4999999999999999E-2</v>
      </c>
      <c r="I419" s="17">
        <v>43805</v>
      </c>
      <c r="J419" s="17">
        <v>43830</v>
      </c>
      <c r="K419" s="3">
        <f>J419-I419+1</f>
        <v>26</v>
      </c>
      <c r="L419" s="3">
        <f>ROUND(G419*H419*K419/365,0)</f>
        <v>155</v>
      </c>
      <c r="M419" s="3">
        <v>144648</v>
      </c>
    </row>
    <row r="420" spans="1:13" s="16" customFormat="1" outlineLevel="2">
      <c r="A420" s="17" t="s">
        <v>55</v>
      </c>
      <c r="B420" s="18" t="s">
        <v>414</v>
      </c>
      <c r="C420" s="19" t="s">
        <v>320</v>
      </c>
      <c r="D420" s="18" t="s">
        <v>319</v>
      </c>
      <c r="E420" s="3">
        <v>132300</v>
      </c>
      <c r="F420" s="17">
        <v>43819</v>
      </c>
      <c r="G420" s="3">
        <v>132300</v>
      </c>
      <c r="H420" s="2">
        <v>1.4999999999999999E-2</v>
      </c>
      <c r="I420" s="17">
        <v>43819</v>
      </c>
      <c r="J420" s="17">
        <v>43830</v>
      </c>
      <c r="K420" s="3">
        <f>J420-I420+1</f>
        <v>12</v>
      </c>
      <c r="L420" s="3">
        <f>ROUND(G420*H420*K420/365,0)</f>
        <v>65</v>
      </c>
      <c r="M420" s="3">
        <v>132300</v>
      </c>
    </row>
    <row r="421" spans="1:13" s="16" customFormat="1" outlineLevel="2">
      <c r="A421" s="17" t="s">
        <v>55</v>
      </c>
      <c r="B421" s="18" t="s">
        <v>413</v>
      </c>
      <c r="C421" s="19" t="s">
        <v>332</v>
      </c>
      <c r="D421" s="18" t="s">
        <v>331</v>
      </c>
      <c r="E421" s="3">
        <v>7000000</v>
      </c>
      <c r="F421" s="17">
        <v>43822</v>
      </c>
      <c r="G421" s="3">
        <v>7000000</v>
      </c>
      <c r="H421" s="2">
        <v>1.4999999999999999E-2</v>
      </c>
      <c r="I421" s="17">
        <v>43822</v>
      </c>
      <c r="J421" s="17">
        <v>43830</v>
      </c>
      <c r="K421" s="3">
        <f>J421-I421+1</f>
        <v>9</v>
      </c>
      <c r="L421" s="3">
        <f>ROUND(G421*H421*K421/365,0)</f>
        <v>2589</v>
      </c>
      <c r="M421" s="3">
        <v>7000000</v>
      </c>
    </row>
    <row r="422" spans="1:13" s="16" customFormat="1" outlineLevel="2">
      <c r="A422" s="17" t="s">
        <v>55</v>
      </c>
      <c r="B422" s="18" t="s">
        <v>412</v>
      </c>
      <c r="C422" s="19" t="s">
        <v>388</v>
      </c>
      <c r="D422" s="18" t="s">
        <v>387</v>
      </c>
      <c r="E422" s="3">
        <v>1260000</v>
      </c>
      <c r="F422" s="17">
        <v>43819</v>
      </c>
      <c r="G422" s="3">
        <v>1260000</v>
      </c>
      <c r="H422" s="2">
        <v>5.0000000000000001E-3</v>
      </c>
      <c r="I422" s="17">
        <v>43819</v>
      </c>
      <c r="J422" s="17">
        <v>43830</v>
      </c>
      <c r="K422" s="3">
        <f>J422-I422+1</f>
        <v>12</v>
      </c>
      <c r="L422" s="3">
        <f>ROUND(G422*H422*K422/365,0)</f>
        <v>207</v>
      </c>
      <c r="M422" s="3">
        <v>1260000</v>
      </c>
    </row>
    <row r="423" spans="1:13" s="16" customFormat="1" outlineLevel="2">
      <c r="A423" s="17" t="s">
        <v>55</v>
      </c>
      <c r="B423" s="18" t="s">
        <v>411</v>
      </c>
      <c r="C423" s="19" t="s">
        <v>388</v>
      </c>
      <c r="D423" s="18" t="s">
        <v>387</v>
      </c>
      <c r="E423" s="3">
        <v>19278000</v>
      </c>
      <c r="F423" s="17">
        <v>43830</v>
      </c>
      <c r="G423" s="3">
        <v>19278000</v>
      </c>
      <c r="H423" s="2">
        <v>5.0000000000000001E-3</v>
      </c>
      <c r="I423" s="17">
        <v>43830</v>
      </c>
      <c r="J423" s="17">
        <v>43830</v>
      </c>
      <c r="K423" s="3">
        <f>J423-I423+1</f>
        <v>1</v>
      </c>
      <c r="L423" s="3">
        <f>ROUND(G423*H423*K423/365,0)</f>
        <v>264</v>
      </c>
      <c r="M423" s="3">
        <v>19278000</v>
      </c>
    </row>
    <row r="424" spans="1:13" s="16" customFormat="1" outlineLevel="2">
      <c r="A424" s="17" t="s">
        <v>55</v>
      </c>
      <c r="B424" s="18" t="s">
        <v>410</v>
      </c>
      <c r="C424" s="19" t="s">
        <v>445</v>
      </c>
      <c r="D424" s="18" t="s">
        <v>444</v>
      </c>
      <c r="E424" s="3">
        <v>87000000</v>
      </c>
      <c r="F424" s="17">
        <v>43824</v>
      </c>
      <c r="G424" s="3">
        <v>87000000</v>
      </c>
      <c r="H424" s="2">
        <v>5.0000000000000001E-3</v>
      </c>
      <c r="I424" s="17">
        <v>43824</v>
      </c>
      <c r="J424" s="17">
        <v>43830</v>
      </c>
      <c r="K424" s="3">
        <f>J424-I424+1</f>
        <v>7</v>
      </c>
      <c r="L424" s="3">
        <f>ROUND(G424*H424*K424/365,0)</f>
        <v>8342</v>
      </c>
      <c r="M424" s="3">
        <v>87000000</v>
      </c>
    </row>
    <row r="425" spans="1:13" s="16" customFormat="1" outlineLevel="2">
      <c r="A425" s="17" t="s">
        <v>55</v>
      </c>
      <c r="B425" s="18" t="s">
        <v>177</v>
      </c>
      <c r="C425" s="19" t="s">
        <v>159</v>
      </c>
      <c r="D425" s="18" t="s">
        <v>158</v>
      </c>
      <c r="E425" s="3">
        <v>93146000</v>
      </c>
      <c r="F425" s="17">
        <v>43663</v>
      </c>
      <c r="G425" s="3">
        <v>93146000</v>
      </c>
      <c r="H425" s="2">
        <v>1.4999999999999999E-2</v>
      </c>
      <c r="I425" s="17">
        <v>43800</v>
      </c>
      <c r="J425" s="17">
        <v>43830</v>
      </c>
      <c r="K425" s="3">
        <f>J425-I425+1</f>
        <v>31</v>
      </c>
      <c r="L425" s="3">
        <f>ROUND(G425*H425*K425/365,0)</f>
        <v>118665</v>
      </c>
      <c r="M425" s="3">
        <v>93146000</v>
      </c>
    </row>
    <row r="426" spans="1:13" s="16" customFormat="1" outlineLevel="2">
      <c r="A426" s="17" t="s">
        <v>55</v>
      </c>
      <c r="B426" s="18" t="s">
        <v>409</v>
      </c>
      <c r="C426" s="19" t="s">
        <v>443</v>
      </c>
      <c r="D426" s="18" t="s">
        <v>442</v>
      </c>
      <c r="E426" s="3">
        <v>253360</v>
      </c>
      <c r="F426" s="17">
        <v>43805</v>
      </c>
      <c r="G426" s="3">
        <v>253360</v>
      </c>
      <c r="H426" s="2">
        <v>5.0000000000000001E-3</v>
      </c>
      <c r="I426" s="17">
        <v>43805</v>
      </c>
      <c r="J426" s="17">
        <v>43830</v>
      </c>
      <c r="K426" s="3">
        <f>J426-I426+1</f>
        <v>26</v>
      </c>
      <c r="L426" s="3">
        <f>ROUND(G426*H426*K426/365,0)</f>
        <v>90</v>
      </c>
      <c r="M426" s="3">
        <v>253360</v>
      </c>
    </row>
    <row r="427" spans="1:13" s="16" customFormat="1" outlineLevel="2">
      <c r="A427" s="17" t="s">
        <v>55</v>
      </c>
      <c r="B427" s="18" t="s">
        <v>408</v>
      </c>
      <c r="C427" s="19" t="s">
        <v>437</v>
      </c>
      <c r="D427" s="18" t="s">
        <v>436</v>
      </c>
      <c r="E427" s="3">
        <v>200000000</v>
      </c>
      <c r="F427" s="17">
        <v>43825</v>
      </c>
      <c r="G427" s="3">
        <v>200000000</v>
      </c>
      <c r="H427" s="2">
        <v>5.0000000000000001E-3</v>
      </c>
      <c r="I427" s="17">
        <v>43825</v>
      </c>
      <c r="J427" s="17">
        <v>43830</v>
      </c>
      <c r="K427" s="3">
        <f>J427-I427+1</f>
        <v>6</v>
      </c>
      <c r="L427" s="3">
        <f>ROUND(G427*H427*K427/365,0)</f>
        <v>16438</v>
      </c>
      <c r="M427" s="3">
        <v>200000000</v>
      </c>
    </row>
    <row r="428" spans="1:13" s="16" customFormat="1" outlineLevel="2">
      <c r="A428" s="17" t="s">
        <v>55</v>
      </c>
      <c r="B428" s="18" t="s">
        <v>407</v>
      </c>
      <c r="C428" s="19" t="s">
        <v>441</v>
      </c>
      <c r="D428" s="18" t="s">
        <v>440</v>
      </c>
      <c r="E428" s="3">
        <v>3017768</v>
      </c>
      <c r="F428" s="17">
        <v>43817</v>
      </c>
      <c r="G428" s="3">
        <v>3017768</v>
      </c>
      <c r="H428" s="2">
        <v>5.0000000000000001E-3</v>
      </c>
      <c r="I428" s="17">
        <v>43817</v>
      </c>
      <c r="J428" s="17">
        <v>43830</v>
      </c>
      <c r="K428" s="3">
        <f>J428-I428+1</f>
        <v>14</v>
      </c>
      <c r="L428" s="3">
        <f>ROUND(G428*H428*K428/365,0)</f>
        <v>579</v>
      </c>
      <c r="M428" s="3">
        <v>3017768</v>
      </c>
    </row>
    <row r="429" spans="1:13" s="16" customFormat="1" outlineLevel="2">
      <c r="A429" s="17" t="s">
        <v>55</v>
      </c>
      <c r="B429" s="18" t="s">
        <v>404</v>
      </c>
      <c r="C429" s="19" t="s">
        <v>392</v>
      </c>
      <c r="D429" s="18" t="s">
        <v>391</v>
      </c>
      <c r="E429" s="3">
        <v>19000000</v>
      </c>
      <c r="F429" s="17">
        <v>43817</v>
      </c>
      <c r="G429" s="3">
        <v>19000000</v>
      </c>
      <c r="H429" s="2">
        <v>5.0000000000000001E-3</v>
      </c>
      <c r="I429" s="17">
        <v>43817</v>
      </c>
      <c r="J429" s="17">
        <v>43830</v>
      </c>
      <c r="K429" s="3">
        <f>J429-I429+1</f>
        <v>14</v>
      </c>
      <c r="L429" s="3">
        <f>ROUND(G429*H429*K429/365,0)</f>
        <v>3644</v>
      </c>
      <c r="M429" s="3">
        <v>19000000</v>
      </c>
    </row>
    <row r="430" spans="1:13" s="16" customFormat="1" outlineLevel="2">
      <c r="A430" s="17" t="s">
        <v>55</v>
      </c>
      <c r="B430" s="18" t="s">
        <v>176</v>
      </c>
      <c r="C430" s="19" t="s">
        <v>159</v>
      </c>
      <c r="D430" s="18" t="s">
        <v>158</v>
      </c>
      <c r="E430" s="3">
        <v>44447000</v>
      </c>
      <c r="F430" s="17">
        <v>43663</v>
      </c>
      <c r="G430" s="3">
        <v>44447000</v>
      </c>
      <c r="H430" s="2">
        <v>1.4999999999999999E-2</v>
      </c>
      <c r="I430" s="17">
        <v>43800</v>
      </c>
      <c r="J430" s="17">
        <v>43830</v>
      </c>
      <c r="K430" s="3">
        <f>J430-I430+1</f>
        <v>31</v>
      </c>
      <c r="L430" s="3">
        <f>ROUND(G430*H430*K430/365,0)</f>
        <v>56624</v>
      </c>
      <c r="M430" s="3">
        <v>44447000</v>
      </c>
    </row>
    <row r="431" spans="1:13" s="16" customFormat="1" outlineLevel="2">
      <c r="A431" s="17" t="s">
        <v>55</v>
      </c>
      <c r="B431" s="18" t="s">
        <v>175</v>
      </c>
      <c r="C431" s="19" t="s">
        <v>183</v>
      </c>
      <c r="D431" s="18" t="s">
        <v>182</v>
      </c>
      <c r="E431" s="3">
        <v>21200000</v>
      </c>
      <c r="F431" s="17">
        <v>43672</v>
      </c>
      <c r="G431" s="3">
        <v>21200000</v>
      </c>
      <c r="H431" s="2">
        <v>5.0000000000000001E-3</v>
      </c>
      <c r="I431" s="17">
        <v>43800</v>
      </c>
      <c r="J431" s="17">
        <v>43830</v>
      </c>
      <c r="K431" s="3">
        <f>J431-I431+1</f>
        <v>31</v>
      </c>
      <c r="L431" s="3">
        <f>ROUND(G431*H431*K431/365,0)</f>
        <v>9003</v>
      </c>
      <c r="M431" s="3">
        <v>21200000</v>
      </c>
    </row>
    <row r="432" spans="1:13" s="16" customFormat="1" outlineLevel="2">
      <c r="A432" s="17" t="s">
        <v>55</v>
      </c>
      <c r="B432" s="18" t="s">
        <v>174</v>
      </c>
      <c r="C432" s="19" t="s">
        <v>43</v>
      </c>
      <c r="D432" s="18" t="s">
        <v>26</v>
      </c>
      <c r="E432" s="3">
        <v>1858500</v>
      </c>
      <c r="F432" s="17">
        <v>43675</v>
      </c>
      <c r="G432" s="3">
        <v>1858500</v>
      </c>
      <c r="H432" s="2">
        <v>1.4999999999999999E-2</v>
      </c>
      <c r="I432" s="17">
        <v>43800</v>
      </c>
      <c r="J432" s="17">
        <v>43830</v>
      </c>
      <c r="K432" s="3">
        <f>J432-I432+1</f>
        <v>31</v>
      </c>
      <c r="L432" s="3">
        <f>ROUND(G432*H432*K432/365,0)</f>
        <v>2368</v>
      </c>
      <c r="M432" s="3">
        <v>1858500</v>
      </c>
    </row>
    <row r="433" spans="1:13" s="16" customFormat="1" outlineLevel="2">
      <c r="A433" s="17" t="s">
        <v>55</v>
      </c>
      <c r="B433" s="18" t="s">
        <v>171</v>
      </c>
      <c r="C433" s="19" t="s">
        <v>198</v>
      </c>
      <c r="D433" s="18" t="s">
        <v>197</v>
      </c>
      <c r="E433" s="3">
        <v>980000000</v>
      </c>
      <c r="F433" s="17">
        <v>43671</v>
      </c>
      <c r="G433" s="3">
        <v>980000000</v>
      </c>
      <c r="H433" s="2">
        <v>1.4999999999999999E-2</v>
      </c>
      <c r="I433" s="17">
        <v>43800</v>
      </c>
      <c r="J433" s="17">
        <v>43830</v>
      </c>
      <c r="K433" s="3">
        <f>J433-I433+1</f>
        <v>31</v>
      </c>
      <c r="L433" s="3">
        <f>ROUND(G433*H433*K433/365,0)</f>
        <v>1248493</v>
      </c>
      <c r="M433" s="3">
        <v>980000000</v>
      </c>
    </row>
    <row r="434" spans="1:13" s="16" customFormat="1" outlineLevel="2">
      <c r="A434" s="17" t="s">
        <v>55</v>
      </c>
      <c r="B434" s="18" t="s">
        <v>170</v>
      </c>
      <c r="C434" s="19" t="s">
        <v>188</v>
      </c>
      <c r="D434" s="18" t="s">
        <v>187</v>
      </c>
      <c r="E434" s="3">
        <v>7302000</v>
      </c>
      <c r="F434" s="17">
        <v>43661</v>
      </c>
      <c r="G434" s="3">
        <v>7302000</v>
      </c>
      <c r="H434" s="2">
        <v>1.4999999999999999E-2</v>
      </c>
      <c r="I434" s="17">
        <v>43800</v>
      </c>
      <c r="J434" s="17">
        <v>43830</v>
      </c>
      <c r="K434" s="3">
        <f>J434-I434+1</f>
        <v>31</v>
      </c>
      <c r="L434" s="3">
        <f>ROUND(G434*H434*K434/365,0)</f>
        <v>9303</v>
      </c>
      <c r="M434" s="3">
        <v>7302000</v>
      </c>
    </row>
    <row r="435" spans="1:13" s="16" customFormat="1" outlineLevel="2">
      <c r="A435" s="17" t="s">
        <v>55</v>
      </c>
      <c r="B435" s="18" t="s">
        <v>31</v>
      </c>
      <c r="C435" s="19" t="s">
        <v>54</v>
      </c>
      <c r="D435" s="18" t="s">
        <v>34</v>
      </c>
      <c r="E435" s="3">
        <v>11202000</v>
      </c>
      <c r="F435" s="17">
        <v>43641</v>
      </c>
      <c r="G435" s="3">
        <v>11202000</v>
      </c>
      <c r="H435" s="2">
        <v>1.4999999999999999E-2</v>
      </c>
      <c r="I435" s="17">
        <v>43800</v>
      </c>
      <c r="J435" s="17">
        <v>43830</v>
      </c>
      <c r="K435" s="3">
        <f>J435-I435+1</f>
        <v>31</v>
      </c>
      <c r="L435" s="3">
        <f>ROUND(G435*H435*K435/365,0)</f>
        <v>14271</v>
      </c>
      <c r="M435" s="3">
        <v>11202000</v>
      </c>
    </row>
    <row r="436" spans="1:13" s="16" customFormat="1" outlineLevel="2">
      <c r="A436" s="17" t="s">
        <v>55</v>
      </c>
      <c r="B436" s="18" t="s">
        <v>169</v>
      </c>
      <c r="C436" s="19" t="s">
        <v>188</v>
      </c>
      <c r="D436" s="18" t="s">
        <v>187</v>
      </c>
      <c r="E436" s="3">
        <v>98492000</v>
      </c>
      <c r="F436" s="17">
        <v>43661</v>
      </c>
      <c r="G436" s="3">
        <v>98492000</v>
      </c>
      <c r="H436" s="2">
        <v>1.4999999999999999E-2</v>
      </c>
      <c r="I436" s="17">
        <v>43800</v>
      </c>
      <c r="J436" s="17">
        <v>43830</v>
      </c>
      <c r="K436" s="3">
        <f>J436-I436+1</f>
        <v>31</v>
      </c>
      <c r="L436" s="3">
        <f>ROUND(G436*H436*K436/365,0)</f>
        <v>125476</v>
      </c>
      <c r="M436" s="3">
        <v>98492000</v>
      </c>
    </row>
    <row r="437" spans="1:13" s="16" customFormat="1" outlineLevel="2">
      <c r="A437" s="17" t="s">
        <v>55</v>
      </c>
      <c r="B437" s="18" t="s">
        <v>168</v>
      </c>
      <c r="C437" s="19" t="s">
        <v>54</v>
      </c>
      <c r="D437" s="18" t="s">
        <v>34</v>
      </c>
      <c r="E437" s="3">
        <v>23686000</v>
      </c>
      <c r="F437" s="17">
        <v>43682</v>
      </c>
      <c r="G437" s="3">
        <v>23686000</v>
      </c>
      <c r="H437" s="2">
        <v>1.4999999999999999E-2</v>
      </c>
      <c r="I437" s="17">
        <v>43800</v>
      </c>
      <c r="J437" s="17">
        <v>43830</v>
      </c>
      <c r="K437" s="3">
        <f>J437-I437+1</f>
        <v>31</v>
      </c>
      <c r="L437" s="3">
        <f>ROUND(G437*H437*K437/365,0)</f>
        <v>30175</v>
      </c>
      <c r="M437" s="3">
        <v>23686000</v>
      </c>
    </row>
    <row r="438" spans="1:13" s="16" customFormat="1" outlineLevel="2">
      <c r="A438" s="17" t="s">
        <v>55</v>
      </c>
      <c r="B438" s="18" t="s">
        <v>167</v>
      </c>
      <c r="C438" s="19" t="s">
        <v>54</v>
      </c>
      <c r="D438" s="18" t="s">
        <v>34</v>
      </c>
      <c r="E438" s="3">
        <v>3080000</v>
      </c>
      <c r="F438" s="17">
        <v>43692</v>
      </c>
      <c r="G438" s="3">
        <v>3080000</v>
      </c>
      <c r="H438" s="2">
        <v>1.4999999999999999E-2</v>
      </c>
      <c r="I438" s="17">
        <v>43800</v>
      </c>
      <c r="J438" s="17">
        <v>43830</v>
      </c>
      <c r="K438" s="3">
        <f>J438-I438+1</f>
        <v>31</v>
      </c>
      <c r="L438" s="3">
        <f>ROUND(G438*H438*K438/365,0)</f>
        <v>3924</v>
      </c>
      <c r="M438" s="3">
        <v>3080000</v>
      </c>
    </row>
    <row r="439" spans="1:13" s="16" customFormat="1" outlineLevel="2">
      <c r="A439" s="17" t="s">
        <v>55</v>
      </c>
      <c r="B439" s="18" t="s">
        <v>166</v>
      </c>
      <c r="C439" s="19" t="s">
        <v>54</v>
      </c>
      <c r="D439" s="18" t="s">
        <v>34</v>
      </c>
      <c r="E439" s="3">
        <v>1506000</v>
      </c>
      <c r="F439" s="17">
        <v>43696</v>
      </c>
      <c r="G439" s="3">
        <v>1506000</v>
      </c>
      <c r="H439" s="2">
        <v>1.4999999999999999E-2</v>
      </c>
      <c r="I439" s="17">
        <v>43800</v>
      </c>
      <c r="J439" s="17">
        <v>43830</v>
      </c>
      <c r="K439" s="3">
        <f>J439-I439+1</f>
        <v>31</v>
      </c>
      <c r="L439" s="3">
        <f>ROUND(G439*H439*K439/365,0)</f>
        <v>1919</v>
      </c>
      <c r="M439" s="3">
        <v>1506000</v>
      </c>
    </row>
    <row r="440" spans="1:13" s="16" customFormat="1" outlineLevel="2">
      <c r="A440" s="17" t="s">
        <v>55</v>
      </c>
      <c r="B440" s="18" t="s">
        <v>165</v>
      </c>
      <c r="C440" s="19" t="s">
        <v>54</v>
      </c>
      <c r="D440" s="18" t="s">
        <v>34</v>
      </c>
      <c r="E440" s="3">
        <v>12655000</v>
      </c>
      <c r="F440" s="17">
        <v>43703</v>
      </c>
      <c r="G440" s="3">
        <v>12655000</v>
      </c>
      <c r="H440" s="2">
        <v>1.4999999999999999E-2</v>
      </c>
      <c r="I440" s="17">
        <v>43800</v>
      </c>
      <c r="J440" s="17">
        <v>43830</v>
      </c>
      <c r="K440" s="3">
        <f>J440-I440+1</f>
        <v>31</v>
      </c>
      <c r="L440" s="3">
        <f>ROUND(G440*H440*K440/365,0)</f>
        <v>16122</v>
      </c>
      <c r="M440" s="3">
        <v>12655000</v>
      </c>
    </row>
    <row r="441" spans="1:13" s="16" customFormat="1" outlineLevel="2">
      <c r="A441" s="17" t="s">
        <v>55</v>
      </c>
      <c r="B441" s="18" t="s">
        <v>164</v>
      </c>
      <c r="C441" s="19" t="s">
        <v>51</v>
      </c>
      <c r="D441" s="18" t="s">
        <v>50</v>
      </c>
      <c r="E441" s="3">
        <v>45000000</v>
      </c>
      <c r="F441" s="17">
        <v>43698</v>
      </c>
      <c r="G441" s="3">
        <v>45000000</v>
      </c>
      <c r="H441" s="2">
        <v>1.4999999999999999E-2</v>
      </c>
      <c r="I441" s="17">
        <v>43800</v>
      </c>
      <c r="J441" s="17">
        <v>43830</v>
      </c>
      <c r="K441" s="3">
        <f>J441-I441+1</f>
        <v>31</v>
      </c>
      <c r="L441" s="3">
        <f>ROUND(G441*H441*K441/365,0)</f>
        <v>57329</v>
      </c>
      <c r="M441" s="3">
        <v>45000000</v>
      </c>
    </row>
    <row r="442" spans="1:13" s="16" customFormat="1" outlineLevel="2">
      <c r="A442" s="17" t="s">
        <v>55</v>
      </c>
      <c r="B442" s="18" t="s">
        <v>161</v>
      </c>
      <c r="C442" s="19" t="s">
        <v>159</v>
      </c>
      <c r="D442" s="18" t="s">
        <v>158</v>
      </c>
      <c r="E442" s="3">
        <v>21241000</v>
      </c>
      <c r="F442" s="17">
        <v>43693</v>
      </c>
      <c r="G442" s="3">
        <v>21241000</v>
      </c>
      <c r="H442" s="2">
        <v>1.4999999999999999E-2</v>
      </c>
      <c r="I442" s="17">
        <v>43800</v>
      </c>
      <c r="J442" s="17">
        <v>43830</v>
      </c>
      <c r="K442" s="3">
        <f>J442-I442+1</f>
        <v>31</v>
      </c>
      <c r="L442" s="3">
        <f>ROUND(G442*H442*K442/365,0)</f>
        <v>27060</v>
      </c>
      <c r="M442" s="3">
        <v>21241000</v>
      </c>
    </row>
    <row r="443" spans="1:13" s="16" customFormat="1" outlineLevel="2">
      <c r="A443" s="17" t="s">
        <v>55</v>
      </c>
      <c r="B443" s="18" t="s">
        <v>160</v>
      </c>
      <c r="C443" s="19" t="s">
        <v>159</v>
      </c>
      <c r="D443" s="18" t="s">
        <v>158</v>
      </c>
      <c r="E443" s="3">
        <v>7741000</v>
      </c>
      <c r="F443" s="17">
        <v>43693</v>
      </c>
      <c r="G443" s="3">
        <v>7741000</v>
      </c>
      <c r="H443" s="2">
        <v>1.4999999999999999E-2</v>
      </c>
      <c r="I443" s="17">
        <v>43800</v>
      </c>
      <c r="J443" s="17">
        <v>43830</v>
      </c>
      <c r="K443" s="3">
        <f>J443-I443+1</f>
        <v>31</v>
      </c>
      <c r="L443" s="3">
        <f>ROUND(G443*H443*K443/365,0)</f>
        <v>9862</v>
      </c>
      <c r="M443" s="3">
        <v>7741000</v>
      </c>
    </row>
    <row r="444" spans="1:13" s="16" customFormat="1" outlineLevel="2">
      <c r="A444" s="17" t="s">
        <v>55</v>
      </c>
      <c r="B444" s="18" t="s">
        <v>157</v>
      </c>
      <c r="C444" s="19" t="s">
        <v>183</v>
      </c>
      <c r="D444" s="18" t="s">
        <v>182</v>
      </c>
      <c r="E444" s="3">
        <v>14360000</v>
      </c>
      <c r="F444" s="17">
        <v>43696</v>
      </c>
      <c r="G444" s="3">
        <v>14360000</v>
      </c>
      <c r="H444" s="2">
        <v>5.0000000000000001E-3</v>
      </c>
      <c r="I444" s="17">
        <v>43800</v>
      </c>
      <c r="J444" s="17">
        <v>43830</v>
      </c>
      <c r="K444" s="3">
        <f>J444-I444+1</f>
        <v>31</v>
      </c>
      <c r="L444" s="3">
        <f>ROUND(G444*H444*K444/365,0)</f>
        <v>6098</v>
      </c>
      <c r="M444" s="3">
        <v>14360000</v>
      </c>
    </row>
    <row r="445" spans="1:13" s="16" customFormat="1" outlineLevel="2">
      <c r="A445" s="17" t="s">
        <v>55</v>
      </c>
      <c r="B445" s="18" t="s">
        <v>156</v>
      </c>
      <c r="C445" s="19" t="s">
        <v>183</v>
      </c>
      <c r="D445" s="18" t="s">
        <v>182</v>
      </c>
      <c r="E445" s="3">
        <v>10871559</v>
      </c>
      <c r="F445" s="17">
        <v>43684</v>
      </c>
      <c r="G445" s="3">
        <v>10871559</v>
      </c>
      <c r="H445" s="2">
        <v>5.0000000000000001E-3</v>
      </c>
      <c r="I445" s="17">
        <v>43800</v>
      </c>
      <c r="J445" s="17">
        <v>43830</v>
      </c>
      <c r="K445" s="3">
        <f>J445-I445+1</f>
        <v>31</v>
      </c>
      <c r="L445" s="3">
        <f>ROUND(G445*H445*K445/365,0)</f>
        <v>4617</v>
      </c>
      <c r="M445" s="3">
        <v>10871559</v>
      </c>
    </row>
    <row r="446" spans="1:13" s="16" customFormat="1" outlineLevel="2">
      <c r="A446" s="17" t="s">
        <v>55</v>
      </c>
      <c r="B446" s="18" t="s">
        <v>30</v>
      </c>
      <c r="C446" s="19" t="s">
        <v>54</v>
      </c>
      <c r="D446" s="18" t="s">
        <v>34</v>
      </c>
      <c r="E446" s="3">
        <v>2382000</v>
      </c>
      <c r="F446" s="17">
        <v>43647</v>
      </c>
      <c r="G446" s="3">
        <v>2382000</v>
      </c>
      <c r="H446" s="2">
        <v>1.4999999999999999E-2</v>
      </c>
      <c r="I446" s="17">
        <v>43800</v>
      </c>
      <c r="J446" s="17">
        <v>43830</v>
      </c>
      <c r="K446" s="3">
        <f>J446-I446+1</f>
        <v>31</v>
      </c>
      <c r="L446" s="3">
        <f>ROUND(G446*H446*K446/365,0)</f>
        <v>3035</v>
      </c>
      <c r="M446" s="3">
        <v>2382000</v>
      </c>
    </row>
    <row r="447" spans="1:13" s="16" customFormat="1" outlineLevel="2">
      <c r="A447" s="17" t="s">
        <v>55</v>
      </c>
      <c r="B447" s="18" t="s">
        <v>155</v>
      </c>
      <c r="C447" s="19" t="s">
        <v>183</v>
      </c>
      <c r="D447" s="18" t="s">
        <v>182</v>
      </c>
      <c r="E447" s="3">
        <v>7669734</v>
      </c>
      <c r="F447" s="17">
        <v>43684</v>
      </c>
      <c r="G447" s="3">
        <v>7669734</v>
      </c>
      <c r="H447" s="2">
        <v>5.0000000000000001E-3</v>
      </c>
      <c r="I447" s="17">
        <v>43800</v>
      </c>
      <c r="J447" s="17">
        <v>43830</v>
      </c>
      <c r="K447" s="3">
        <f>J447-I447+1</f>
        <v>31</v>
      </c>
      <c r="L447" s="3">
        <f>ROUND(G447*H447*K447/365,0)</f>
        <v>3257</v>
      </c>
      <c r="M447" s="3">
        <v>7669734</v>
      </c>
    </row>
    <row r="448" spans="1:13" s="16" customFormat="1" outlineLevel="2">
      <c r="A448" s="17" t="s">
        <v>55</v>
      </c>
      <c r="B448" s="18" t="s">
        <v>154</v>
      </c>
      <c r="C448" s="19" t="s">
        <v>183</v>
      </c>
      <c r="D448" s="18" t="s">
        <v>182</v>
      </c>
      <c r="E448" s="3">
        <v>10512413</v>
      </c>
      <c r="F448" s="17">
        <v>43689</v>
      </c>
      <c r="G448" s="3">
        <v>10512413</v>
      </c>
      <c r="H448" s="2">
        <v>5.0000000000000001E-3</v>
      </c>
      <c r="I448" s="17">
        <v>43800</v>
      </c>
      <c r="J448" s="17">
        <v>43830</v>
      </c>
      <c r="K448" s="3">
        <f>J448-I448+1</f>
        <v>31</v>
      </c>
      <c r="L448" s="3">
        <f>ROUND(G448*H448*K448/365,0)</f>
        <v>4464</v>
      </c>
      <c r="M448" s="3">
        <v>10512413</v>
      </c>
    </row>
    <row r="449" spans="1:13" s="16" customFormat="1" outlineLevel="2">
      <c r="A449" s="17" t="s">
        <v>55</v>
      </c>
      <c r="B449" s="18" t="s">
        <v>153</v>
      </c>
      <c r="C449" s="19" t="s">
        <v>183</v>
      </c>
      <c r="D449" s="18" t="s">
        <v>182</v>
      </c>
      <c r="E449" s="3">
        <v>10012074</v>
      </c>
      <c r="F449" s="17">
        <v>43705</v>
      </c>
      <c r="G449" s="3">
        <v>10012074</v>
      </c>
      <c r="H449" s="2">
        <v>5.0000000000000001E-3</v>
      </c>
      <c r="I449" s="17">
        <v>43800</v>
      </c>
      <c r="J449" s="17">
        <v>43830</v>
      </c>
      <c r="K449" s="3">
        <f>J449-I449+1</f>
        <v>31</v>
      </c>
      <c r="L449" s="3">
        <f>ROUND(G449*H449*K449/365,0)</f>
        <v>4252</v>
      </c>
      <c r="M449" s="3">
        <v>10012074</v>
      </c>
    </row>
    <row r="450" spans="1:13" s="16" customFormat="1" outlineLevel="2">
      <c r="A450" s="17" t="s">
        <v>55</v>
      </c>
      <c r="B450" s="18" t="s">
        <v>152</v>
      </c>
      <c r="C450" s="19" t="s">
        <v>43</v>
      </c>
      <c r="D450" s="18" t="s">
        <v>26</v>
      </c>
      <c r="E450" s="3">
        <v>18630500</v>
      </c>
      <c r="F450" s="17">
        <v>43685</v>
      </c>
      <c r="G450" s="3">
        <v>18630500</v>
      </c>
      <c r="H450" s="2">
        <v>1.4999999999999999E-2</v>
      </c>
      <c r="I450" s="17">
        <v>43800</v>
      </c>
      <c r="J450" s="17">
        <v>43830</v>
      </c>
      <c r="K450" s="3">
        <f>J450-I450+1</f>
        <v>31</v>
      </c>
      <c r="L450" s="3">
        <f>ROUND(G450*H450*K450/365,0)</f>
        <v>23735</v>
      </c>
      <c r="M450" s="3">
        <v>18630500</v>
      </c>
    </row>
    <row r="451" spans="1:13" s="16" customFormat="1" outlineLevel="2">
      <c r="A451" s="17" t="s">
        <v>55</v>
      </c>
      <c r="B451" s="18" t="s">
        <v>151</v>
      </c>
      <c r="C451" s="19" t="s">
        <v>43</v>
      </c>
      <c r="D451" s="18" t="s">
        <v>26</v>
      </c>
      <c r="E451" s="3">
        <v>54790672</v>
      </c>
      <c r="F451" s="17">
        <v>43696</v>
      </c>
      <c r="G451" s="3">
        <v>54790672</v>
      </c>
      <c r="H451" s="2">
        <v>1.4999999999999999E-2</v>
      </c>
      <c r="I451" s="17">
        <v>43800</v>
      </c>
      <c r="J451" s="17">
        <v>43830</v>
      </c>
      <c r="K451" s="3">
        <f>J451-I451+1</f>
        <v>31</v>
      </c>
      <c r="L451" s="3">
        <f>ROUND(G451*H451*K451/365,0)</f>
        <v>69802</v>
      </c>
      <c r="M451" s="3">
        <v>54790672</v>
      </c>
    </row>
    <row r="452" spans="1:13" s="16" customFormat="1" outlineLevel="2">
      <c r="A452" s="17" t="s">
        <v>55</v>
      </c>
      <c r="B452" s="18" t="s">
        <v>196</v>
      </c>
      <c r="C452" s="19" t="s">
        <v>43</v>
      </c>
      <c r="D452" s="18" t="s">
        <v>26</v>
      </c>
      <c r="E452" s="3">
        <v>13244438</v>
      </c>
      <c r="F452" s="17">
        <v>43705</v>
      </c>
      <c r="G452" s="3">
        <v>13244438</v>
      </c>
      <c r="H452" s="2">
        <v>1.4999999999999999E-2</v>
      </c>
      <c r="I452" s="17">
        <v>43800</v>
      </c>
      <c r="J452" s="17">
        <v>43830</v>
      </c>
      <c r="K452" s="3">
        <f>J452-I452+1</f>
        <v>31</v>
      </c>
      <c r="L452" s="3">
        <f>ROUND(G452*H452*K452/365,0)</f>
        <v>16873</v>
      </c>
      <c r="M452" s="3">
        <v>13244438</v>
      </c>
    </row>
    <row r="453" spans="1:13" s="16" customFormat="1" outlineLevel="2">
      <c r="A453" s="17" t="s">
        <v>55</v>
      </c>
      <c r="B453" s="18" t="s">
        <v>195</v>
      </c>
      <c r="C453" s="19" t="s">
        <v>43</v>
      </c>
      <c r="D453" s="18" t="s">
        <v>26</v>
      </c>
      <c r="E453" s="3">
        <v>6140736</v>
      </c>
      <c r="F453" s="17">
        <v>43685</v>
      </c>
      <c r="G453" s="3">
        <v>6140736</v>
      </c>
      <c r="H453" s="2">
        <v>1.4999999999999999E-2</v>
      </c>
      <c r="I453" s="17">
        <v>43800</v>
      </c>
      <c r="J453" s="17">
        <v>43830</v>
      </c>
      <c r="K453" s="3">
        <f>J453-I453+1</f>
        <v>31</v>
      </c>
      <c r="L453" s="3">
        <f>ROUND(G453*H453*K453/365,0)</f>
        <v>7823</v>
      </c>
      <c r="M453" s="3">
        <v>6140736</v>
      </c>
    </row>
    <row r="454" spans="1:13" s="16" customFormat="1" outlineLevel="2">
      <c r="A454" s="17" t="s">
        <v>55</v>
      </c>
      <c r="B454" s="18" t="s">
        <v>194</v>
      </c>
      <c r="C454" s="19" t="s">
        <v>43</v>
      </c>
      <c r="D454" s="18" t="s">
        <v>26</v>
      </c>
      <c r="E454" s="3">
        <v>5716241</v>
      </c>
      <c r="F454" s="17">
        <v>43696</v>
      </c>
      <c r="G454" s="3">
        <v>5716241</v>
      </c>
      <c r="H454" s="2">
        <v>1.4999999999999999E-2</v>
      </c>
      <c r="I454" s="17">
        <v>43800</v>
      </c>
      <c r="J454" s="17">
        <v>43830</v>
      </c>
      <c r="K454" s="3">
        <f>J454-I454+1</f>
        <v>31</v>
      </c>
      <c r="L454" s="3">
        <f>ROUND(G454*H454*K454/365,0)</f>
        <v>7282</v>
      </c>
      <c r="M454" s="3">
        <v>5716241</v>
      </c>
    </row>
    <row r="455" spans="1:13" s="16" customFormat="1" outlineLevel="2">
      <c r="A455" s="17" t="s">
        <v>55</v>
      </c>
      <c r="B455" s="18" t="s">
        <v>193</v>
      </c>
      <c r="C455" s="19" t="s">
        <v>43</v>
      </c>
      <c r="D455" s="18" t="s">
        <v>26</v>
      </c>
      <c r="E455" s="3">
        <v>10167768</v>
      </c>
      <c r="F455" s="17">
        <v>43705</v>
      </c>
      <c r="G455" s="3">
        <v>10167768</v>
      </c>
      <c r="H455" s="2">
        <v>1.4999999999999999E-2</v>
      </c>
      <c r="I455" s="17">
        <v>43800</v>
      </c>
      <c r="J455" s="17">
        <v>43830</v>
      </c>
      <c r="K455" s="3">
        <f>J455-I455+1</f>
        <v>31</v>
      </c>
      <c r="L455" s="3">
        <f>ROUND(G455*H455*K455/365,0)</f>
        <v>12953</v>
      </c>
      <c r="M455" s="3">
        <v>10167768</v>
      </c>
    </row>
    <row r="456" spans="1:13" s="16" customFormat="1" outlineLevel="2">
      <c r="A456" s="17" t="s">
        <v>55</v>
      </c>
      <c r="B456" s="18" t="s">
        <v>192</v>
      </c>
      <c r="C456" s="19" t="s">
        <v>188</v>
      </c>
      <c r="D456" s="18" t="s">
        <v>187</v>
      </c>
      <c r="E456" s="3">
        <v>19530000</v>
      </c>
      <c r="F456" s="17">
        <v>43692</v>
      </c>
      <c r="G456" s="3">
        <v>19530000</v>
      </c>
      <c r="H456" s="2">
        <v>1.4999999999999999E-2</v>
      </c>
      <c r="I456" s="17">
        <v>43800</v>
      </c>
      <c r="J456" s="17">
        <v>43830</v>
      </c>
      <c r="K456" s="3">
        <f>J456-I456+1</f>
        <v>31</v>
      </c>
      <c r="L456" s="3">
        <f>ROUND(G456*H456*K456/365,0)</f>
        <v>24881</v>
      </c>
      <c r="M456" s="3">
        <v>19530000</v>
      </c>
    </row>
    <row r="457" spans="1:13" s="16" customFormat="1" outlineLevel="2">
      <c r="A457" s="17" t="s">
        <v>55</v>
      </c>
      <c r="B457" s="18" t="s">
        <v>28</v>
      </c>
      <c r="C457" s="19" t="s">
        <v>54</v>
      </c>
      <c r="D457" s="18" t="s">
        <v>34</v>
      </c>
      <c r="E457" s="3">
        <v>25917000</v>
      </c>
      <c r="F457" s="17">
        <v>43651</v>
      </c>
      <c r="G457" s="3">
        <v>25917000</v>
      </c>
      <c r="H457" s="2">
        <v>1.4999999999999999E-2</v>
      </c>
      <c r="I457" s="17">
        <v>43800</v>
      </c>
      <c r="J457" s="17">
        <v>43830</v>
      </c>
      <c r="K457" s="3">
        <f>J457-I457+1</f>
        <v>31</v>
      </c>
      <c r="L457" s="3">
        <f>ROUND(G457*H457*K457/365,0)</f>
        <v>33018</v>
      </c>
      <c r="M457" s="3">
        <v>25917000</v>
      </c>
    </row>
    <row r="458" spans="1:13" s="16" customFormat="1" outlineLevel="2">
      <c r="A458" s="17" t="s">
        <v>55</v>
      </c>
      <c r="B458" s="18" t="s">
        <v>191</v>
      </c>
      <c r="C458" s="19" t="s">
        <v>188</v>
      </c>
      <c r="D458" s="18" t="s">
        <v>187</v>
      </c>
      <c r="E458" s="3">
        <v>1096000</v>
      </c>
      <c r="F458" s="17">
        <v>43707</v>
      </c>
      <c r="G458" s="3">
        <v>1096000</v>
      </c>
      <c r="H458" s="2">
        <v>1.4999999999999999E-2</v>
      </c>
      <c r="I458" s="17">
        <v>43800</v>
      </c>
      <c r="J458" s="17">
        <v>43830</v>
      </c>
      <c r="K458" s="3">
        <f>J458-I458+1</f>
        <v>31</v>
      </c>
      <c r="L458" s="3">
        <f>ROUND(G458*H458*K458/365,0)</f>
        <v>1396</v>
      </c>
      <c r="M458" s="3">
        <v>1096000</v>
      </c>
    </row>
    <row r="459" spans="1:13" s="16" customFormat="1" outlineLevel="2">
      <c r="A459" s="17" t="s">
        <v>55</v>
      </c>
      <c r="B459" s="18" t="s">
        <v>190</v>
      </c>
      <c r="C459" s="19" t="s">
        <v>188</v>
      </c>
      <c r="D459" s="18" t="s">
        <v>187</v>
      </c>
      <c r="E459" s="3">
        <v>15507000</v>
      </c>
      <c r="F459" s="17">
        <v>43692</v>
      </c>
      <c r="G459" s="3">
        <v>15507000</v>
      </c>
      <c r="H459" s="2">
        <v>1.4999999999999999E-2</v>
      </c>
      <c r="I459" s="17">
        <v>43800</v>
      </c>
      <c r="J459" s="17">
        <v>43830</v>
      </c>
      <c r="K459" s="3">
        <f>J459-I459+1</f>
        <v>31</v>
      </c>
      <c r="L459" s="3">
        <f>ROUND(G459*H459*K459/365,0)</f>
        <v>19755</v>
      </c>
      <c r="M459" s="3">
        <v>15507000</v>
      </c>
    </row>
    <row r="460" spans="1:13" s="16" customFormat="1" outlineLevel="2">
      <c r="A460" s="17" t="s">
        <v>55</v>
      </c>
      <c r="B460" s="18" t="s">
        <v>189</v>
      </c>
      <c r="C460" s="19" t="s">
        <v>188</v>
      </c>
      <c r="D460" s="18" t="s">
        <v>187</v>
      </c>
      <c r="E460" s="3">
        <v>23876000</v>
      </c>
      <c r="F460" s="17">
        <v>43707</v>
      </c>
      <c r="G460" s="3">
        <v>23876000</v>
      </c>
      <c r="H460" s="2">
        <v>1.4999999999999999E-2</v>
      </c>
      <c r="I460" s="17">
        <v>43800</v>
      </c>
      <c r="J460" s="17">
        <v>43830</v>
      </c>
      <c r="K460" s="3">
        <f>J460-I460+1</f>
        <v>31</v>
      </c>
      <c r="L460" s="3">
        <f>ROUND(G460*H460*K460/365,0)</f>
        <v>30417</v>
      </c>
      <c r="M460" s="3">
        <v>23876000</v>
      </c>
    </row>
    <row r="461" spans="1:13" s="16" customFormat="1" outlineLevel="2">
      <c r="A461" s="17" t="s">
        <v>55</v>
      </c>
      <c r="B461" s="18" t="s">
        <v>186</v>
      </c>
      <c r="C461" s="19" t="s">
        <v>185</v>
      </c>
      <c r="D461" s="18" t="s">
        <v>184</v>
      </c>
      <c r="E461" s="3">
        <v>32780000</v>
      </c>
      <c r="F461" s="17">
        <v>43689</v>
      </c>
      <c r="G461" s="3">
        <v>32780000</v>
      </c>
      <c r="H461" s="2">
        <v>5.0000000000000001E-3</v>
      </c>
      <c r="I461" s="17">
        <v>43800</v>
      </c>
      <c r="J461" s="17">
        <v>43830</v>
      </c>
      <c r="K461" s="3">
        <f>J461-I461+1</f>
        <v>31</v>
      </c>
      <c r="L461" s="3">
        <f>ROUND(G461*H461*K461/365,0)</f>
        <v>13920</v>
      </c>
      <c r="M461" s="3">
        <v>32780000</v>
      </c>
    </row>
    <row r="462" spans="1:13" s="16" customFormat="1" outlineLevel="2">
      <c r="A462" s="17" t="s">
        <v>55</v>
      </c>
      <c r="B462" s="18" t="s">
        <v>228</v>
      </c>
      <c r="C462" s="19" t="s">
        <v>54</v>
      </c>
      <c r="D462" s="18" t="s">
        <v>34</v>
      </c>
      <c r="E462" s="3">
        <v>4871000</v>
      </c>
      <c r="F462" s="17">
        <v>43710</v>
      </c>
      <c r="G462" s="3">
        <v>4871000</v>
      </c>
      <c r="H462" s="2">
        <v>1.4999999999999999E-2</v>
      </c>
      <c r="I462" s="17">
        <v>43800</v>
      </c>
      <c r="J462" s="17">
        <v>43830</v>
      </c>
      <c r="K462" s="3">
        <f>J462-I462+1</f>
        <v>31</v>
      </c>
      <c r="L462" s="3">
        <f>ROUND(G462*H462*K462/365,0)</f>
        <v>6206</v>
      </c>
      <c r="M462" s="3">
        <v>4871000</v>
      </c>
    </row>
    <row r="463" spans="1:13" s="16" customFormat="1" outlineLevel="2">
      <c r="A463" s="17" t="s">
        <v>55</v>
      </c>
      <c r="B463" s="18" t="s">
        <v>227</v>
      </c>
      <c r="C463" s="19" t="s">
        <v>54</v>
      </c>
      <c r="D463" s="18" t="s">
        <v>34</v>
      </c>
      <c r="E463" s="3">
        <v>40225000</v>
      </c>
      <c r="F463" s="17">
        <v>43713</v>
      </c>
      <c r="G463" s="3">
        <v>40225000</v>
      </c>
      <c r="H463" s="2">
        <v>1.4999999999999999E-2</v>
      </c>
      <c r="I463" s="17">
        <v>43800</v>
      </c>
      <c r="J463" s="17">
        <v>43830</v>
      </c>
      <c r="K463" s="3">
        <f>J463-I463+1</f>
        <v>31</v>
      </c>
      <c r="L463" s="3">
        <f>ROUND(G463*H463*K463/365,0)</f>
        <v>51246</v>
      </c>
      <c r="M463" s="3">
        <v>40225000</v>
      </c>
    </row>
    <row r="464" spans="1:13" s="16" customFormat="1" outlineLevel="2">
      <c r="A464" s="17" t="s">
        <v>55</v>
      </c>
      <c r="B464" s="18" t="s">
        <v>226</v>
      </c>
      <c r="C464" s="19" t="s">
        <v>54</v>
      </c>
      <c r="D464" s="18" t="s">
        <v>34</v>
      </c>
      <c r="E464" s="3">
        <v>9037000</v>
      </c>
      <c r="F464" s="17">
        <v>43724</v>
      </c>
      <c r="G464" s="3">
        <v>9037000</v>
      </c>
      <c r="H464" s="2">
        <v>1.4999999999999999E-2</v>
      </c>
      <c r="I464" s="17">
        <v>43800</v>
      </c>
      <c r="J464" s="17">
        <v>43830</v>
      </c>
      <c r="K464" s="3">
        <f>J464-I464+1</f>
        <v>31</v>
      </c>
      <c r="L464" s="3">
        <f>ROUND(G464*H464*K464/365,0)</f>
        <v>11513</v>
      </c>
      <c r="M464" s="3">
        <v>9037000</v>
      </c>
    </row>
    <row r="465" spans="1:13" s="16" customFormat="1" outlineLevel="2">
      <c r="A465" s="17" t="s">
        <v>55</v>
      </c>
      <c r="B465" s="18" t="s">
        <v>223</v>
      </c>
      <c r="C465" s="19" t="s">
        <v>54</v>
      </c>
      <c r="D465" s="18" t="s">
        <v>34</v>
      </c>
      <c r="E465" s="3">
        <v>849000</v>
      </c>
      <c r="F465" s="17">
        <v>43732</v>
      </c>
      <c r="G465" s="3">
        <v>849000</v>
      </c>
      <c r="H465" s="2">
        <v>1.4999999999999999E-2</v>
      </c>
      <c r="I465" s="17">
        <v>43800</v>
      </c>
      <c r="J465" s="17">
        <v>43830</v>
      </c>
      <c r="K465" s="3">
        <f>J465-I465+1</f>
        <v>31</v>
      </c>
      <c r="L465" s="3">
        <f>ROUND(G465*H465*K465/365,0)</f>
        <v>1082</v>
      </c>
      <c r="M465" s="3">
        <v>849000</v>
      </c>
    </row>
    <row r="466" spans="1:13" s="16" customFormat="1" outlineLevel="2">
      <c r="A466" s="17" t="s">
        <v>55</v>
      </c>
      <c r="B466" s="18" t="s">
        <v>241</v>
      </c>
      <c r="C466" s="19" t="s">
        <v>54</v>
      </c>
      <c r="D466" s="18" t="s">
        <v>34</v>
      </c>
      <c r="E466" s="3">
        <v>27422000</v>
      </c>
      <c r="F466" s="17">
        <v>43733</v>
      </c>
      <c r="G466" s="3">
        <v>27422000</v>
      </c>
      <c r="H466" s="2">
        <v>1.4999999999999999E-2</v>
      </c>
      <c r="I466" s="17">
        <v>43800</v>
      </c>
      <c r="J466" s="17">
        <v>43830</v>
      </c>
      <c r="K466" s="3">
        <f>J466-I466+1</f>
        <v>31</v>
      </c>
      <c r="L466" s="3">
        <f>ROUND(G466*H466*K466/365,0)</f>
        <v>34935</v>
      </c>
      <c r="M466" s="3">
        <v>27422000</v>
      </c>
    </row>
    <row r="467" spans="1:13" s="16" customFormat="1" outlineLevel="2">
      <c r="A467" s="17" t="s">
        <v>55</v>
      </c>
      <c r="B467" s="18" t="s">
        <v>240</v>
      </c>
      <c r="C467" s="19" t="s">
        <v>51</v>
      </c>
      <c r="D467" s="18" t="s">
        <v>50</v>
      </c>
      <c r="E467" s="3">
        <v>8000000</v>
      </c>
      <c r="F467" s="17">
        <v>43720</v>
      </c>
      <c r="G467" s="3">
        <v>8000000</v>
      </c>
      <c r="H467" s="2">
        <v>1.4999999999999999E-2</v>
      </c>
      <c r="I467" s="17">
        <v>43800</v>
      </c>
      <c r="J467" s="17">
        <v>43830</v>
      </c>
      <c r="K467" s="3">
        <f>J467-I467+1</f>
        <v>31</v>
      </c>
      <c r="L467" s="3">
        <f>ROUND(G467*H467*K467/365,0)</f>
        <v>10192</v>
      </c>
      <c r="M467" s="3">
        <v>8000000</v>
      </c>
    </row>
    <row r="468" spans="1:13" s="16" customFormat="1" outlineLevel="2">
      <c r="A468" s="17" t="s">
        <v>55</v>
      </c>
      <c r="B468" s="18" t="s">
        <v>48</v>
      </c>
      <c r="C468" s="19" t="s">
        <v>54</v>
      </c>
      <c r="D468" s="18" t="s">
        <v>34</v>
      </c>
      <c r="E468" s="3">
        <v>5067000</v>
      </c>
      <c r="F468" s="17">
        <v>43661</v>
      </c>
      <c r="G468" s="3">
        <v>5067000</v>
      </c>
      <c r="H468" s="2">
        <v>1.4999999999999999E-2</v>
      </c>
      <c r="I468" s="17">
        <v>43800</v>
      </c>
      <c r="J468" s="17">
        <v>43830</v>
      </c>
      <c r="K468" s="3">
        <f>J468-I468+1</f>
        <v>31</v>
      </c>
      <c r="L468" s="3">
        <f>ROUND(G468*H468*K468/365,0)</f>
        <v>6455</v>
      </c>
      <c r="M468" s="3">
        <v>5067000</v>
      </c>
    </row>
    <row r="469" spans="1:13" s="16" customFormat="1" outlineLevel="2">
      <c r="A469" s="17" t="s">
        <v>55</v>
      </c>
      <c r="B469" s="18" t="s">
        <v>239</v>
      </c>
      <c r="C469" s="19" t="s">
        <v>159</v>
      </c>
      <c r="D469" s="18" t="s">
        <v>158</v>
      </c>
      <c r="E469" s="3">
        <v>22068000</v>
      </c>
      <c r="F469" s="17">
        <v>43725</v>
      </c>
      <c r="G469" s="3">
        <v>22068000</v>
      </c>
      <c r="H469" s="2">
        <v>1.4999999999999999E-2</v>
      </c>
      <c r="I469" s="17">
        <v>43800</v>
      </c>
      <c r="J469" s="17">
        <v>43830</v>
      </c>
      <c r="K469" s="3">
        <f>J469-I469+1</f>
        <v>31</v>
      </c>
      <c r="L469" s="3">
        <f>ROUND(G469*H469*K469/365,0)</f>
        <v>28114</v>
      </c>
      <c r="M469" s="3">
        <v>22068000</v>
      </c>
    </row>
    <row r="470" spans="1:13" s="16" customFormat="1" outlineLevel="2">
      <c r="A470" s="17" t="s">
        <v>55</v>
      </c>
      <c r="B470" s="18" t="s">
        <v>238</v>
      </c>
      <c r="C470" s="19" t="s">
        <v>159</v>
      </c>
      <c r="D470" s="18" t="s">
        <v>158</v>
      </c>
      <c r="E470" s="3">
        <v>4287000</v>
      </c>
      <c r="F470" s="17">
        <v>43725</v>
      </c>
      <c r="G470" s="3">
        <v>4287000</v>
      </c>
      <c r="H470" s="2">
        <v>1.4999999999999999E-2</v>
      </c>
      <c r="I470" s="17">
        <v>43800</v>
      </c>
      <c r="J470" s="17">
        <v>43830</v>
      </c>
      <c r="K470" s="3">
        <f>J470-I470+1</f>
        <v>31</v>
      </c>
      <c r="L470" s="3">
        <f>ROUND(G470*H470*K470/365,0)</f>
        <v>5462</v>
      </c>
      <c r="M470" s="3">
        <v>4287000</v>
      </c>
    </row>
    <row r="471" spans="1:13" s="16" customFormat="1" outlineLevel="2">
      <c r="A471" s="17" t="s">
        <v>55</v>
      </c>
      <c r="B471" s="18" t="s">
        <v>237</v>
      </c>
      <c r="C471" s="19" t="s">
        <v>183</v>
      </c>
      <c r="D471" s="18" t="s">
        <v>182</v>
      </c>
      <c r="E471" s="3">
        <v>11420000</v>
      </c>
      <c r="F471" s="17">
        <v>43710</v>
      </c>
      <c r="G471" s="3">
        <v>11420000</v>
      </c>
      <c r="H471" s="2">
        <v>5.0000000000000001E-3</v>
      </c>
      <c r="I471" s="17">
        <v>43800</v>
      </c>
      <c r="J471" s="17">
        <v>43830</v>
      </c>
      <c r="K471" s="3">
        <f>J471-I471+1</f>
        <v>31</v>
      </c>
      <c r="L471" s="3">
        <f>ROUND(G471*H471*K471/365,0)</f>
        <v>4850</v>
      </c>
      <c r="M471" s="3">
        <v>11420000</v>
      </c>
    </row>
    <row r="472" spans="1:13" s="16" customFormat="1" outlineLevel="2">
      <c r="A472" s="17" t="s">
        <v>55</v>
      </c>
      <c r="B472" s="18" t="s">
        <v>236</v>
      </c>
      <c r="C472" s="19" t="s">
        <v>183</v>
      </c>
      <c r="D472" s="18" t="s">
        <v>182</v>
      </c>
      <c r="E472" s="3">
        <v>9999884</v>
      </c>
      <c r="F472" s="17">
        <v>43733</v>
      </c>
      <c r="G472" s="3">
        <v>9999884</v>
      </c>
      <c r="H472" s="2">
        <v>5.0000000000000001E-3</v>
      </c>
      <c r="I472" s="17">
        <v>43800</v>
      </c>
      <c r="J472" s="17">
        <v>43830</v>
      </c>
      <c r="K472" s="3">
        <f>J472-I472+1</f>
        <v>31</v>
      </c>
      <c r="L472" s="3">
        <f>ROUND(G472*H472*K472/365,0)</f>
        <v>4247</v>
      </c>
      <c r="M472" s="3">
        <v>9999884</v>
      </c>
    </row>
    <row r="473" spans="1:13" s="16" customFormat="1" outlineLevel="2">
      <c r="A473" s="17" t="s">
        <v>55</v>
      </c>
      <c r="B473" s="18" t="s">
        <v>235</v>
      </c>
      <c r="C473" s="19" t="s">
        <v>188</v>
      </c>
      <c r="D473" s="18" t="s">
        <v>187</v>
      </c>
      <c r="E473" s="3">
        <v>19052000</v>
      </c>
      <c r="F473" s="17">
        <v>43720</v>
      </c>
      <c r="G473" s="3">
        <v>19052000</v>
      </c>
      <c r="H473" s="2">
        <v>1.4999999999999999E-2</v>
      </c>
      <c r="I473" s="17">
        <v>43800</v>
      </c>
      <c r="J473" s="17">
        <v>43830</v>
      </c>
      <c r="K473" s="3">
        <f>J473-I473+1</f>
        <v>31</v>
      </c>
      <c r="L473" s="3">
        <f>ROUND(G473*H473*K473/365,0)</f>
        <v>24272</v>
      </c>
      <c r="M473" s="3">
        <v>19052000</v>
      </c>
    </row>
    <row r="474" spans="1:13" s="16" customFormat="1" outlineLevel="2">
      <c r="A474" s="17" t="s">
        <v>55</v>
      </c>
      <c r="B474" s="18" t="s">
        <v>234</v>
      </c>
      <c r="C474" s="19" t="s">
        <v>188</v>
      </c>
      <c r="D474" s="18" t="s">
        <v>187</v>
      </c>
      <c r="E474" s="3">
        <v>5878000</v>
      </c>
      <c r="F474" s="17">
        <v>43738</v>
      </c>
      <c r="G474" s="3">
        <v>5878000</v>
      </c>
      <c r="H474" s="2">
        <v>1.4999999999999999E-2</v>
      </c>
      <c r="I474" s="17">
        <v>43800</v>
      </c>
      <c r="J474" s="17">
        <v>43830</v>
      </c>
      <c r="K474" s="3">
        <f>J474-I474+1</f>
        <v>31</v>
      </c>
      <c r="L474" s="3">
        <f>ROUND(G474*H474*K474/365,0)</f>
        <v>7488</v>
      </c>
      <c r="M474" s="3">
        <v>5878000</v>
      </c>
    </row>
    <row r="475" spans="1:13" s="16" customFormat="1" outlineLevel="2">
      <c r="A475" s="17" t="s">
        <v>55</v>
      </c>
      <c r="B475" s="18" t="s">
        <v>231</v>
      </c>
      <c r="C475" s="19" t="s">
        <v>188</v>
      </c>
      <c r="D475" s="18" t="s">
        <v>187</v>
      </c>
      <c r="E475" s="3">
        <v>26351000</v>
      </c>
      <c r="F475" s="17">
        <v>43720</v>
      </c>
      <c r="G475" s="3">
        <v>26351000</v>
      </c>
      <c r="H475" s="2">
        <v>1.4999999999999999E-2</v>
      </c>
      <c r="I475" s="17">
        <v>43800</v>
      </c>
      <c r="J475" s="17">
        <v>43830</v>
      </c>
      <c r="K475" s="3">
        <f>J475-I475+1</f>
        <v>31</v>
      </c>
      <c r="L475" s="3">
        <f>ROUND(G475*H475*K475/365,0)</f>
        <v>33570</v>
      </c>
      <c r="M475" s="3">
        <v>26351000</v>
      </c>
    </row>
    <row r="476" spans="1:13" s="16" customFormat="1" outlineLevel="2">
      <c r="A476" s="17" t="s">
        <v>55</v>
      </c>
      <c r="B476" s="18" t="s">
        <v>268</v>
      </c>
      <c r="C476" s="19" t="s">
        <v>188</v>
      </c>
      <c r="D476" s="18" t="s">
        <v>187</v>
      </c>
      <c r="E476" s="3">
        <v>5866000</v>
      </c>
      <c r="F476" s="17">
        <v>43738</v>
      </c>
      <c r="G476" s="3">
        <v>5866000</v>
      </c>
      <c r="H476" s="2">
        <v>1.4999999999999999E-2</v>
      </c>
      <c r="I476" s="17">
        <v>43800</v>
      </c>
      <c r="J476" s="17">
        <v>43830</v>
      </c>
      <c r="K476" s="3">
        <f>J476-I476+1</f>
        <v>31</v>
      </c>
      <c r="L476" s="3">
        <f>ROUND(G476*H476*K476/365,0)</f>
        <v>7473</v>
      </c>
      <c r="M476" s="3">
        <v>5866000</v>
      </c>
    </row>
    <row r="477" spans="1:13" s="16" customFormat="1" outlineLevel="2">
      <c r="A477" s="17" t="s">
        <v>55</v>
      </c>
      <c r="B477" s="18" t="s">
        <v>267</v>
      </c>
      <c r="C477" s="19" t="s">
        <v>185</v>
      </c>
      <c r="D477" s="18" t="s">
        <v>184</v>
      </c>
      <c r="E477" s="3">
        <v>46670000</v>
      </c>
      <c r="F477" s="17">
        <v>43718</v>
      </c>
      <c r="G477" s="3">
        <v>46670000</v>
      </c>
      <c r="H477" s="2">
        <v>5.0000000000000001E-3</v>
      </c>
      <c r="I477" s="17">
        <v>43800</v>
      </c>
      <c r="J477" s="17">
        <v>43830</v>
      </c>
      <c r="K477" s="3">
        <f>J477-I477+1</f>
        <v>31</v>
      </c>
      <c r="L477" s="3">
        <f>ROUND(G477*H477*K477/365,0)</f>
        <v>19819</v>
      </c>
      <c r="M477" s="3">
        <v>46670000</v>
      </c>
    </row>
    <row r="478" spans="1:13" s="16" customFormat="1" outlineLevel="2">
      <c r="A478" s="17" t="s">
        <v>55</v>
      </c>
      <c r="B478" s="18" t="s">
        <v>266</v>
      </c>
      <c r="C478" s="19" t="s">
        <v>265</v>
      </c>
      <c r="D478" s="18" t="s">
        <v>264</v>
      </c>
      <c r="E478" s="3">
        <v>1587000</v>
      </c>
      <c r="F478" s="17">
        <v>43735</v>
      </c>
      <c r="G478" s="3">
        <v>1587000</v>
      </c>
      <c r="H478" s="2">
        <v>1.4999999999999999E-2</v>
      </c>
      <c r="I478" s="17">
        <v>43800</v>
      </c>
      <c r="J478" s="17">
        <v>43830</v>
      </c>
      <c r="K478" s="3">
        <f>J478-I478+1</f>
        <v>31</v>
      </c>
      <c r="L478" s="3">
        <f>ROUND(G478*H478*K478/365,0)</f>
        <v>2022</v>
      </c>
      <c r="M478" s="3">
        <v>1587000</v>
      </c>
    </row>
    <row r="479" spans="1:13" s="16" customFormat="1" outlineLevel="2">
      <c r="A479" s="17" t="s">
        <v>55</v>
      </c>
      <c r="B479" s="18" t="s">
        <v>47</v>
      </c>
      <c r="C479" s="19" t="s">
        <v>54</v>
      </c>
      <c r="D479" s="18" t="s">
        <v>34</v>
      </c>
      <c r="E479" s="3">
        <v>1214000</v>
      </c>
      <c r="F479" s="17">
        <v>43664</v>
      </c>
      <c r="G479" s="3">
        <v>1214000</v>
      </c>
      <c r="H479" s="2">
        <v>1.4999999999999999E-2</v>
      </c>
      <c r="I479" s="17">
        <v>43800</v>
      </c>
      <c r="J479" s="17">
        <v>43830</v>
      </c>
      <c r="K479" s="3">
        <f>J479-I479+1</f>
        <v>31</v>
      </c>
      <c r="L479" s="3">
        <f>ROUND(G479*H479*K479/365,0)</f>
        <v>1547</v>
      </c>
      <c r="M479" s="3">
        <v>1214000</v>
      </c>
    </row>
    <row r="480" spans="1:13" s="16" customFormat="1" outlineLevel="2">
      <c r="A480" s="17" t="s">
        <v>55</v>
      </c>
      <c r="B480" s="18" t="s">
        <v>263</v>
      </c>
      <c r="C480" s="19" t="s">
        <v>260</v>
      </c>
      <c r="D480" s="18" t="s">
        <v>259</v>
      </c>
      <c r="E480" s="3">
        <v>14100000</v>
      </c>
      <c r="F480" s="17">
        <v>43731</v>
      </c>
      <c r="G480" s="3">
        <v>14100000</v>
      </c>
      <c r="H480" s="2">
        <v>5.0000000000000001E-3</v>
      </c>
      <c r="I480" s="17">
        <v>43800</v>
      </c>
      <c r="J480" s="17">
        <v>43830</v>
      </c>
      <c r="K480" s="3">
        <f>J480-I480+1</f>
        <v>31</v>
      </c>
      <c r="L480" s="3">
        <f>ROUND(G480*H480*K480/365,0)</f>
        <v>5988</v>
      </c>
      <c r="M480" s="3">
        <v>14100000</v>
      </c>
    </row>
    <row r="481" spans="1:13" s="16" customFormat="1" outlineLevel="2">
      <c r="A481" s="17" t="s">
        <v>55</v>
      </c>
      <c r="B481" s="18" t="s">
        <v>262</v>
      </c>
      <c r="C481" s="19" t="s">
        <v>260</v>
      </c>
      <c r="D481" s="18" t="s">
        <v>259</v>
      </c>
      <c r="E481" s="3">
        <v>12070000</v>
      </c>
      <c r="F481" s="17">
        <v>43731</v>
      </c>
      <c r="G481" s="3">
        <v>12070000</v>
      </c>
      <c r="H481" s="2">
        <v>5.0000000000000001E-3</v>
      </c>
      <c r="I481" s="17">
        <v>43800</v>
      </c>
      <c r="J481" s="17">
        <v>43830</v>
      </c>
      <c r="K481" s="3">
        <f>J481-I481+1</f>
        <v>31</v>
      </c>
      <c r="L481" s="3">
        <f>ROUND(G481*H481*K481/365,0)</f>
        <v>5126</v>
      </c>
      <c r="M481" s="3">
        <v>12070000</v>
      </c>
    </row>
    <row r="482" spans="1:13" s="16" customFormat="1" outlineLevel="2">
      <c r="A482" s="17" t="s">
        <v>55</v>
      </c>
      <c r="B482" s="18" t="s">
        <v>261</v>
      </c>
      <c r="C482" s="19" t="s">
        <v>260</v>
      </c>
      <c r="D482" s="18" t="s">
        <v>259</v>
      </c>
      <c r="E482" s="3">
        <v>12830000</v>
      </c>
      <c r="F482" s="17">
        <v>43731</v>
      </c>
      <c r="G482" s="3">
        <v>12830000</v>
      </c>
      <c r="H482" s="2">
        <v>5.0000000000000001E-3</v>
      </c>
      <c r="I482" s="17">
        <v>43800</v>
      </c>
      <c r="J482" s="17">
        <v>43830</v>
      </c>
      <c r="K482" s="3">
        <f>J482-I482+1</f>
        <v>31</v>
      </c>
      <c r="L482" s="3">
        <f>ROUND(G482*H482*K482/365,0)</f>
        <v>5448</v>
      </c>
      <c r="M482" s="3">
        <v>12830000</v>
      </c>
    </row>
    <row r="483" spans="1:13" s="16" customFormat="1" outlineLevel="2">
      <c r="A483" s="17" t="s">
        <v>55</v>
      </c>
      <c r="B483" s="18" t="s">
        <v>258</v>
      </c>
      <c r="C483" s="19" t="s">
        <v>257</v>
      </c>
      <c r="D483" s="18" t="s">
        <v>256</v>
      </c>
      <c r="E483" s="3">
        <v>201000</v>
      </c>
      <c r="F483" s="17">
        <v>43735</v>
      </c>
      <c r="G483" s="3">
        <v>201000</v>
      </c>
      <c r="H483" s="2">
        <v>1.4999999999999999E-2</v>
      </c>
      <c r="I483" s="17">
        <v>43800</v>
      </c>
      <c r="J483" s="17">
        <v>43830</v>
      </c>
      <c r="K483" s="3">
        <f>J483-I483+1</f>
        <v>31</v>
      </c>
      <c r="L483" s="3">
        <f>ROUND(G483*H483*K483/365,0)</f>
        <v>256</v>
      </c>
      <c r="M483" s="3">
        <v>201000</v>
      </c>
    </row>
    <row r="484" spans="1:13" s="16" customFormat="1" outlineLevel="2">
      <c r="A484" s="17" t="s">
        <v>55</v>
      </c>
      <c r="B484" s="18" t="s">
        <v>255</v>
      </c>
      <c r="C484" s="19" t="s">
        <v>253</v>
      </c>
      <c r="D484" s="18" t="s">
        <v>252</v>
      </c>
      <c r="E484" s="3">
        <v>12000000</v>
      </c>
      <c r="F484" s="17">
        <v>43735</v>
      </c>
      <c r="G484" s="3">
        <v>12000000</v>
      </c>
      <c r="H484" s="2">
        <v>5.0000000000000001E-3</v>
      </c>
      <c r="I484" s="17">
        <v>43800</v>
      </c>
      <c r="J484" s="17">
        <v>43830</v>
      </c>
      <c r="K484" s="3">
        <f>J484-I484+1</f>
        <v>31</v>
      </c>
      <c r="L484" s="3">
        <f>ROUND(G484*H484*K484/365,0)</f>
        <v>5096</v>
      </c>
      <c r="M484" s="3">
        <v>12000000</v>
      </c>
    </row>
    <row r="485" spans="1:13" s="16" customFormat="1" outlineLevel="2">
      <c r="A485" s="17" t="s">
        <v>55</v>
      </c>
      <c r="B485" s="18" t="s">
        <v>254</v>
      </c>
      <c r="C485" s="19" t="s">
        <v>253</v>
      </c>
      <c r="D485" s="18" t="s">
        <v>252</v>
      </c>
      <c r="E485" s="3">
        <v>38000000</v>
      </c>
      <c r="F485" s="17">
        <v>43735</v>
      </c>
      <c r="G485" s="3">
        <v>38000000</v>
      </c>
      <c r="H485" s="2">
        <v>5.0000000000000001E-3</v>
      </c>
      <c r="I485" s="17">
        <v>43800</v>
      </c>
      <c r="J485" s="17">
        <v>43830</v>
      </c>
      <c r="K485" s="3">
        <f>J485-I485+1</f>
        <v>31</v>
      </c>
      <c r="L485" s="3">
        <f>ROUND(G485*H485*K485/365,0)</f>
        <v>16137</v>
      </c>
      <c r="M485" s="3">
        <v>38000000</v>
      </c>
    </row>
    <row r="486" spans="1:13" s="16" customFormat="1" outlineLevel="2">
      <c r="A486" s="17" t="s">
        <v>55</v>
      </c>
      <c r="B486" s="18" t="s">
        <v>306</v>
      </c>
      <c r="C486" s="19" t="s">
        <v>54</v>
      </c>
      <c r="D486" s="18" t="s">
        <v>34</v>
      </c>
      <c r="E486" s="3">
        <v>5987000</v>
      </c>
      <c r="F486" s="17">
        <v>43739</v>
      </c>
      <c r="G486" s="3">
        <v>5987000</v>
      </c>
      <c r="H486" s="2">
        <v>1.4999999999999999E-2</v>
      </c>
      <c r="I486" s="17">
        <v>43800</v>
      </c>
      <c r="J486" s="17">
        <v>43830</v>
      </c>
      <c r="K486" s="3">
        <f>J486-I486+1</f>
        <v>31</v>
      </c>
      <c r="L486" s="3">
        <f>ROUND(G486*H486*K486/365,0)</f>
        <v>7627</v>
      </c>
      <c r="M486" s="3">
        <v>5987000</v>
      </c>
    </row>
    <row r="487" spans="1:13" s="16" customFormat="1" outlineLevel="2">
      <c r="A487" s="17" t="s">
        <v>55</v>
      </c>
      <c r="B487" s="18" t="s">
        <v>305</v>
      </c>
      <c r="C487" s="19" t="s">
        <v>54</v>
      </c>
      <c r="D487" s="18" t="s">
        <v>34</v>
      </c>
      <c r="E487" s="3">
        <v>62422000</v>
      </c>
      <c r="F487" s="17">
        <v>43745</v>
      </c>
      <c r="G487" s="3">
        <v>62422000</v>
      </c>
      <c r="H487" s="2">
        <v>1.4999999999999999E-2</v>
      </c>
      <c r="I487" s="17">
        <v>43800</v>
      </c>
      <c r="J487" s="17">
        <v>43830</v>
      </c>
      <c r="K487" s="3">
        <f>J487-I487+1</f>
        <v>31</v>
      </c>
      <c r="L487" s="3">
        <f>ROUND(G487*H487*K487/365,0)</f>
        <v>79524</v>
      </c>
      <c r="M487" s="3">
        <v>62422000</v>
      </c>
    </row>
    <row r="488" spans="1:13" s="16" customFormat="1" outlineLevel="2">
      <c r="A488" s="17" t="s">
        <v>55</v>
      </c>
      <c r="B488" s="18" t="s">
        <v>304</v>
      </c>
      <c r="C488" s="19" t="s">
        <v>54</v>
      </c>
      <c r="D488" s="18" t="s">
        <v>34</v>
      </c>
      <c r="E488" s="3">
        <v>8502000</v>
      </c>
      <c r="F488" s="17">
        <v>43753</v>
      </c>
      <c r="G488" s="3">
        <v>8502000</v>
      </c>
      <c r="H488" s="2">
        <v>1.4999999999999999E-2</v>
      </c>
      <c r="I488" s="17">
        <v>43800</v>
      </c>
      <c r="J488" s="17">
        <v>43830</v>
      </c>
      <c r="K488" s="3">
        <f>J488-I488+1</f>
        <v>31</v>
      </c>
      <c r="L488" s="3">
        <f>ROUND(G488*H488*K488/365,0)</f>
        <v>10831</v>
      </c>
      <c r="M488" s="3">
        <v>8502000</v>
      </c>
    </row>
    <row r="489" spans="1:13" s="16" customFormat="1" outlineLevel="2">
      <c r="A489" s="17" t="s">
        <v>55</v>
      </c>
      <c r="B489" s="18" t="s">
        <v>303</v>
      </c>
      <c r="C489" s="19" t="s">
        <v>54</v>
      </c>
      <c r="D489" s="18" t="s">
        <v>34</v>
      </c>
      <c r="E489" s="3">
        <v>24444000</v>
      </c>
      <c r="F489" s="17">
        <v>43763</v>
      </c>
      <c r="G489" s="3">
        <v>24444000</v>
      </c>
      <c r="H489" s="2">
        <v>1.4999999999999999E-2</v>
      </c>
      <c r="I489" s="17">
        <v>43800</v>
      </c>
      <c r="J489" s="17">
        <v>43830</v>
      </c>
      <c r="K489" s="3">
        <f>J489-I489+1</f>
        <v>31</v>
      </c>
      <c r="L489" s="3">
        <f>ROUND(G489*H489*K489/365,0)</f>
        <v>31141</v>
      </c>
      <c r="M489" s="3">
        <v>24444000</v>
      </c>
    </row>
    <row r="490" spans="1:13" s="16" customFormat="1" outlineLevel="2">
      <c r="A490" s="17" t="s">
        <v>55</v>
      </c>
      <c r="B490" s="18" t="s">
        <v>46</v>
      </c>
      <c r="C490" s="19" t="s">
        <v>54</v>
      </c>
      <c r="D490" s="18" t="s">
        <v>34</v>
      </c>
      <c r="E490" s="3">
        <v>8346000</v>
      </c>
      <c r="F490" s="17">
        <v>43671</v>
      </c>
      <c r="G490" s="3">
        <v>8346000</v>
      </c>
      <c r="H490" s="2">
        <v>1.4999999999999999E-2</v>
      </c>
      <c r="I490" s="17">
        <v>43800</v>
      </c>
      <c r="J490" s="17">
        <v>43830</v>
      </c>
      <c r="K490" s="3">
        <f>J490-I490+1</f>
        <v>31</v>
      </c>
      <c r="L490" s="3">
        <f>ROUND(G490*H490*K490/365,0)</f>
        <v>10633</v>
      </c>
      <c r="M490" s="3">
        <v>8346000</v>
      </c>
    </row>
    <row r="491" spans="1:13" s="16" customFormat="1" outlineLevel="2">
      <c r="A491" s="17" t="s">
        <v>55</v>
      </c>
      <c r="B491" s="18" t="s">
        <v>302</v>
      </c>
      <c r="C491" s="19" t="s">
        <v>43</v>
      </c>
      <c r="D491" s="18" t="s">
        <v>26</v>
      </c>
      <c r="E491" s="3">
        <v>41244100</v>
      </c>
      <c r="F491" s="17">
        <v>43746</v>
      </c>
      <c r="G491" s="3">
        <v>41244100</v>
      </c>
      <c r="H491" s="2">
        <v>1.4999999999999999E-2</v>
      </c>
      <c r="I491" s="17">
        <v>43800</v>
      </c>
      <c r="J491" s="17">
        <v>43830</v>
      </c>
      <c r="K491" s="3">
        <f>J491-I491+1</f>
        <v>31</v>
      </c>
      <c r="L491" s="3">
        <f>ROUND(G491*H491*K491/365,0)</f>
        <v>52544</v>
      </c>
      <c r="M491" s="3">
        <v>41244100</v>
      </c>
    </row>
    <row r="492" spans="1:13" s="16" customFormat="1" outlineLevel="2">
      <c r="A492" s="17" t="s">
        <v>55</v>
      </c>
      <c r="B492" s="18" t="s">
        <v>301</v>
      </c>
      <c r="C492" s="19" t="s">
        <v>43</v>
      </c>
      <c r="D492" s="18" t="s">
        <v>26</v>
      </c>
      <c r="E492" s="3">
        <v>101169264</v>
      </c>
      <c r="F492" s="17">
        <v>43756</v>
      </c>
      <c r="G492" s="3">
        <v>101169264</v>
      </c>
      <c r="H492" s="2">
        <v>1.4999999999999999E-2</v>
      </c>
      <c r="I492" s="17">
        <v>43800</v>
      </c>
      <c r="J492" s="17">
        <v>43830</v>
      </c>
      <c r="K492" s="3">
        <f>J492-I492+1</f>
        <v>31</v>
      </c>
      <c r="L492" s="3">
        <f>ROUND(G492*H492*K492/365,0)</f>
        <v>128887</v>
      </c>
      <c r="M492" s="3">
        <v>101169264</v>
      </c>
    </row>
    <row r="493" spans="1:13" s="16" customFormat="1" outlineLevel="2">
      <c r="A493" s="17" t="s">
        <v>55</v>
      </c>
      <c r="B493" s="18" t="s">
        <v>300</v>
      </c>
      <c r="C493" s="19" t="s">
        <v>43</v>
      </c>
      <c r="D493" s="18" t="s">
        <v>26</v>
      </c>
      <c r="E493" s="3">
        <v>5540262</v>
      </c>
      <c r="F493" s="17">
        <v>43766</v>
      </c>
      <c r="G493" s="3">
        <v>5540262</v>
      </c>
      <c r="H493" s="2">
        <v>1.4999999999999999E-2</v>
      </c>
      <c r="I493" s="17">
        <v>43800</v>
      </c>
      <c r="J493" s="17">
        <v>43830</v>
      </c>
      <c r="K493" s="3">
        <f>J493-I493+1</f>
        <v>31</v>
      </c>
      <c r="L493" s="3">
        <f>ROUND(G493*H493*K493/365,0)</f>
        <v>7058</v>
      </c>
      <c r="M493" s="3">
        <v>5540262</v>
      </c>
    </row>
    <row r="494" spans="1:13" s="16" customFormat="1" outlineLevel="2">
      <c r="A494" s="17" t="s">
        <v>55</v>
      </c>
      <c r="B494" s="18" t="s">
        <v>299</v>
      </c>
      <c r="C494" s="19" t="s">
        <v>43</v>
      </c>
      <c r="D494" s="18" t="s">
        <v>26</v>
      </c>
      <c r="E494" s="3">
        <v>14596626</v>
      </c>
      <c r="F494" s="17">
        <v>43756</v>
      </c>
      <c r="G494" s="3">
        <v>14596626</v>
      </c>
      <c r="H494" s="2">
        <v>1.4999999999999999E-2</v>
      </c>
      <c r="I494" s="17">
        <v>43800</v>
      </c>
      <c r="J494" s="17">
        <v>43830</v>
      </c>
      <c r="K494" s="3">
        <f>J494-I494+1</f>
        <v>31</v>
      </c>
      <c r="L494" s="3">
        <f>ROUND(G494*H494*K494/365,0)</f>
        <v>18596</v>
      </c>
      <c r="M494" s="3">
        <v>14596626</v>
      </c>
    </row>
    <row r="495" spans="1:13" s="16" customFormat="1" outlineLevel="2">
      <c r="A495" s="17" t="s">
        <v>55</v>
      </c>
      <c r="B495" s="18" t="s">
        <v>298</v>
      </c>
      <c r="C495" s="19" t="s">
        <v>159</v>
      </c>
      <c r="D495" s="18" t="s">
        <v>158</v>
      </c>
      <c r="E495" s="3">
        <v>22987000</v>
      </c>
      <c r="F495" s="17">
        <v>43755</v>
      </c>
      <c r="G495" s="3">
        <v>22987000</v>
      </c>
      <c r="H495" s="2">
        <v>1.4999999999999999E-2</v>
      </c>
      <c r="I495" s="17">
        <v>43800</v>
      </c>
      <c r="J495" s="17">
        <v>43830</v>
      </c>
      <c r="K495" s="3">
        <f>J495-I495+1</f>
        <v>31</v>
      </c>
      <c r="L495" s="3">
        <f>ROUND(G495*H495*K495/365,0)</f>
        <v>29285</v>
      </c>
      <c r="M495" s="3">
        <v>22987000</v>
      </c>
    </row>
    <row r="496" spans="1:13" s="16" customFormat="1" outlineLevel="2">
      <c r="A496" s="17" t="s">
        <v>55</v>
      </c>
      <c r="B496" s="18" t="s">
        <v>297</v>
      </c>
      <c r="C496" s="19" t="s">
        <v>159</v>
      </c>
      <c r="D496" s="18" t="s">
        <v>158</v>
      </c>
      <c r="E496" s="3">
        <v>6842000</v>
      </c>
      <c r="F496" s="17">
        <v>43755</v>
      </c>
      <c r="G496" s="3">
        <v>6842000</v>
      </c>
      <c r="H496" s="2">
        <v>1.4999999999999999E-2</v>
      </c>
      <c r="I496" s="17">
        <v>43800</v>
      </c>
      <c r="J496" s="17">
        <v>43830</v>
      </c>
      <c r="K496" s="3">
        <f>J496-I496+1</f>
        <v>31</v>
      </c>
      <c r="L496" s="3">
        <f>ROUND(G496*H496*K496/365,0)</f>
        <v>8717</v>
      </c>
      <c r="M496" s="3">
        <v>6842000</v>
      </c>
    </row>
    <row r="497" spans="1:13" s="16" customFormat="1" outlineLevel="2">
      <c r="A497" s="17" t="s">
        <v>55</v>
      </c>
      <c r="B497" s="18" t="s">
        <v>296</v>
      </c>
      <c r="C497" s="19" t="s">
        <v>183</v>
      </c>
      <c r="D497" s="18" t="s">
        <v>182</v>
      </c>
      <c r="E497" s="3">
        <v>6595034</v>
      </c>
      <c r="F497" s="17">
        <v>43753</v>
      </c>
      <c r="G497" s="3">
        <v>6595034</v>
      </c>
      <c r="H497" s="2">
        <v>5.0000000000000001E-3</v>
      </c>
      <c r="I497" s="17">
        <v>43800</v>
      </c>
      <c r="J497" s="17">
        <v>43830</v>
      </c>
      <c r="K497" s="3">
        <f>J497-I497+1</f>
        <v>31</v>
      </c>
      <c r="L497" s="3">
        <f>ROUND(G497*H497*K497/365,0)</f>
        <v>2801</v>
      </c>
      <c r="M497" s="3">
        <v>6595034</v>
      </c>
    </row>
    <row r="498" spans="1:13" s="16" customFormat="1" outlineLevel="2">
      <c r="A498" s="17" t="s">
        <v>55</v>
      </c>
      <c r="B498" s="18" t="s">
        <v>295</v>
      </c>
      <c r="C498" s="19" t="s">
        <v>188</v>
      </c>
      <c r="D498" s="18" t="s">
        <v>187</v>
      </c>
      <c r="E498" s="3">
        <v>33060000</v>
      </c>
      <c r="F498" s="17">
        <v>43766</v>
      </c>
      <c r="G498" s="3">
        <v>33060000</v>
      </c>
      <c r="H498" s="2">
        <v>1.4999999999999999E-2</v>
      </c>
      <c r="I498" s="17">
        <v>43800</v>
      </c>
      <c r="J498" s="17">
        <v>43830</v>
      </c>
      <c r="K498" s="3">
        <f>J498-I498+1</f>
        <v>31</v>
      </c>
      <c r="L498" s="3">
        <f>ROUND(G498*H498*K498/365,0)</f>
        <v>42118</v>
      </c>
      <c r="M498" s="3">
        <v>33060000</v>
      </c>
    </row>
    <row r="499" spans="1:13" s="16" customFormat="1" outlineLevel="2">
      <c r="A499" s="17" t="s">
        <v>55</v>
      </c>
      <c r="B499" s="18" t="s">
        <v>294</v>
      </c>
      <c r="C499" s="19" t="s">
        <v>188</v>
      </c>
      <c r="D499" s="18" t="s">
        <v>187</v>
      </c>
      <c r="E499" s="3">
        <v>17233000</v>
      </c>
      <c r="F499" s="17">
        <v>43766</v>
      </c>
      <c r="G499" s="3">
        <v>17233000</v>
      </c>
      <c r="H499" s="2">
        <v>1.4999999999999999E-2</v>
      </c>
      <c r="I499" s="17">
        <v>43800</v>
      </c>
      <c r="J499" s="17">
        <v>43830</v>
      </c>
      <c r="K499" s="3">
        <f>J499-I499+1</f>
        <v>31</v>
      </c>
      <c r="L499" s="3">
        <f>ROUND(G499*H499*K499/365,0)</f>
        <v>21954</v>
      </c>
      <c r="M499" s="3">
        <v>17233000</v>
      </c>
    </row>
    <row r="500" spans="1:13" s="16" customFormat="1" outlineLevel="2">
      <c r="A500" s="17" t="s">
        <v>55</v>
      </c>
      <c r="B500" s="18" t="s">
        <v>293</v>
      </c>
      <c r="C500" s="19" t="s">
        <v>260</v>
      </c>
      <c r="D500" s="18" t="s">
        <v>259</v>
      </c>
      <c r="E500" s="3">
        <v>1249500</v>
      </c>
      <c r="F500" s="17">
        <v>43766</v>
      </c>
      <c r="G500" s="3">
        <v>1249500</v>
      </c>
      <c r="H500" s="2">
        <v>5.0000000000000001E-3</v>
      </c>
      <c r="I500" s="17">
        <v>43800</v>
      </c>
      <c r="J500" s="17">
        <v>43830</v>
      </c>
      <c r="K500" s="3">
        <f>J500-I500+1</f>
        <v>31</v>
      </c>
      <c r="L500" s="3">
        <f>ROUND(G500*H500*K500/365,0)</f>
        <v>531</v>
      </c>
      <c r="M500" s="3">
        <v>1249500</v>
      </c>
    </row>
    <row r="501" spans="1:13" s="16" customFormat="1" outlineLevel="2">
      <c r="A501" s="17" t="s">
        <v>55</v>
      </c>
      <c r="B501" s="18" t="s">
        <v>45</v>
      </c>
      <c r="C501" s="19" t="s">
        <v>54</v>
      </c>
      <c r="D501" s="18" t="s">
        <v>34</v>
      </c>
      <c r="E501" s="3">
        <v>4626000</v>
      </c>
      <c r="F501" s="17">
        <v>43677</v>
      </c>
      <c r="G501" s="3">
        <v>4626000</v>
      </c>
      <c r="H501" s="2">
        <v>1.4999999999999999E-2</v>
      </c>
      <c r="I501" s="17">
        <v>43800</v>
      </c>
      <c r="J501" s="17">
        <v>43830</v>
      </c>
      <c r="K501" s="3">
        <f>J501-I501+1</f>
        <v>31</v>
      </c>
      <c r="L501" s="3">
        <f>ROUND(G501*H501*K501/365,0)</f>
        <v>5893</v>
      </c>
      <c r="M501" s="3">
        <v>4626000</v>
      </c>
    </row>
    <row r="502" spans="1:13" s="16" customFormat="1" outlineLevel="2">
      <c r="A502" s="17" t="s">
        <v>55</v>
      </c>
      <c r="B502" s="18" t="s">
        <v>292</v>
      </c>
      <c r="C502" s="19" t="s">
        <v>260</v>
      </c>
      <c r="D502" s="18" t="s">
        <v>259</v>
      </c>
      <c r="E502" s="3">
        <v>1029000</v>
      </c>
      <c r="F502" s="17">
        <v>43766</v>
      </c>
      <c r="G502" s="3">
        <v>1029000</v>
      </c>
      <c r="H502" s="2">
        <v>5.0000000000000001E-3</v>
      </c>
      <c r="I502" s="17">
        <v>43800</v>
      </c>
      <c r="J502" s="17">
        <v>43830</v>
      </c>
      <c r="K502" s="3">
        <f>J502-I502+1</f>
        <v>31</v>
      </c>
      <c r="L502" s="3">
        <f>ROUND(G502*H502*K502/365,0)</f>
        <v>437</v>
      </c>
      <c r="M502" s="3">
        <v>1029000</v>
      </c>
    </row>
    <row r="503" spans="1:13" s="16" customFormat="1" outlineLevel="2">
      <c r="A503" s="17" t="s">
        <v>55</v>
      </c>
      <c r="B503" s="18" t="s">
        <v>291</v>
      </c>
      <c r="C503" s="19" t="s">
        <v>257</v>
      </c>
      <c r="D503" s="18" t="s">
        <v>256</v>
      </c>
      <c r="E503" s="3">
        <v>535000</v>
      </c>
      <c r="F503" s="17">
        <v>43763</v>
      </c>
      <c r="G503" s="3">
        <v>535000</v>
      </c>
      <c r="H503" s="2">
        <v>1.4999999999999999E-2</v>
      </c>
      <c r="I503" s="17">
        <v>43800</v>
      </c>
      <c r="J503" s="17">
        <v>43830</v>
      </c>
      <c r="K503" s="3">
        <f>J503-I503+1</f>
        <v>31</v>
      </c>
      <c r="L503" s="3">
        <f>ROUND(G503*H503*K503/365,0)</f>
        <v>682</v>
      </c>
      <c r="M503" s="3">
        <v>535000</v>
      </c>
    </row>
    <row r="504" spans="1:13" s="16" customFormat="1" outlineLevel="2">
      <c r="A504" s="17" t="s">
        <v>55</v>
      </c>
      <c r="B504" s="18" t="s">
        <v>290</v>
      </c>
      <c r="C504" s="19" t="s">
        <v>288</v>
      </c>
      <c r="D504" s="18" t="s">
        <v>287</v>
      </c>
      <c r="E504" s="3">
        <v>160000000</v>
      </c>
      <c r="F504" s="17">
        <v>43753</v>
      </c>
      <c r="G504" s="3">
        <v>160000000</v>
      </c>
      <c r="H504" s="2">
        <v>1.4999999999999999E-2</v>
      </c>
      <c r="I504" s="17">
        <v>43800</v>
      </c>
      <c r="J504" s="17">
        <v>43830</v>
      </c>
      <c r="K504" s="3">
        <f>J504-I504+1</f>
        <v>31</v>
      </c>
      <c r="L504" s="3">
        <f>ROUND(G504*H504*K504/365,0)</f>
        <v>203836</v>
      </c>
      <c r="M504" s="3">
        <v>160000000</v>
      </c>
    </row>
    <row r="505" spans="1:13" s="16" customFormat="1" outlineLevel="2">
      <c r="A505" s="17" t="s">
        <v>55</v>
      </c>
      <c r="B505" s="18" t="s">
        <v>289</v>
      </c>
      <c r="C505" s="19" t="s">
        <v>310</v>
      </c>
      <c r="D505" s="18" t="s">
        <v>309</v>
      </c>
      <c r="E505" s="3">
        <v>39500000</v>
      </c>
      <c r="F505" s="17">
        <v>43767</v>
      </c>
      <c r="G505" s="3">
        <v>39500000</v>
      </c>
      <c r="H505" s="2">
        <v>5.0000000000000001E-3</v>
      </c>
      <c r="I505" s="17">
        <v>43800</v>
      </c>
      <c r="J505" s="17">
        <v>43830</v>
      </c>
      <c r="K505" s="3">
        <f>J505-I505+1</f>
        <v>31</v>
      </c>
      <c r="L505" s="3">
        <f>ROUND(G505*H505*K505/365,0)</f>
        <v>16774</v>
      </c>
      <c r="M505" s="3">
        <v>39500000</v>
      </c>
    </row>
    <row r="506" spans="1:13" s="16" customFormat="1" outlineLevel="2">
      <c r="A506" s="17" t="s">
        <v>55</v>
      </c>
      <c r="B506" s="18" t="s">
        <v>324</v>
      </c>
      <c r="C506" s="19" t="s">
        <v>204</v>
      </c>
      <c r="D506" s="18" t="s">
        <v>203</v>
      </c>
      <c r="E506" s="3">
        <v>37200000</v>
      </c>
      <c r="F506" s="17">
        <v>43739</v>
      </c>
      <c r="G506" s="3">
        <v>37200000</v>
      </c>
      <c r="H506" s="2">
        <v>5.0000000000000001E-3</v>
      </c>
      <c r="I506" s="17">
        <v>43800</v>
      </c>
      <c r="J506" s="17">
        <v>43830</v>
      </c>
      <c r="K506" s="3">
        <f>J506-I506+1</f>
        <v>31</v>
      </c>
      <c r="L506" s="3">
        <f>ROUND(G506*H506*K506/365,0)</f>
        <v>15797</v>
      </c>
      <c r="M506" s="3">
        <v>37200000</v>
      </c>
    </row>
    <row r="507" spans="1:13" s="16" customFormat="1" outlineLevel="2">
      <c r="A507" s="17" t="s">
        <v>55</v>
      </c>
      <c r="B507" s="18" t="s">
        <v>323</v>
      </c>
      <c r="C507" s="19" t="s">
        <v>320</v>
      </c>
      <c r="D507" s="18" t="s">
        <v>319</v>
      </c>
      <c r="E507" s="3">
        <v>6794400</v>
      </c>
      <c r="F507" s="17">
        <v>43763</v>
      </c>
      <c r="G507" s="3">
        <v>6794400</v>
      </c>
      <c r="H507" s="2">
        <v>1.4999999999999999E-2</v>
      </c>
      <c r="I507" s="17">
        <v>43800</v>
      </c>
      <c r="J507" s="17">
        <v>43830</v>
      </c>
      <c r="K507" s="3">
        <f>J507-I507+1</f>
        <v>31</v>
      </c>
      <c r="L507" s="3">
        <f>ROUND(G507*H507*K507/365,0)</f>
        <v>8656</v>
      </c>
      <c r="M507" s="3">
        <v>6794400</v>
      </c>
    </row>
    <row r="508" spans="1:13" s="16" customFormat="1" outlineLevel="2">
      <c r="A508" s="17" t="s">
        <v>55</v>
      </c>
      <c r="B508" s="18" t="s">
        <v>322</v>
      </c>
      <c r="C508" s="19" t="s">
        <v>320</v>
      </c>
      <c r="D508" s="18" t="s">
        <v>319</v>
      </c>
      <c r="E508" s="3">
        <v>1013040</v>
      </c>
      <c r="F508" s="17">
        <v>43763</v>
      </c>
      <c r="G508" s="3">
        <v>1013040</v>
      </c>
      <c r="H508" s="2">
        <v>1.4999999999999999E-2</v>
      </c>
      <c r="I508" s="17">
        <v>43800</v>
      </c>
      <c r="J508" s="17">
        <v>43830</v>
      </c>
      <c r="K508" s="3">
        <f>J508-I508+1</f>
        <v>31</v>
      </c>
      <c r="L508" s="3">
        <f>ROUND(G508*H508*K508/365,0)</f>
        <v>1291</v>
      </c>
      <c r="M508" s="3">
        <v>1013040</v>
      </c>
    </row>
    <row r="509" spans="1:13" s="16" customFormat="1" outlineLevel="2">
      <c r="A509" s="17" t="s">
        <v>55</v>
      </c>
      <c r="B509" s="18" t="s">
        <v>321</v>
      </c>
      <c r="C509" s="19" t="s">
        <v>320</v>
      </c>
      <c r="D509" s="18" t="s">
        <v>319</v>
      </c>
      <c r="E509" s="3">
        <v>2176016</v>
      </c>
      <c r="F509" s="17">
        <v>43763</v>
      </c>
      <c r="G509" s="3">
        <v>2176016</v>
      </c>
      <c r="H509" s="2">
        <v>1.4999999999999999E-2</v>
      </c>
      <c r="I509" s="17">
        <v>43800</v>
      </c>
      <c r="J509" s="17">
        <v>43830</v>
      </c>
      <c r="K509" s="3">
        <f>J509-I509+1</f>
        <v>31</v>
      </c>
      <c r="L509" s="3">
        <f>ROUND(G509*H509*K509/365,0)</f>
        <v>2772</v>
      </c>
      <c r="M509" s="3">
        <v>2176016</v>
      </c>
    </row>
    <row r="510" spans="1:13" s="16" customFormat="1" outlineLevel="2">
      <c r="A510" s="17" t="s">
        <v>55</v>
      </c>
      <c r="B510" s="18" t="s">
        <v>318</v>
      </c>
      <c r="C510" s="19" t="s">
        <v>316</v>
      </c>
      <c r="D510" s="18" t="s">
        <v>315</v>
      </c>
      <c r="E510" s="3">
        <v>18312000</v>
      </c>
      <c r="F510" s="17">
        <v>43753</v>
      </c>
      <c r="G510" s="3">
        <v>18312000</v>
      </c>
      <c r="H510" s="2">
        <v>1.4999999999999999E-2</v>
      </c>
      <c r="I510" s="17">
        <v>43800</v>
      </c>
      <c r="J510" s="17">
        <v>43830</v>
      </c>
      <c r="K510" s="3">
        <f>J510-I510+1</f>
        <v>31</v>
      </c>
      <c r="L510" s="3">
        <f>ROUND(G510*H510*K510/365,0)</f>
        <v>23329</v>
      </c>
      <c r="M510" s="3">
        <v>18312000</v>
      </c>
    </row>
    <row r="511" spans="1:13" s="16" customFormat="1" outlineLevel="2">
      <c r="A511" s="17" t="s">
        <v>55</v>
      </c>
      <c r="B511" s="18" t="s">
        <v>317</v>
      </c>
      <c r="C511" s="19" t="s">
        <v>316</v>
      </c>
      <c r="D511" s="18" t="s">
        <v>315</v>
      </c>
      <c r="E511" s="3">
        <v>2983000</v>
      </c>
      <c r="F511" s="17">
        <v>43769</v>
      </c>
      <c r="G511" s="3">
        <v>2983000</v>
      </c>
      <c r="H511" s="2">
        <v>1.4999999999999999E-2</v>
      </c>
      <c r="I511" s="17">
        <v>43800</v>
      </c>
      <c r="J511" s="17">
        <v>43830</v>
      </c>
      <c r="K511" s="3">
        <f>J511-I511+1</f>
        <v>31</v>
      </c>
      <c r="L511" s="3">
        <f>ROUND(G511*H511*K511/365,0)</f>
        <v>3800</v>
      </c>
      <c r="M511" s="3">
        <v>2983000</v>
      </c>
    </row>
    <row r="512" spans="1:13" s="16" customFormat="1" outlineLevel="2">
      <c r="A512" s="17" t="s">
        <v>55</v>
      </c>
      <c r="B512" s="18" t="s">
        <v>44</v>
      </c>
      <c r="C512" s="19" t="s">
        <v>51</v>
      </c>
      <c r="D512" s="18" t="s">
        <v>50</v>
      </c>
      <c r="E512" s="3">
        <v>900000000</v>
      </c>
      <c r="F512" s="17">
        <v>43649</v>
      </c>
      <c r="G512" s="3">
        <v>900000000</v>
      </c>
      <c r="H512" s="2">
        <v>1.4999999999999999E-2</v>
      </c>
      <c r="I512" s="17">
        <v>43800</v>
      </c>
      <c r="J512" s="17">
        <v>43830</v>
      </c>
      <c r="K512" s="3">
        <f>J512-I512+1</f>
        <v>31</v>
      </c>
      <c r="L512" s="3">
        <f>ROUND(G512*H512*K512/365,0)</f>
        <v>1146575</v>
      </c>
      <c r="M512" s="3">
        <v>900000000</v>
      </c>
    </row>
    <row r="513" spans="1:13" s="16" customFormat="1" outlineLevel="2">
      <c r="A513" s="17" t="s">
        <v>55</v>
      </c>
      <c r="B513" s="18" t="s">
        <v>314</v>
      </c>
      <c r="C513" s="19" t="s">
        <v>313</v>
      </c>
      <c r="D513" s="18" t="s">
        <v>312</v>
      </c>
      <c r="E513" s="3">
        <v>20000000</v>
      </c>
      <c r="F513" s="17">
        <v>43766</v>
      </c>
      <c r="G513" s="3">
        <v>20000000</v>
      </c>
      <c r="H513" s="2">
        <v>5.0000000000000001E-3</v>
      </c>
      <c r="I513" s="17">
        <v>43800</v>
      </c>
      <c r="J513" s="17">
        <v>43830</v>
      </c>
      <c r="K513" s="3">
        <f>J513-I513+1</f>
        <v>31</v>
      </c>
      <c r="L513" s="3">
        <f>ROUND(G513*H513*K513/365,0)</f>
        <v>8493</v>
      </c>
      <c r="M513" s="3">
        <v>20000000</v>
      </c>
    </row>
    <row r="514" spans="1:13" s="16" customFormat="1" outlineLevel="2">
      <c r="A514" s="17" t="s">
        <v>55</v>
      </c>
      <c r="B514" s="18" t="s">
        <v>368</v>
      </c>
      <c r="C514" s="19" t="s">
        <v>54</v>
      </c>
      <c r="D514" s="18" t="s">
        <v>34</v>
      </c>
      <c r="E514" s="3">
        <v>75483000</v>
      </c>
      <c r="F514" s="17">
        <v>43774</v>
      </c>
      <c r="G514" s="3">
        <v>75483000</v>
      </c>
      <c r="H514" s="2">
        <v>1.4999999999999999E-2</v>
      </c>
      <c r="I514" s="17">
        <v>43800</v>
      </c>
      <c r="J514" s="17">
        <v>43830</v>
      </c>
      <c r="K514" s="3">
        <f>J514-I514+1</f>
        <v>31</v>
      </c>
      <c r="L514" s="3">
        <f>ROUND(G514*H514*K514/365,0)</f>
        <v>96163</v>
      </c>
      <c r="M514" s="3">
        <v>75483000</v>
      </c>
    </row>
    <row r="515" spans="1:13" s="16" customFormat="1" outlineLevel="2">
      <c r="A515" s="17" t="s">
        <v>55</v>
      </c>
      <c r="B515" s="18" t="s">
        <v>367</v>
      </c>
      <c r="C515" s="19" t="s">
        <v>54</v>
      </c>
      <c r="D515" s="18" t="s">
        <v>34</v>
      </c>
      <c r="E515" s="3">
        <v>13080000</v>
      </c>
      <c r="F515" s="17">
        <v>43784</v>
      </c>
      <c r="G515" s="3">
        <v>13080000</v>
      </c>
      <c r="H515" s="2">
        <v>1.4999999999999999E-2</v>
      </c>
      <c r="I515" s="17">
        <v>43800</v>
      </c>
      <c r="J515" s="17">
        <v>43830</v>
      </c>
      <c r="K515" s="3">
        <f>J515-I515+1</f>
        <v>31</v>
      </c>
      <c r="L515" s="3">
        <f>ROUND(G515*H515*K515/365,0)</f>
        <v>16664</v>
      </c>
      <c r="M515" s="3">
        <v>13080000</v>
      </c>
    </row>
    <row r="516" spans="1:13" s="16" customFormat="1" outlineLevel="2">
      <c r="A516" s="17" t="s">
        <v>55</v>
      </c>
      <c r="B516" s="18" t="s">
        <v>366</v>
      </c>
      <c r="C516" s="19" t="s">
        <v>54</v>
      </c>
      <c r="D516" s="18" t="s">
        <v>34</v>
      </c>
      <c r="E516" s="3">
        <v>24293000</v>
      </c>
      <c r="F516" s="17">
        <v>43794</v>
      </c>
      <c r="G516" s="3">
        <v>24293000</v>
      </c>
      <c r="H516" s="2">
        <v>1.4999999999999999E-2</v>
      </c>
      <c r="I516" s="17">
        <v>43800</v>
      </c>
      <c r="J516" s="17">
        <v>43830</v>
      </c>
      <c r="K516" s="3">
        <f>J516-I516+1</f>
        <v>31</v>
      </c>
      <c r="L516" s="3">
        <f>ROUND(G516*H516*K516/365,0)</f>
        <v>30949</v>
      </c>
      <c r="M516" s="3">
        <v>24293000</v>
      </c>
    </row>
    <row r="517" spans="1:13" s="16" customFormat="1" outlineLevel="2">
      <c r="A517" s="17" t="s">
        <v>55</v>
      </c>
      <c r="B517" s="18" t="s">
        <v>365</v>
      </c>
      <c r="C517" s="19" t="s">
        <v>43</v>
      </c>
      <c r="D517" s="18" t="s">
        <v>26</v>
      </c>
      <c r="E517" s="3">
        <v>116544750</v>
      </c>
      <c r="F517" s="17">
        <v>43777</v>
      </c>
      <c r="G517" s="3">
        <v>116544750</v>
      </c>
      <c r="H517" s="2">
        <v>1.4999999999999999E-2</v>
      </c>
      <c r="I517" s="17">
        <v>43800</v>
      </c>
      <c r="J517" s="17">
        <v>43830</v>
      </c>
      <c r="K517" s="3">
        <f>J517-I517+1</f>
        <v>31</v>
      </c>
      <c r="L517" s="3">
        <f>ROUND(G517*H517*K517/365,0)</f>
        <v>148475</v>
      </c>
      <c r="M517" s="3">
        <v>116544750</v>
      </c>
    </row>
    <row r="518" spans="1:13" s="16" customFormat="1" outlineLevel="2">
      <c r="A518" s="17" t="s">
        <v>55</v>
      </c>
      <c r="B518" s="18" t="s">
        <v>364</v>
      </c>
      <c r="C518" s="19" t="s">
        <v>159</v>
      </c>
      <c r="D518" s="18" t="s">
        <v>158</v>
      </c>
      <c r="E518" s="3">
        <v>13938000</v>
      </c>
      <c r="F518" s="17">
        <v>43784</v>
      </c>
      <c r="G518" s="3">
        <v>13938000</v>
      </c>
      <c r="H518" s="2">
        <v>1.4999999999999999E-2</v>
      </c>
      <c r="I518" s="17">
        <v>43800</v>
      </c>
      <c r="J518" s="17">
        <v>43830</v>
      </c>
      <c r="K518" s="3">
        <f>J518-I518+1</f>
        <v>31</v>
      </c>
      <c r="L518" s="3">
        <f>ROUND(G518*H518*K518/365,0)</f>
        <v>17757</v>
      </c>
      <c r="M518" s="3">
        <v>13938000</v>
      </c>
    </row>
    <row r="519" spans="1:13" s="16" customFormat="1" outlineLevel="2">
      <c r="A519" s="17" t="s">
        <v>55</v>
      </c>
      <c r="B519" s="18" t="s">
        <v>363</v>
      </c>
      <c r="C519" s="19" t="s">
        <v>159</v>
      </c>
      <c r="D519" s="18" t="s">
        <v>158</v>
      </c>
      <c r="E519" s="3">
        <v>7406000</v>
      </c>
      <c r="F519" s="17">
        <v>43784</v>
      </c>
      <c r="G519" s="3">
        <v>7406000</v>
      </c>
      <c r="H519" s="2">
        <v>1.4999999999999999E-2</v>
      </c>
      <c r="I519" s="17">
        <v>43800</v>
      </c>
      <c r="J519" s="17">
        <v>43830</v>
      </c>
      <c r="K519" s="3">
        <f>J519-I519+1</f>
        <v>31</v>
      </c>
      <c r="L519" s="3">
        <f>ROUND(G519*H519*K519/365,0)</f>
        <v>9435</v>
      </c>
      <c r="M519" s="3">
        <v>7406000</v>
      </c>
    </row>
    <row r="520" spans="1:13" s="16" customFormat="1" outlineLevel="2">
      <c r="A520" s="17" t="s">
        <v>55</v>
      </c>
      <c r="B520" s="18" t="s">
        <v>362</v>
      </c>
      <c r="C520" s="19" t="s">
        <v>183</v>
      </c>
      <c r="D520" s="18" t="s">
        <v>182</v>
      </c>
      <c r="E520" s="3">
        <v>9813550</v>
      </c>
      <c r="F520" s="17">
        <v>43783</v>
      </c>
      <c r="G520" s="3">
        <v>9813550</v>
      </c>
      <c r="H520" s="2">
        <v>5.0000000000000001E-3</v>
      </c>
      <c r="I520" s="17">
        <v>43800</v>
      </c>
      <c r="J520" s="17">
        <v>43830</v>
      </c>
      <c r="K520" s="3">
        <f>J520-I520+1</f>
        <v>31</v>
      </c>
      <c r="L520" s="3">
        <f>ROUND(G520*H520*K520/365,0)</f>
        <v>4167</v>
      </c>
      <c r="M520" s="3">
        <v>9813550</v>
      </c>
    </row>
    <row r="521" spans="1:13" s="16" customFormat="1" outlineLevel="2">
      <c r="A521" s="17" t="s">
        <v>55</v>
      </c>
      <c r="B521" s="18" t="s">
        <v>361</v>
      </c>
      <c r="C521" s="19" t="s">
        <v>183</v>
      </c>
      <c r="D521" s="18" t="s">
        <v>182</v>
      </c>
      <c r="E521" s="3">
        <v>9999531</v>
      </c>
      <c r="F521" s="17">
        <v>43788</v>
      </c>
      <c r="G521" s="3">
        <v>9999531</v>
      </c>
      <c r="H521" s="2">
        <v>5.0000000000000001E-3</v>
      </c>
      <c r="I521" s="17">
        <v>43800</v>
      </c>
      <c r="J521" s="17">
        <v>43830</v>
      </c>
      <c r="K521" s="3">
        <f>J521-I521+1</f>
        <v>31</v>
      </c>
      <c r="L521" s="3">
        <f>ROUND(G521*H521*K521/365,0)</f>
        <v>4246</v>
      </c>
      <c r="M521" s="3">
        <v>9999531</v>
      </c>
    </row>
    <row r="522" spans="1:13" s="16" customFormat="1" outlineLevel="2">
      <c r="A522" s="17" t="s">
        <v>55</v>
      </c>
      <c r="B522" s="18" t="s">
        <v>360</v>
      </c>
      <c r="C522" s="19" t="s">
        <v>188</v>
      </c>
      <c r="D522" s="18" t="s">
        <v>187</v>
      </c>
      <c r="E522" s="3">
        <v>31432000</v>
      </c>
      <c r="F522" s="17">
        <v>43783</v>
      </c>
      <c r="G522" s="3">
        <v>31432000</v>
      </c>
      <c r="H522" s="2">
        <v>1.4999999999999999E-2</v>
      </c>
      <c r="I522" s="17">
        <v>43800</v>
      </c>
      <c r="J522" s="17">
        <v>43830</v>
      </c>
      <c r="K522" s="3">
        <f>J522-I522+1</f>
        <v>31</v>
      </c>
      <c r="L522" s="3">
        <f>ROUND(G522*H522*K522/365,0)</f>
        <v>40044</v>
      </c>
      <c r="M522" s="3">
        <v>31432000</v>
      </c>
    </row>
    <row r="523" spans="1:13" s="16" customFormat="1" outlineLevel="1">
      <c r="A523" s="28" t="s">
        <v>53</v>
      </c>
      <c r="B523" s="21"/>
      <c r="C523" s="22"/>
      <c r="D523" s="21"/>
      <c r="E523" s="23">
        <f>SUBTOTAL(9,E380:E522)</f>
        <v>5604181488</v>
      </c>
      <c r="F523" s="20"/>
      <c r="G523" s="23"/>
      <c r="H523" s="24"/>
      <c r="I523" s="20"/>
      <c r="J523" s="20"/>
      <c r="K523" s="23"/>
      <c r="L523" s="23">
        <f>SUBTOTAL(9,L380:L522)</f>
        <v>5989829</v>
      </c>
      <c r="M523" s="23">
        <f>SUBTOTAL(9,M380:M522)</f>
        <v>5604181488</v>
      </c>
    </row>
    <row r="524" spans="1:13" s="16" customFormat="1" outlineLevel="2">
      <c r="A524" s="17" t="s">
        <v>251</v>
      </c>
      <c r="B524" s="18" t="s">
        <v>17</v>
      </c>
      <c r="C524" s="19" t="s">
        <v>159</v>
      </c>
      <c r="D524" s="18" t="s">
        <v>158</v>
      </c>
      <c r="E524" s="3">
        <v>10000000</v>
      </c>
      <c r="F524" s="17">
        <v>43725</v>
      </c>
      <c r="G524" s="3">
        <v>10000000</v>
      </c>
      <c r="H524" s="2">
        <v>3.0000000000000001E-3</v>
      </c>
      <c r="I524" s="17">
        <v>43800</v>
      </c>
      <c r="J524" s="17">
        <v>43830</v>
      </c>
      <c r="K524" s="3">
        <f>J524-I524+1</f>
        <v>31</v>
      </c>
      <c r="L524" s="3">
        <f>ROUND(G524*H524*K524/365,0)</f>
        <v>2548</v>
      </c>
      <c r="M524" s="3">
        <v>10000000</v>
      </c>
    </row>
    <row r="525" spans="1:13" s="16" customFormat="1" outlineLevel="1">
      <c r="A525" s="28" t="s">
        <v>250</v>
      </c>
      <c r="B525" s="21"/>
      <c r="C525" s="22"/>
      <c r="D525" s="21"/>
      <c r="E525" s="23">
        <f>SUBTOTAL(9,E524:E524)</f>
        <v>10000000</v>
      </c>
      <c r="F525" s="20"/>
      <c r="G525" s="23"/>
      <c r="H525" s="24"/>
      <c r="I525" s="20"/>
      <c r="J525" s="20"/>
      <c r="K525" s="23"/>
      <c r="L525" s="23">
        <f>SUBTOTAL(9,L524:L524)</f>
        <v>2548</v>
      </c>
      <c r="M525" s="23">
        <f>SUBTOTAL(9,M524:M524)</f>
        <v>10000000</v>
      </c>
    </row>
    <row r="526" spans="1:13" s="16" customFormat="1" outlineLevel="2">
      <c r="A526" s="17" t="s">
        <v>249</v>
      </c>
      <c r="B526" s="18" t="s">
        <v>17</v>
      </c>
      <c r="C526" s="19" t="s">
        <v>248</v>
      </c>
      <c r="D526" s="18" t="s">
        <v>247</v>
      </c>
      <c r="E526" s="3">
        <v>300000000</v>
      </c>
      <c r="F526" s="17">
        <v>43726</v>
      </c>
      <c r="G526" s="3">
        <v>300000000</v>
      </c>
      <c r="H526" s="2">
        <v>5.0000000000000001E-3</v>
      </c>
      <c r="I526" s="17">
        <v>43800</v>
      </c>
      <c r="J526" s="17">
        <v>43830</v>
      </c>
      <c r="K526" s="3">
        <f>J526-I526+1</f>
        <v>31</v>
      </c>
      <c r="L526" s="3">
        <f>ROUND(G526*H526*K526/365,0)</f>
        <v>127397</v>
      </c>
      <c r="M526" s="3">
        <v>300000000</v>
      </c>
    </row>
    <row r="527" spans="1:13" s="16" customFormat="1" outlineLevel="2">
      <c r="A527" s="17" t="s">
        <v>249</v>
      </c>
      <c r="B527" s="18" t="s">
        <v>31</v>
      </c>
      <c r="C527" s="19" t="s">
        <v>248</v>
      </c>
      <c r="D527" s="18" t="s">
        <v>247</v>
      </c>
      <c r="E527" s="3">
        <v>100000000</v>
      </c>
      <c r="F527" s="17">
        <v>43752</v>
      </c>
      <c r="G527" s="3">
        <v>100000000</v>
      </c>
      <c r="H527" s="2">
        <v>5.0000000000000001E-3</v>
      </c>
      <c r="I527" s="17">
        <v>43800</v>
      </c>
      <c r="J527" s="17">
        <v>43830</v>
      </c>
      <c r="K527" s="3">
        <f>J527-I527+1</f>
        <v>31</v>
      </c>
      <c r="L527" s="3">
        <f>ROUND(G527*H527*K527/365,0)</f>
        <v>42466</v>
      </c>
      <c r="M527" s="3">
        <v>100000000</v>
      </c>
    </row>
    <row r="528" spans="1:13" s="16" customFormat="1" outlineLevel="2">
      <c r="A528" s="17" t="s">
        <v>249</v>
      </c>
      <c r="B528" s="18" t="s">
        <v>30</v>
      </c>
      <c r="C528" s="19" t="s">
        <v>280</v>
      </c>
      <c r="D528" s="18" t="s">
        <v>279</v>
      </c>
      <c r="E528" s="3">
        <v>30000000</v>
      </c>
      <c r="F528" s="17">
        <v>43775</v>
      </c>
      <c r="G528" s="3">
        <v>30000000</v>
      </c>
      <c r="H528" s="2">
        <v>5.0000000000000001E-3</v>
      </c>
      <c r="I528" s="17">
        <v>43800</v>
      </c>
      <c r="J528" s="17">
        <v>43830</v>
      </c>
      <c r="K528" s="3">
        <f>J528-I528+1</f>
        <v>31</v>
      </c>
      <c r="L528" s="3">
        <f>ROUND(G528*H528*K528/365,0)</f>
        <v>12740</v>
      </c>
      <c r="M528" s="3">
        <v>30000000</v>
      </c>
    </row>
    <row r="529" spans="1:13" s="16" customFormat="1" outlineLevel="1">
      <c r="A529" s="28" t="s">
        <v>246</v>
      </c>
      <c r="B529" s="21"/>
      <c r="C529" s="22"/>
      <c r="D529" s="21"/>
      <c r="E529" s="23">
        <f>SUBTOTAL(9,E526:E528)</f>
        <v>430000000</v>
      </c>
      <c r="F529" s="20"/>
      <c r="G529" s="23"/>
      <c r="H529" s="24"/>
      <c r="I529" s="20"/>
      <c r="J529" s="20"/>
      <c r="K529" s="23"/>
      <c r="L529" s="23">
        <f>SUBTOTAL(9,L526:L528)</f>
        <v>182603</v>
      </c>
      <c r="M529" s="23">
        <f>SUBTOTAL(9,M526:M528)</f>
        <v>430000000</v>
      </c>
    </row>
    <row r="530" spans="1:13" s="16" customFormat="1" outlineLevel="2">
      <c r="A530" s="17" t="s">
        <v>52</v>
      </c>
      <c r="B530" s="18" t="s">
        <v>17</v>
      </c>
      <c r="C530" s="19" t="s">
        <v>51</v>
      </c>
      <c r="D530" s="18" t="s">
        <v>50</v>
      </c>
      <c r="E530" s="3">
        <v>350000000</v>
      </c>
      <c r="F530" s="17">
        <v>43644</v>
      </c>
      <c r="G530" s="3">
        <v>350000000</v>
      </c>
      <c r="H530" s="2">
        <v>1.4999999999999999E-2</v>
      </c>
      <c r="I530" s="17">
        <v>43800</v>
      </c>
      <c r="J530" s="17">
        <v>43830</v>
      </c>
      <c r="K530" s="3">
        <f>J530-I530+1</f>
        <v>31</v>
      </c>
      <c r="L530" s="3">
        <f>ROUND(G530*H530*K530/365,0)</f>
        <v>445890</v>
      </c>
      <c r="M530" s="3">
        <v>350000000</v>
      </c>
    </row>
    <row r="531" spans="1:13" s="16" customFormat="1" outlineLevel="2">
      <c r="A531" s="17" t="s">
        <v>52</v>
      </c>
      <c r="B531" s="18" t="s">
        <v>181</v>
      </c>
      <c r="C531" s="19" t="s">
        <v>245</v>
      </c>
      <c r="D531" s="18" t="s">
        <v>244</v>
      </c>
      <c r="E531" s="3">
        <v>28000000</v>
      </c>
      <c r="F531" s="17">
        <v>43732</v>
      </c>
      <c r="G531" s="3">
        <v>28000000</v>
      </c>
      <c r="H531" s="2">
        <v>5.0000000000000001E-3</v>
      </c>
      <c r="I531" s="17">
        <v>43800</v>
      </c>
      <c r="J531" s="17">
        <v>43830</v>
      </c>
      <c r="K531" s="3">
        <f>J531-I531+1</f>
        <v>31</v>
      </c>
      <c r="L531" s="3">
        <f>ROUND(G531*H531*K531/365,0)</f>
        <v>11890</v>
      </c>
      <c r="M531" s="3">
        <v>28000000</v>
      </c>
    </row>
    <row r="532" spans="1:13" s="16" customFormat="1" outlineLevel="2">
      <c r="A532" s="17" t="s">
        <v>52</v>
      </c>
      <c r="B532" s="18" t="s">
        <v>180</v>
      </c>
      <c r="C532" s="19" t="s">
        <v>243</v>
      </c>
      <c r="D532" s="18" t="s">
        <v>242</v>
      </c>
      <c r="E532" s="3">
        <v>100000000</v>
      </c>
      <c r="F532" s="17">
        <v>43732</v>
      </c>
      <c r="G532" s="3">
        <v>100000000</v>
      </c>
      <c r="H532" s="2">
        <v>5.0000000000000001E-3</v>
      </c>
      <c r="I532" s="17">
        <v>43800</v>
      </c>
      <c r="J532" s="17">
        <v>43830</v>
      </c>
      <c r="K532" s="3">
        <f>J532-I532+1</f>
        <v>31</v>
      </c>
      <c r="L532" s="3">
        <f>ROUND(G532*H532*K532/365,0)</f>
        <v>42466</v>
      </c>
      <c r="M532" s="3">
        <v>100000000</v>
      </c>
    </row>
    <row r="533" spans="1:13" s="16" customFormat="1" outlineLevel="2">
      <c r="A533" s="17" t="s">
        <v>52</v>
      </c>
      <c r="B533" s="18" t="s">
        <v>179</v>
      </c>
      <c r="C533" s="19" t="s">
        <v>183</v>
      </c>
      <c r="D533" s="18" t="s">
        <v>182</v>
      </c>
      <c r="E533" s="3">
        <v>9828000</v>
      </c>
      <c r="F533" s="17">
        <v>43741</v>
      </c>
      <c r="G533" s="3">
        <v>9828000</v>
      </c>
      <c r="H533" s="2">
        <v>5.0000000000000001E-3</v>
      </c>
      <c r="I533" s="17">
        <v>43800</v>
      </c>
      <c r="J533" s="17">
        <v>43830</v>
      </c>
      <c r="K533" s="3">
        <f>J533-I533+1</f>
        <v>31</v>
      </c>
      <c r="L533" s="3">
        <f>ROUND(G533*H533*K533/365,0)</f>
        <v>4174</v>
      </c>
      <c r="M533" s="3">
        <v>9828000</v>
      </c>
    </row>
    <row r="534" spans="1:13" s="16" customFormat="1" outlineLevel="2">
      <c r="A534" s="17" t="s">
        <v>52</v>
      </c>
      <c r="B534" s="18" t="s">
        <v>178</v>
      </c>
      <c r="C534" s="19" t="s">
        <v>183</v>
      </c>
      <c r="D534" s="18" t="s">
        <v>182</v>
      </c>
      <c r="E534" s="3">
        <v>10165719</v>
      </c>
      <c r="F534" s="17">
        <v>43759</v>
      </c>
      <c r="G534" s="3">
        <v>10165719</v>
      </c>
      <c r="H534" s="2">
        <v>5.0000000000000001E-3</v>
      </c>
      <c r="I534" s="17">
        <v>43800</v>
      </c>
      <c r="J534" s="17">
        <v>43830</v>
      </c>
      <c r="K534" s="3">
        <f>J534-I534+1</f>
        <v>31</v>
      </c>
      <c r="L534" s="3">
        <f>ROUND(G534*H534*K534/365,0)</f>
        <v>4317</v>
      </c>
      <c r="M534" s="3">
        <v>10165719</v>
      </c>
    </row>
    <row r="535" spans="1:13" s="16" customFormat="1" outlineLevel="2">
      <c r="A535" s="17" t="s">
        <v>52</v>
      </c>
      <c r="B535" s="18" t="s">
        <v>177</v>
      </c>
      <c r="C535" s="19" t="s">
        <v>243</v>
      </c>
      <c r="D535" s="18" t="s">
        <v>242</v>
      </c>
      <c r="E535" s="3">
        <v>165000000</v>
      </c>
      <c r="F535" s="17">
        <v>43747</v>
      </c>
      <c r="G535" s="3">
        <v>165000000</v>
      </c>
      <c r="H535" s="2">
        <v>5.0000000000000001E-3</v>
      </c>
      <c r="I535" s="17">
        <v>43800</v>
      </c>
      <c r="J535" s="17">
        <v>43830</v>
      </c>
      <c r="K535" s="3">
        <f>J535-I535+1</f>
        <v>31</v>
      </c>
      <c r="L535" s="3">
        <f>ROUND(G535*H535*K535/365,0)</f>
        <v>70068</v>
      </c>
      <c r="M535" s="3">
        <v>165000000</v>
      </c>
    </row>
    <row r="536" spans="1:13" s="16" customFormat="1" outlineLevel="2">
      <c r="A536" s="17" t="s">
        <v>52</v>
      </c>
      <c r="B536" s="18" t="s">
        <v>176</v>
      </c>
      <c r="C536" s="19" t="s">
        <v>243</v>
      </c>
      <c r="D536" s="18" t="s">
        <v>242</v>
      </c>
      <c r="E536" s="3">
        <v>574000000</v>
      </c>
      <c r="F536" s="17">
        <v>43752</v>
      </c>
      <c r="G536" s="3">
        <v>574000000</v>
      </c>
      <c r="H536" s="2">
        <v>5.0000000000000001E-3</v>
      </c>
      <c r="I536" s="17">
        <v>43800</v>
      </c>
      <c r="J536" s="17">
        <v>43830</v>
      </c>
      <c r="K536" s="3">
        <f>J536-I536+1</f>
        <v>31</v>
      </c>
      <c r="L536" s="3">
        <f>ROUND(G536*H536*K536/365,0)</f>
        <v>243753</v>
      </c>
      <c r="M536" s="3">
        <v>574000000</v>
      </c>
    </row>
    <row r="537" spans="1:13" s="16" customFormat="1" outlineLevel="2">
      <c r="A537" s="17" t="s">
        <v>52</v>
      </c>
      <c r="B537" s="18" t="s">
        <v>175</v>
      </c>
      <c r="C537" s="19" t="s">
        <v>243</v>
      </c>
      <c r="D537" s="18" t="s">
        <v>242</v>
      </c>
      <c r="E537" s="3">
        <v>491000000</v>
      </c>
      <c r="F537" s="17">
        <v>43762</v>
      </c>
      <c r="G537" s="3">
        <v>491000000</v>
      </c>
      <c r="H537" s="2">
        <v>5.0000000000000001E-3</v>
      </c>
      <c r="I537" s="17">
        <v>43800</v>
      </c>
      <c r="J537" s="17">
        <v>43830</v>
      </c>
      <c r="K537" s="3">
        <f>J537-I537+1</f>
        <v>31</v>
      </c>
      <c r="L537" s="3">
        <f>ROUND(G537*H537*K537/365,0)</f>
        <v>208507</v>
      </c>
      <c r="M537" s="3">
        <v>491000000</v>
      </c>
    </row>
    <row r="538" spans="1:13" s="16" customFormat="1" outlineLevel="2">
      <c r="A538" s="17" t="s">
        <v>52</v>
      </c>
      <c r="B538" s="18" t="s">
        <v>174</v>
      </c>
      <c r="C538" s="19" t="s">
        <v>311</v>
      </c>
      <c r="D538" s="18" t="s">
        <v>200</v>
      </c>
      <c r="E538" s="3">
        <v>16800000</v>
      </c>
      <c r="F538" s="17">
        <v>43741</v>
      </c>
      <c r="G538" s="3">
        <v>16800000</v>
      </c>
      <c r="H538" s="2">
        <v>5.0000000000000001E-3</v>
      </c>
      <c r="I538" s="17">
        <v>43800</v>
      </c>
      <c r="J538" s="17">
        <v>43830</v>
      </c>
      <c r="K538" s="3">
        <f>J538-I538+1</f>
        <v>31</v>
      </c>
      <c r="L538" s="3">
        <f>ROUND(G538*H538*K538/365,0)</f>
        <v>7134</v>
      </c>
      <c r="M538" s="3">
        <v>16800000</v>
      </c>
    </row>
    <row r="539" spans="1:13" s="16" customFormat="1" outlineLevel="2">
      <c r="A539" s="17" t="s">
        <v>52</v>
      </c>
      <c r="B539" s="18" t="s">
        <v>171</v>
      </c>
      <c r="C539" s="19" t="s">
        <v>310</v>
      </c>
      <c r="D539" s="18" t="s">
        <v>309</v>
      </c>
      <c r="E539" s="3">
        <v>50248600</v>
      </c>
      <c r="F539" s="17">
        <v>43753</v>
      </c>
      <c r="G539" s="3">
        <v>50248600</v>
      </c>
      <c r="H539" s="2">
        <v>5.0000000000000001E-3</v>
      </c>
      <c r="I539" s="17">
        <v>43800</v>
      </c>
      <c r="J539" s="17">
        <v>43830</v>
      </c>
      <c r="K539" s="3">
        <f>J539-I539+1</f>
        <v>31</v>
      </c>
      <c r="L539" s="3">
        <f>ROUND(G539*H539*K539/365,0)</f>
        <v>21338</v>
      </c>
      <c r="M539" s="3">
        <v>50248600</v>
      </c>
    </row>
    <row r="540" spans="1:13" s="16" customFormat="1" outlineLevel="2">
      <c r="A540" s="17" t="s">
        <v>52</v>
      </c>
      <c r="B540" s="18" t="s">
        <v>170</v>
      </c>
      <c r="C540" s="19" t="s">
        <v>253</v>
      </c>
      <c r="D540" s="18" t="s">
        <v>252</v>
      </c>
      <c r="E540" s="3">
        <v>4800000</v>
      </c>
      <c r="F540" s="17">
        <v>43754</v>
      </c>
      <c r="G540" s="3">
        <v>4800000</v>
      </c>
      <c r="H540" s="2">
        <v>5.0000000000000001E-3</v>
      </c>
      <c r="I540" s="17">
        <v>43800</v>
      </c>
      <c r="J540" s="17">
        <v>43830</v>
      </c>
      <c r="K540" s="3">
        <f>J540-I540+1</f>
        <v>31</v>
      </c>
      <c r="L540" s="3">
        <f>ROUND(G540*H540*K540/365,0)</f>
        <v>2038</v>
      </c>
      <c r="M540" s="3">
        <v>4800000</v>
      </c>
    </row>
    <row r="541" spans="1:13" s="16" customFormat="1" outlineLevel="2">
      <c r="A541" s="17" t="s">
        <v>52</v>
      </c>
      <c r="B541" s="18" t="s">
        <v>31</v>
      </c>
      <c r="C541" s="19" t="s">
        <v>51</v>
      </c>
      <c r="D541" s="18" t="s">
        <v>50</v>
      </c>
      <c r="E541" s="3">
        <v>200000000</v>
      </c>
      <c r="F541" s="17">
        <v>43620</v>
      </c>
      <c r="G541" s="3">
        <v>200000000</v>
      </c>
      <c r="H541" s="2">
        <v>1.4999999999999999E-2</v>
      </c>
      <c r="I541" s="17">
        <v>43800</v>
      </c>
      <c r="J541" s="17">
        <v>43830</v>
      </c>
      <c r="K541" s="3">
        <f>J541-I541+1</f>
        <v>31</v>
      </c>
      <c r="L541" s="3">
        <f>ROUND(G541*H541*K541/365,0)</f>
        <v>254795</v>
      </c>
      <c r="M541" s="3">
        <v>200000000</v>
      </c>
    </row>
    <row r="542" spans="1:13" s="16" customFormat="1" outlineLevel="2">
      <c r="A542" s="17" t="s">
        <v>52</v>
      </c>
      <c r="B542" s="18" t="s">
        <v>169</v>
      </c>
      <c r="C542" s="19" t="s">
        <v>308</v>
      </c>
      <c r="D542" s="18" t="s">
        <v>307</v>
      </c>
      <c r="E542" s="3">
        <v>400000000</v>
      </c>
      <c r="F542" s="17">
        <v>43739</v>
      </c>
      <c r="G542" s="3">
        <v>400000000</v>
      </c>
      <c r="H542" s="2">
        <v>5.0000000000000001E-3</v>
      </c>
      <c r="I542" s="17">
        <v>43800</v>
      </c>
      <c r="J542" s="17">
        <v>43830</v>
      </c>
      <c r="K542" s="3">
        <f>J542-I542+1</f>
        <v>31</v>
      </c>
      <c r="L542" s="3">
        <f>ROUND(G542*H542*K542/365,0)</f>
        <v>169863</v>
      </c>
      <c r="M542" s="3">
        <v>400000000</v>
      </c>
    </row>
    <row r="543" spans="1:13" s="16" customFormat="1" outlineLevel="2">
      <c r="A543" s="17" t="s">
        <v>52</v>
      </c>
      <c r="B543" s="18" t="s">
        <v>168</v>
      </c>
      <c r="C543" s="19" t="s">
        <v>308</v>
      </c>
      <c r="D543" s="18" t="s">
        <v>307</v>
      </c>
      <c r="E543" s="3">
        <v>14700000</v>
      </c>
      <c r="F543" s="17">
        <v>43768</v>
      </c>
      <c r="G543" s="3">
        <v>14700000</v>
      </c>
      <c r="H543" s="2">
        <v>5.0000000000000001E-3</v>
      </c>
      <c r="I543" s="17">
        <v>43800</v>
      </c>
      <c r="J543" s="17">
        <v>43830</v>
      </c>
      <c r="K543" s="3">
        <f>J543-I543+1</f>
        <v>31</v>
      </c>
      <c r="L543" s="3">
        <f>ROUND(G543*H543*K543/365,0)</f>
        <v>6242</v>
      </c>
      <c r="M543" s="3">
        <v>14700000</v>
      </c>
    </row>
    <row r="544" spans="1:13" s="16" customFormat="1" outlineLevel="2">
      <c r="A544" s="17" t="s">
        <v>52</v>
      </c>
      <c r="B544" s="18" t="s">
        <v>167</v>
      </c>
      <c r="C544" s="19" t="s">
        <v>243</v>
      </c>
      <c r="D544" s="18" t="s">
        <v>242</v>
      </c>
      <c r="E544" s="3">
        <v>150000000</v>
      </c>
      <c r="F544" s="17">
        <v>43777</v>
      </c>
      <c r="G544" s="3">
        <v>150000000</v>
      </c>
      <c r="H544" s="2">
        <v>5.0000000000000001E-3</v>
      </c>
      <c r="I544" s="17">
        <v>43800</v>
      </c>
      <c r="J544" s="17">
        <v>43830</v>
      </c>
      <c r="K544" s="3">
        <f>J544-I544+1</f>
        <v>31</v>
      </c>
      <c r="L544" s="3">
        <f>ROUND(G544*H544*K544/365,0)</f>
        <v>63699</v>
      </c>
      <c r="M544" s="3">
        <v>150000000</v>
      </c>
    </row>
    <row r="545" spans="1:13" s="16" customFormat="1" outlineLevel="2">
      <c r="A545" s="17" t="s">
        <v>52</v>
      </c>
      <c r="B545" s="18" t="s">
        <v>166</v>
      </c>
      <c r="C545" s="19" t="s">
        <v>243</v>
      </c>
      <c r="D545" s="18" t="s">
        <v>242</v>
      </c>
      <c r="E545" s="3">
        <v>285000000</v>
      </c>
      <c r="F545" s="17">
        <v>43780</v>
      </c>
      <c r="G545" s="3">
        <v>285000000</v>
      </c>
      <c r="H545" s="2">
        <v>5.0000000000000001E-3</v>
      </c>
      <c r="I545" s="17">
        <v>43800</v>
      </c>
      <c r="J545" s="17">
        <v>43830</v>
      </c>
      <c r="K545" s="3">
        <f>J545-I545+1</f>
        <v>31</v>
      </c>
      <c r="L545" s="3">
        <f>ROUND(G545*H545*K545/365,0)</f>
        <v>121027</v>
      </c>
      <c r="M545" s="3">
        <v>285000000</v>
      </c>
    </row>
    <row r="546" spans="1:13" s="16" customFormat="1" outlineLevel="2">
      <c r="A546" s="17" t="s">
        <v>52</v>
      </c>
      <c r="B546" s="18" t="s">
        <v>165</v>
      </c>
      <c r="C546" s="19" t="s">
        <v>243</v>
      </c>
      <c r="D546" s="18" t="s">
        <v>242</v>
      </c>
      <c r="E546" s="3">
        <v>74000000</v>
      </c>
      <c r="F546" s="17">
        <v>43780</v>
      </c>
      <c r="G546" s="3">
        <v>74000000</v>
      </c>
      <c r="H546" s="2">
        <v>5.0000000000000001E-3</v>
      </c>
      <c r="I546" s="17">
        <v>43800</v>
      </c>
      <c r="J546" s="17">
        <v>43830</v>
      </c>
      <c r="K546" s="3">
        <f>J546-I546+1</f>
        <v>31</v>
      </c>
      <c r="L546" s="3">
        <f>ROUND(G546*H546*K546/365,0)</f>
        <v>31425</v>
      </c>
      <c r="M546" s="3">
        <v>74000000</v>
      </c>
    </row>
    <row r="547" spans="1:13" s="16" customFormat="1" outlineLevel="2">
      <c r="A547" s="17" t="s">
        <v>52</v>
      </c>
      <c r="B547" s="18" t="s">
        <v>164</v>
      </c>
      <c r="C547" s="19" t="s">
        <v>243</v>
      </c>
      <c r="D547" s="18" t="s">
        <v>242</v>
      </c>
      <c r="E547" s="3">
        <v>161000000</v>
      </c>
      <c r="F547" s="17">
        <v>43794</v>
      </c>
      <c r="G547" s="3">
        <v>161000000</v>
      </c>
      <c r="H547" s="2">
        <v>5.0000000000000001E-3</v>
      </c>
      <c r="I547" s="17">
        <v>43800</v>
      </c>
      <c r="J547" s="17">
        <v>43830</v>
      </c>
      <c r="K547" s="3">
        <f>J547-I547+1</f>
        <v>31</v>
      </c>
      <c r="L547" s="3">
        <f>ROUND(G547*H547*K547/365,0)</f>
        <v>68370</v>
      </c>
      <c r="M547" s="3">
        <v>161000000</v>
      </c>
    </row>
    <row r="548" spans="1:13" s="16" customFormat="1" outlineLevel="2">
      <c r="A548" s="17" t="s">
        <v>52</v>
      </c>
      <c r="B548" s="18" t="s">
        <v>164</v>
      </c>
      <c r="C548" s="19" t="s">
        <v>386</v>
      </c>
      <c r="D548" s="18" t="s">
        <v>385</v>
      </c>
      <c r="E548" s="3">
        <v>400000000</v>
      </c>
      <c r="F548" s="17">
        <v>43797</v>
      </c>
      <c r="G548" s="3">
        <v>400000000</v>
      </c>
      <c r="H548" s="2">
        <v>1.4999999999999999E-2</v>
      </c>
      <c r="I548" s="17">
        <v>43800</v>
      </c>
      <c r="J548" s="17">
        <v>43830</v>
      </c>
      <c r="K548" s="3">
        <f>J548-I548+1</f>
        <v>31</v>
      </c>
      <c r="L548" s="3">
        <f>ROUND(G548*H548*K548/365,0)</f>
        <v>509589</v>
      </c>
      <c r="M548" s="3">
        <v>400000000</v>
      </c>
    </row>
    <row r="549" spans="1:13" s="16" customFormat="1" outlineLevel="2">
      <c r="A549" s="17" t="s">
        <v>52</v>
      </c>
      <c r="B549" s="18" t="s">
        <v>160</v>
      </c>
      <c r="C549" s="19" t="s">
        <v>439</v>
      </c>
      <c r="D549" s="18" t="s">
        <v>438</v>
      </c>
      <c r="E549" s="3">
        <v>23000000</v>
      </c>
      <c r="F549" s="17">
        <v>43805</v>
      </c>
      <c r="G549" s="3">
        <v>23000000</v>
      </c>
      <c r="H549" s="2">
        <v>5.0000000000000001E-3</v>
      </c>
      <c r="I549" s="17">
        <v>43805</v>
      </c>
      <c r="J549" s="17">
        <v>43830</v>
      </c>
      <c r="K549" s="3">
        <f>J549-I549+1</f>
        <v>26</v>
      </c>
      <c r="L549" s="3">
        <f>ROUND(G549*H549*K549/365,0)</f>
        <v>8192</v>
      </c>
      <c r="M549" s="3">
        <v>23000000</v>
      </c>
    </row>
    <row r="550" spans="1:13" s="16" customFormat="1" outlineLevel="2">
      <c r="A550" s="17" t="s">
        <v>52</v>
      </c>
      <c r="B550" s="18" t="s">
        <v>157</v>
      </c>
      <c r="C550" s="19" t="s">
        <v>437</v>
      </c>
      <c r="D550" s="18" t="s">
        <v>436</v>
      </c>
      <c r="E550" s="3">
        <v>100000000</v>
      </c>
      <c r="F550" s="17">
        <v>43809</v>
      </c>
      <c r="G550" s="3">
        <v>100000000</v>
      </c>
      <c r="H550" s="2">
        <v>5.0000000000000001E-3</v>
      </c>
      <c r="I550" s="17">
        <v>43809</v>
      </c>
      <c r="J550" s="17">
        <v>43830</v>
      </c>
      <c r="K550" s="3">
        <f>J550-I550+1</f>
        <v>22</v>
      </c>
      <c r="L550" s="3">
        <f>ROUND(G550*H550*K550/365,0)</f>
        <v>30137</v>
      </c>
      <c r="M550" s="3">
        <v>100000000</v>
      </c>
    </row>
    <row r="551" spans="1:13" s="16" customFormat="1" outlineLevel="2">
      <c r="A551" s="17" t="s">
        <v>52</v>
      </c>
      <c r="B551" s="18" t="s">
        <v>156</v>
      </c>
      <c r="C551" s="19" t="s">
        <v>311</v>
      </c>
      <c r="D551" s="18" t="s">
        <v>200</v>
      </c>
      <c r="E551" s="3">
        <v>14500000</v>
      </c>
      <c r="F551" s="17">
        <v>43818</v>
      </c>
      <c r="G551" s="3">
        <v>14500000</v>
      </c>
      <c r="H551" s="2">
        <v>5.0000000000000001E-3</v>
      </c>
      <c r="I551" s="17">
        <v>43818</v>
      </c>
      <c r="J551" s="17">
        <v>43830</v>
      </c>
      <c r="K551" s="3">
        <f>J551-I551+1</f>
        <v>13</v>
      </c>
      <c r="L551" s="3">
        <f>ROUND(G551*H551*K551/365,0)</f>
        <v>2582</v>
      </c>
      <c r="M551" s="3">
        <v>14500000</v>
      </c>
    </row>
    <row r="552" spans="1:13" s="16" customFormat="1" outlineLevel="2">
      <c r="A552" s="17" t="s">
        <v>52</v>
      </c>
      <c r="B552" s="18" t="s">
        <v>30</v>
      </c>
      <c r="C552" s="19" t="s">
        <v>51</v>
      </c>
      <c r="D552" s="18" t="s">
        <v>50</v>
      </c>
      <c r="E552" s="3">
        <v>200000000</v>
      </c>
      <c r="F552" s="17">
        <v>43644</v>
      </c>
      <c r="G552" s="3">
        <v>200000000</v>
      </c>
      <c r="H552" s="2">
        <v>1.4999999999999999E-2</v>
      </c>
      <c r="I552" s="17">
        <v>43800</v>
      </c>
      <c r="J552" s="17">
        <v>43830</v>
      </c>
      <c r="K552" s="3">
        <f>J552-I552+1</f>
        <v>31</v>
      </c>
      <c r="L552" s="3">
        <f>ROUND(G552*H552*K552/365,0)</f>
        <v>254795</v>
      </c>
      <c r="M552" s="3">
        <v>200000000</v>
      </c>
    </row>
    <row r="553" spans="1:13" s="16" customFormat="1" outlineLevel="2">
      <c r="A553" s="17" t="s">
        <v>52</v>
      </c>
      <c r="B553" s="18" t="s">
        <v>28</v>
      </c>
      <c r="C553" s="19" t="s">
        <v>51</v>
      </c>
      <c r="D553" s="18" t="s">
        <v>50</v>
      </c>
      <c r="E553" s="3">
        <v>380000000</v>
      </c>
      <c r="F553" s="17">
        <v>43656</v>
      </c>
      <c r="G553" s="3">
        <v>380000000</v>
      </c>
      <c r="H553" s="2">
        <v>1.4999999999999999E-2</v>
      </c>
      <c r="I553" s="17">
        <v>43800</v>
      </c>
      <c r="J553" s="17">
        <v>43830</v>
      </c>
      <c r="K553" s="3">
        <f>J553-I553+1</f>
        <v>31</v>
      </c>
      <c r="L553" s="3">
        <f>ROUND(G553*H553*K553/365,0)</f>
        <v>484110</v>
      </c>
      <c r="M553" s="3">
        <v>380000000</v>
      </c>
    </row>
    <row r="554" spans="1:13" s="16" customFormat="1" outlineLevel="2">
      <c r="A554" s="17" t="s">
        <v>52</v>
      </c>
      <c r="B554" s="18" t="s">
        <v>48</v>
      </c>
      <c r="C554" s="19" t="s">
        <v>51</v>
      </c>
      <c r="D554" s="18" t="s">
        <v>50</v>
      </c>
      <c r="E554" s="3">
        <v>370000000</v>
      </c>
      <c r="F554" s="17">
        <v>43677</v>
      </c>
      <c r="G554" s="3">
        <v>370000000</v>
      </c>
      <c r="H554" s="2">
        <v>1.4999999999999999E-2</v>
      </c>
      <c r="I554" s="17">
        <v>43800</v>
      </c>
      <c r="J554" s="17">
        <v>43830</v>
      </c>
      <c r="K554" s="3">
        <f>J554-I554+1</f>
        <v>31</v>
      </c>
      <c r="L554" s="3">
        <f>ROUND(G554*H554*K554/365,0)</f>
        <v>471370</v>
      </c>
      <c r="M554" s="3">
        <v>370000000</v>
      </c>
    </row>
    <row r="555" spans="1:13" s="16" customFormat="1" outlineLevel="2">
      <c r="A555" s="17" t="s">
        <v>52</v>
      </c>
      <c r="B555" s="18" t="s">
        <v>47</v>
      </c>
      <c r="C555" s="19" t="s">
        <v>183</v>
      </c>
      <c r="D555" s="18" t="s">
        <v>182</v>
      </c>
      <c r="E555" s="3">
        <v>49200000</v>
      </c>
      <c r="F555" s="17">
        <v>43683</v>
      </c>
      <c r="G555" s="3">
        <v>49200000</v>
      </c>
      <c r="H555" s="2">
        <v>5.0000000000000001E-3</v>
      </c>
      <c r="I555" s="17">
        <v>43800</v>
      </c>
      <c r="J555" s="17">
        <v>43830</v>
      </c>
      <c r="K555" s="3">
        <f>J555-I555+1</f>
        <v>31</v>
      </c>
      <c r="L555" s="3">
        <f>ROUND(G555*H555*K555/365,0)</f>
        <v>20893</v>
      </c>
      <c r="M555" s="3">
        <v>49200000</v>
      </c>
    </row>
    <row r="556" spans="1:13" s="16" customFormat="1" outlineLevel="2">
      <c r="A556" s="17" t="s">
        <v>52</v>
      </c>
      <c r="B556" s="18" t="s">
        <v>46</v>
      </c>
      <c r="C556" s="19" t="s">
        <v>183</v>
      </c>
      <c r="D556" s="18" t="s">
        <v>182</v>
      </c>
      <c r="E556" s="3">
        <v>10098793</v>
      </c>
      <c r="F556" s="17">
        <v>43698</v>
      </c>
      <c r="G556" s="3">
        <v>10098793</v>
      </c>
      <c r="H556" s="2">
        <v>5.0000000000000001E-3</v>
      </c>
      <c r="I556" s="17">
        <v>43800</v>
      </c>
      <c r="J556" s="17">
        <v>43830</v>
      </c>
      <c r="K556" s="3">
        <f>J556-I556+1</f>
        <v>31</v>
      </c>
      <c r="L556" s="3">
        <f>ROUND(G556*H556*K556/365,0)</f>
        <v>4289</v>
      </c>
      <c r="M556" s="3">
        <v>10098793</v>
      </c>
    </row>
    <row r="557" spans="1:13" s="16" customFormat="1" outlineLevel="2">
      <c r="A557" s="17" t="s">
        <v>52</v>
      </c>
      <c r="B557" s="18" t="s">
        <v>45</v>
      </c>
      <c r="C557" s="19" t="s">
        <v>183</v>
      </c>
      <c r="D557" s="18" t="s">
        <v>182</v>
      </c>
      <c r="E557" s="3">
        <v>9667674</v>
      </c>
      <c r="F557" s="17">
        <v>43713</v>
      </c>
      <c r="G557" s="3">
        <v>9667674</v>
      </c>
      <c r="H557" s="2">
        <v>5.0000000000000001E-3</v>
      </c>
      <c r="I557" s="17">
        <v>43800</v>
      </c>
      <c r="J557" s="17">
        <v>43830</v>
      </c>
      <c r="K557" s="3">
        <f>J557-I557+1</f>
        <v>31</v>
      </c>
      <c r="L557" s="3">
        <f>ROUND(G557*H557*K557/365,0)</f>
        <v>4105</v>
      </c>
      <c r="M557" s="3">
        <v>9667674</v>
      </c>
    </row>
    <row r="558" spans="1:13" s="16" customFormat="1" outlineLevel="2">
      <c r="A558" s="17" t="s">
        <v>52</v>
      </c>
      <c r="B558" s="18" t="s">
        <v>44</v>
      </c>
      <c r="C558" s="19" t="s">
        <v>183</v>
      </c>
      <c r="D558" s="18" t="s">
        <v>182</v>
      </c>
      <c r="E558" s="3">
        <v>10239814</v>
      </c>
      <c r="F558" s="17">
        <v>43727</v>
      </c>
      <c r="G558" s="3">
        <v>10239814</v>
      </c>
      <c r="H558" s="2">
        <v>5.0000000000000001E-3</v>
      </c>
      <c r="I558" s="17">
        <v>43800</v>
      </c>
      <c r="J558" s="17">
        <v>43830</v>
      </c>
      <c r="K558" s="3">
        <f>J558-I558+1</f>
        <v>31</v>
      </c>
      <c r="L558" s="3">
        <f>ROUND(G558*H558*K558/365,0)</f>
        <v>4348</v>
      </c>
      <c r="M558" s="3">
        <v>10239814</v>
      </c>
    </row>
    <row r="559" spans="1:13" s="16" customFormat="1" outlineLevel="1">
      <c r="A559" s="28" t="s">
        <v>49</v>
      </c>
      <c r="B559" s="21"/>
      <c r="C559" s="22"/>
      <c r="D559" s="21"/>
      <c r="E559" s="23">
        <f>SUBTOTAL(9,E530:E558)</f>
        <v>4651248600</v>
      </c>
      <c r="F559" s="20"/>
      <c r="G559" s="23"/>
      <c r="H559" s="24"/>
      <c r="I559" s="20"/>
      <c r="J559" s="20"/>
      <c r="K559" s="23"/>
      <c r="L559" s="23">
        <f>SUBTOTAL(9,L530:L558)</f>
        <v>3571406</v>
      </c>
      <c r="M559" s="23">
        <f>SUBTOTAL(9,M530:M558)</f>
        <v>4651248600</v>
      </c>
    </row>
    <row r="560" spans="1:13" s="16" customFormat="1" outlineLevel="2">
      <c r="A560" s="17" t="s">
        <v>29</v>
      </c>
      <c r="B560" s="18" t="s">
        <v>17</v>
      </c>
      <c r="C560" s="19" t="s">
        <v>43</v>
      </c>
      <c r="D560" s="18" t="s">
        <v>26</v>
      </c>
      <c r="E560" s="3">
        <v>25874221</v>
      </c>
      <c r="F560" s="17">
        <v>43605</v>
      </c>
      <c r="G560" s="3">
        <v>25874221</v>
      </c>
      <c r="H560" s="2">
        <v>1.4999999999999999E-2</v>
      </c>
      <c r="I560" s="17">
        <v>43800</v>
      </c>
      <c r="J560" s="17">
        <v>43830</v>
      </c>
      <c r="K560" s="3">
        <f>J560-I560+1</f>
        <v>31</v>
      </c>
      <c r="L560" s="3">
        <f>ROUND(G560*H560*K560/365,0)</f>
        <v>32963</v>
      </c>
      <c r="M560" s="3">
        <v>25874221</v>
      </c>
    </row>
    <row r="561" spans="1:13" s="16" customFormat="1" outlineLevel="2">
      <c r="A561" s="17" t="s">
        <v>29</v>
      </c>
      <c r="B561" s="18" t="s">
        <v>181</v>
      </c>
      <c r="C561" s="19" t="s">
        <v>43</v>
      </c>
      <c r="D561" s="18" t="s">
        <v>26</v>
      </c>
      <c r="E561" s="3">
        <v>3361050</v>
      </c>
      <c r="F561" s="17">
        <v>43654</v>
      </c>
      <c r="G561" s="3">
        <v>3361050</v>
      </c>
      <c r="H561" s="2">
        <v>1.4999999999999999E-2</v>
      </c>
      <c r="I561" s="17">
        <v>43800</v>
      </c>
      <c r="J561" s="17">
        <v>43830</v>
      </c>
      <c r="K561" s="3">
        <f>J561-I561+1</f>
        <v>31</v>
      </c>
      <c r="L561" s="3">
        <f>ROUND(G561*H561*K561/365,0)</f>
        <v>4282</v>
      </c>
      <c r="M561" s="3">
        <v>3361050</v>
      </c>
    </row>
    <row r="562" spans="1:13" s="16" customFormat="1" outlineLevel="2">
      <c r="A562" s="17" t="s">
        <v>29</v>
      </c>
      <c r="B562" s="18" t="s">
        <v>384</v>
      </c>
      <c r="C562" s="19" t="s">
        <v>150</v>
      </c>
      <c r="D562" s="18" t="s">
        <v>149</v>
      </c>
      <c r="E562" s="3">
        <v>2811800</v>
      </c>
      <c r="F562" s="17">
        <v>43789</v>
      </c>
      <c r="G562" s="3">
        <v>2811800</v>
      </c>
      <c r="H562" s="2">
        <v>5.0000000000000001E-3</v>
      </c>
      <c r="I562" s="17">
        <v>43800</v>
      </c>
      <c r="J562" s="17">
        <v>43830</v>
      </c>
      <c r="K562" s="3">
        <f>J562-I562+1</f>
        <v>31</v>
      </c>
      <c r="L562" s="3">
        <f>ROUND(G562*H562*K562/365,0)</f>
        <v>1194</v>
      </c>
      <c r="M562" s="3">
        <v>2811800</v>
      </c>
    </row>
    <row r="563" spans="1:13" s="16" customFormat="1" outlineLevel="2">
      <c r="A563" s="17" t="s">
        <v>29</v>
      </c>
      <c r="B563" s="18" t="s">
        <v>383</v>
      </c>
      <c r="C563" s="19" t="s">
        <v>150</v>
      </c>
      <c r="D563" s="18" t="s">
        <v>149</v>
      </c>
      <c r="E563" s="3">
        <v>12358240</v>
      </c>
      <c r="F563" s="17">
        <v>43796</v>
      </c>
      <c r="G563" s="3">
        <v>12358240</v>
      </c>
      <c r="H563" s="2">
        <v>5.0000000000000001E-3</v>
      </c>
      <c r="I563" s="17">
        <v>43800</v>
      </c>
      <c r="J563" s="17">
        <v>43830</v>
      </c>
      <c r="K563" s="3">
        <f>J563-I563+1</f>
        <v>31</v>
      </c>
      <c r="L563" s="3">
        <f>ROUND(G563*H563*K563/365,0)</f>
        <v>5248</v>
      </c>
      <c r="M563" s="3">
        <v>12358240</v>
      </c>
    </row>
    <row r="564" spans="1:13" s="16" customFormat="1" outlineLevel="2">
      <c r="A564" s="17" t="s">
        <v>29</v>
      </c>
      <c r="B564" s="18" t="s">
        <v>382</v>
      </c>
      <c r="C564" s="19" t="s">
        <v>150</v>
      </c>
      <c r="D564" s="18" t="s">
        <v>149</v>
      </c>
      <c r="E564" s="3">
        <v>2373023</v>
      </c>
      <c r="F564" s="17">
        <v>43796</v>
      </c>
      <c r="G564" s="3">
        <v>2373023</v>
      </c>
      <c r="H564" s="2">
        <v>5.0000000000000001E-3</v>
      </c>
      <c r="I564" s="17">
        <v>43800</v>
      </c>
      <c r="J564" s="17">
        <v>43830</v>
      </c>
      <c r="K564" s="3">
        <f>J564-I564+1</f>
        <v>31</v>
      </c>
      <c r="L564" s="3">
        <f>ROUND(G564*H564*K564/365,0)</f>
        <v>1008</v>
      </c>
      <c r="M564" s="3">
        <v>2373023</v>
      </c>
    </row>
    <row r="565" spans="1:13" s="16" customFormat="1" outlineLevel="2">
      <c r="A565" s="17" t="s">
        <v>29</v>
      </c>
      <c r="B565" s="18" t="s">
        <v>381</v>
      </c>
      <c r="C565" s="19" t="s">
        <v>150</v>
      </c>
      <c r="D565" s="18" t="s">
        <v>149</v>
      </c>
      <c r="E565" s="3">
        <v>6000000</v>
      </c>
      <c r="F565" s="17">
        <v>43797</v>
      </c>
      <c r="G565" s="3">
        <v>6000000</v>
      </c>
      <c r="H565" s="2">
        <v>5.0000000000000001E-3</v>
      </c>
      <c r="I565" s="17">
        <v>43800</v>
      </c>
      <c r="J565" s="17">
        <v>43830</v>
      </c>
      <c r="K565" s="3">
        <f>J565-I565+1</f>
        <v>31</v>
      </c>
      <c r="L565" s="3">
        <f>ROUND(G565*H565*K565/365,0)</f>
        <v>2548</v>
      </c>
      <c r="M565" s="3">
        <v>6000000</v>
      </c>
    </row>
    <row r="566" spans="1:13" s="16" customFormat="1" outlineLevel="2">
      <c r="A566" s="17" t="s">
        <v>29</v>
      </c>
      <c r="B566" s="18" t="s">
        <v>380</v>
      </c>
      <c r="C566" s="19" t="s">
        <v>150</v>
      </c>
      <c r="D566" s="18" t="s">
        <v>149</v>
      </c>
      <c r="E566" s="3">
        <v>12370219</v>
      </c>
      <c r="F566" s="17">
        <v>43787</v>
      </c>
      <c r="G566" s="3">
        <v>12370219</v>
      </c>
      <c r="H566" s="2">
        <v>3.0000000000000001E-3</v>
      </c>
      <c r="I566" s="17">
        <v>43800</v>
      </c>
      <c r="J566" s="17">
        <v>43830</v>
      </c>
      <c r="K566" s="3">
        <f>J566-I566+1</f>
        <v>31</v>
      </c>
      <c r="L566" s="3">
        <f>ROUND(G566*H566*K566/365,0)</f>
        <v>3152</v>
      </c>
      <c r="M566" s="3">
        <v>12370219</v>
      </c>
    </row>
    <row r="567" spans="1:13" s="16" customFormat="1" outlineLevel="2">
      <c r="A567" s="17" t="s">
        <v>29</v>
      </c>
      <c r="B567" s="18" t="s">
        <v>379</v>
      </c>
      <c r="C567" s="19" t="s">
        <v>150</v>
      </c>
      <c r="D567" s="18" t="s">
        <v>149</v>
      </c>
      <c r="E567" s="3">
        <v>6092127</v>
      </c>
      <c r="F567" s="17">
        <v>43788</v>
      </c>
      <c r="G567" s="3">
        <v>6092127</v>
      </c>
      <c r="H567" s="2">
        <v>3.0000000000000001E-3</v>
      </c>
      <c r="I567" s="17">
        <v>43800</v>
      </c>
      <c r="J567" s="17">
        <v>43830</v>
      </c>
      <c r="K567" s="3">
        <f>J567-I567+1</f>
        <v>31</v>
      </c>
      <c r="L567" s="3">
        <f>ROUND(G567*H567*K567/365,0)</f>
        <v>1552</v>
      </c>
      <c r="M567" s="3">
        <v>6092127</v>
      </c>
    </row>
    <row r="568" spans="1:13" s="16" customFormat="1" outlineLevel="2">
      <c r="A568" s="17" t="s">
        <v>29</v>
      </c>
      <c r="B568" s="18" t="s">
        <v>378</v>
      </c>
      <c r="C568" s="19" t="s">
        <v>150</v>
      </c>
      <c r="D568" s="18" t="s">
        <v>149</v>
      </c>
      <c r="E568" s="3">
        <v>18018574</v>
      </c>
      <c r="F568" s="17">
        <v>43789</v>
      </c>
      <c r="G568" s="3">
        <v>18018574</v>
      </c>
      <c r="H568" s="2">
        <v>3.0000000000000001E-3</v>
      </c>
      <c r="I568" s="17">
        <v>43800</v>
      </c>
      <c r="J568" s="17">
        <v>43830</v>
      </c>
      <c r="K568" s="3">
        <f>J568-I568+1</f>
        <v>31</v>
      </c>
      <c r="L568" s="3">
        <f>ROUND(G568*H568*K568/365,0)</f>
        <v>4591</v>
      </c>
      <c r="M568" s="3">
        <v>18018574</v>
      </c>
    </row>
    <row r="569" spans="1:13" s="16" customFormat="1" outlineLevel="2">
      <c r="A569" s="17" t="s">
        <v>29</v>
      </c>
      <c r="B569" s="18" t="s">
        <v>377</v>
      </c>
      <c r="C569" s="19" t="s">
        <v>150</v>
      </c>
      <c r="D569" s="18" t="s">
        <v>149</v>
      </c>
      <c r="E569" s="3">
        <v>6850200</v>
      </c>
      <c r="F569" s="17">
        <v>43789</v>
      </c>
      <c r="G569" s="3">
        <v>6850200</v>
      </c>
      <c r="H569" s="2">
        <v>3.0000000000000001E-3</v>
      </c>
      <c r="I569" s="17">
        <v>43800</v>
      </c>
      <c r="J569" s="17">
        <v>43830</v>
      </c>
      <c r="K569" s="3">
        <f>J569-I569+1</f>
        <v>31</v>
      </c>
      <c r="L569" s="3">
        <f>ROUND(G569*H569*K569/365,0)</f>
        <v>1745</v>
      </c>
      <c r="M569" s="3">
        <v>6850200</v>
      </c>
    </row>
    <row r="570" spans="1:13" s="16" customFormat="1" outlineLevel="2">
      <c r="A570" s="17" t="s">
        <v>29</v>
      </c>
      <c r="B570" s="18" t="s">
        <v>376</v>
      </c>
      <c r="C570" s="19" t="s">
        <v>150</v>
      </c>
      <c r="D570" s="18" t="s">
        <v>149</v>
      </c>
      <c r="E570" s="3">
        <v>2509955</v>
      </c>
      <c r="F570" s="17">
        <v>43794</v>
      </c>
      <c r="G570" s="3">
        <v>2509955</v>
      </c>
      <c r="H570" s="2">
        <v>3.0000000000000001E-3</v>
      </c>
      <c r="I570" s="17">
        <v>43800</v>
      </c>
      <c r="J570" s="17">
        <v>43830</v>
      </c>
      <c r="K570" s="3">
        <f>J570-I570+1</f>
        <v>31</v>
      </c>
      <c r="L570" s="3">
        <f>ROUND(G570*H570*K570/365,0)</f>
        <v>640</v>
      </c>
      <c r="M570" s="3">
        <v>2509955</v>
      </c>
    </row>
    <row r="571" spans="1:13" s="16" customFormat="1" outlineLevel="2">
      <c r="A571" s="17" t="s">
        <v>29</v>
      </c>
      <c r="B571" s="18" t="s">
        <v>375</v>
      </c>
      <c r="C571" s="19" t="s">
        <v>233</v>
      </c>
      <c r="D571" s="18" t="s">
        <v>232</v>
      </c>
      <c r="E571" s="3">
        <v>2429648</v>
      </c>
      <c r="F571" s="17">
        <v>43798</v>
      </c>
      <c r="G571" s="3">
        <v>2429648</v>
      </c>
      <c r="H571" s="2">
        <v>1.4999999999999999E-2</v>
      </c>
      <c r="I571" s="17">
        <v>43800</v>
      </c>
      <c r="J571" s="17">
        <v>43830</v>
      </c>
      <c r="K571" s="3">
        <f>J571-I571+1</f>
        <v>31</v>
      </c>
      <c r="L571" s="3">
        <f>ROUND(G571*H571*K571/365,0)</f>
        <v>3095</v>
      </c>
      <c r="M571" s="3">
        <v>2429648</v>
      </c>
    </row>
    <row r="572" spans="1:13" s="16" customFormat="1" outlineLevel="2">
      <c r="A572" s="17" t="s">
        <v>29</v>
      </c>
      <c r="B572" s="18" t="s">
        <v>180</v>
      </c>
      <c r="C572" s="19" t="s">
        <v>43</v>
      </c>
      <c r="D572" s="18" t="s">
        <v>26</v>
      </c>
      <c r="E572" s="3">
        <v>23833840</v>
      </c>
      <c r="F572" s="17">
        <v>43664</v>
      </c>
      <c r="G572" s="3">
        <v>23833840</v>
      </c>
      <c r="H572" s="2">
        <v>1.4999999999999999E-2</v>
      </c>
      <c r="I572" s="17">
        <v>43800</v>
      </c>
      <c r="J572" s="17">
        <v>43830</v>
      </c>
      <c r="K572" s="3">
        <f>J572-I572+1</f>
        <v>31</v>
      </c>
      <c r="L572" s="3">
        <f>ROUND(G572*H572*K572/365,0)</f>
        <v>30364</v>
      </c>
      <c r="M572" s="3">
        <v>23833840</v>
      </c>
    </row>
    <row r="573" spans="1:13" s="16" customFormat="1" outlineLevel="2">
      <c r="A573" s="17" t="s">
        <v>29</v>
      </c>
      <c r="B573" s="18" t="s">
        <v>374</v>
      </c>
      <c r="C573" s="19" t="s">
        <v>233</v>
      </c>
      <c r="D573" s="18" t="s">
        <v>232</v>
      </c>
      <c r="E573" s="3">
        <v>9761568</v>
      </c>
      <c r="F573" s="17">
        <v>43770</v>
      </c>
      <c r="G573" s="3">
        <v>9761568</v>
      </c>
      <c r="H573" s="2">
        <v>1.4999999999999999E-2</v>
      </c>
      <c r="I573" s="17">
        <v>43800</v>
      </c>
      <c r="J573" s="17">
        <v>43830</v>
      </c>
      <c r="K573" s="3">
        <f>J573-I573+1</f>
        <v>31</v>
      </c>
      <c r="L573" s="3">
        <f>ROUND(G573*H573*K573/365,0)</f>
        <v>12436</v>
      </c>
      <c r="M573" s="3">
        <v>9761568</v>
      </c>
    </row>
    <row r="574" spans="1:13" s="16" customFormat="1" outlineLevel="2">
      <c r="A574" s="17" t="s">
        <v>29</v>
      </c>
      <c r="B574" s="18" t="s">
        <v>373</v>
      </c>
      <c r="C574" s="19" t="s">
        <v>233</v>
      </c>
      <c r="D574" s="18" t="s">
        <v>232</v>
      </c>
      <c r="E574" s="3">
        <v>43469644</v>
      </c>
      <c r="F574" s="17">
        <v>43784</v>
      </c>
      <c r="G574" s="3">
        <v>43469644</v>
      </c>
      <c r="H574" s="2">
        <v>1.4999999999999999E-2</v>
      </c>
      <c r="I574" s="17">
        <v>43800</v>
      </c>
      <c r="J574" s="17">
        <v>43830</v>
      </c>
      <c r="K574" s="3">
        <f>J574-I574+1</f>
        <v>31</v>
      </c>
      <c r="L574" s="3">
        <f>ROUND(G574*H574*K574/365,0)</f>
        <v>55379</v>
      </c>
      <c r="M574" s="3">
        <v>43469644</v>
      </c>
    </row>
    <row r="575" spans="1:13" s="16" customFormat="1" outlineLevel="2">
      <c r="A575" s="17" t="s">
        <v>29</v>
      </c>
      <c r="B575" s="18" t="s">
        <v>372</v>
      </c>
      <c r="C575" s="19" t="s">
        <v>313</v>
      </c>
      <c r="D575" s="18" t="s">
        <v>312</v>
      </c>
      <c r="E575" s="3">
        <v>5000000</v>
      </c>
      <c r="F575" s="17">
        <v>43788</v>
      </c>
      <c r="G575" s="3">
        <v>5000000</v>
      </c>
      <c r="H575" s="2">
        <v>5.0000000000000001E-3</v>
      </c>
      <c r="I575" s="17">
        <v>43800</v>
      </c>
      <c r="J575" s="17">
        <v>43830</v>
      </c>
      <c r="K575" s="3">
        <f>J575-I575+1</f>
        <v>31</v>
      </c>
      <c r="L575" s="3">
        <f>ROUND(G575*H575*K575/365,0)</f>
        <v>2123</v>
      </c>
      <c r="M575" s="3">
        <v>5000000</v>
      </c>
    </row>
    <row r="576" spans="1:13" s="16" customFormat="1" outlineLevel="2">
      <c r="A576" s="17" t="s">
        <v>29</v>
      </c>
      <c r="B576" s="18" t="s">
        <v>371</v>
      </c>
      <c r="C576" s="19" t="s">
        <v>370</v>
      </c>
      <c r="D576" s="18" t="s">
        <v>369</v>
      </c>
      <c r="E576" s="3">
        <v>40000000</v>
      </c>
      <c r="F576" s="17">
        <v>43798</v>
      </c>
      <c r="G576" s="3">
        <v>40000000</v>
      </c>
      <c r="H576" s="2">
        <v>5.0000000000000001E-3</v>
      </c>
      <c r="I576" s="17">
        <v>43800</v>
      </c>
      <c r="J576" s="17">
        <v>43830</v>
      </c>
      <c r="K576" s="3">
        <f>J576-I576+1</f>
        <v>31</v>
      </c>
      <c r="L576" s="3">
        <f>ROUND(G576*H576*K576/365,0)</f>
        <v>16986</v>
      </c>
      <c r="M576" s="3">
        <v>40000000</v>
      </c>
    </row>
    <row r="577" spans="1:13" s="16" customFormat="1" outlineLevel="2">
      <c r="A577" s="17" t="s">
        <v>29</v>
      </c>
      <c r="B577" s="18" t="s">
        <v>435</v>
      </c>
      <c r="C577" s="19" t="s">
        <v>159</v>
      </c>
      <c r="D577" s="18" t="s">
        <v>158</v>
      </c>
      <c r="E577" s="3">
        <v>29935000</v>
      </c>
      <c r="F577" s="17">
        <v>43816</v>
      </c>
      <c r="G577" s="3">
        <v>29935000</v>
      </c>
      <c r="H577" s="2">
        <v>1.4999999999999999E-2</v>
      </c>
      <c r="I577" s="17">
        <v>43816</v>
      </c>
      <c r="J577" s="17">
        <v>43830</v>
      </c>
      <c r="K577" s="3">
        <f>J577-I577+1</f>
        <v>15</v>
      </c>
      <c r="L577" s="3">
        <f>ROUND(G577*H577*K577/365,0)</f>
        <v>18453</v>
      </c>
      <c r="M577" s="3">
        <v>29935000</v>
      </c>
    </row>
    <row r="578" spans="1:13" s="16" customFormat="1" outlineLevel="2">
      <c r="A578" s="17" t="s">
        <v>29</v>
      </c>
      <c r="B578" s="18" t="s">
        <v>434</v>
      </c>
      <c r="C578" s="19" t="s">
        <v>159</v>
      </c>
      <c r="D578" s="18" t="s">
        <v>158</v>
      </c>
      <c r="E578" s="3">
        <v>6542000</v>
      </c>
      <c r="F578" s="17">
        <v>43816</v>
      </c>
      <c r="G578" s="3">
        <v>6542000</v>
      </c>
      <c r="H578" s="2">
        <v>1.4999999999999999E-2</v>
      </c>
      <c r="I578" s="17">
        <v>43816</v>
      </c>
      <c r="J578" s="17">
        <v>43830</v>
      </c>
      <c r="K578" s="3">
        <f>J578-I578+1</f>
        <v>15</v>
      </c>
      <c r="L578" s="3">
        <f>ROUND(G578*H578*K578/365,0)</f>
        <v>4033</v>
      </c>
      <c r="M578" s="3">
        <v>6542000</v>
      </c>
    </row>
    <row r="579" spans="1:13" s="16" customFormat="1" outlineLevel="2">
      <c r="A579" s="17" t="s">
        <v>29</v>
      </c>
      <c r="B579" s="18" t="s">
        <v>433</v>
      </c>
      <c r="C579" s="19" t="s">
        <v>163</v>
      </c>
      <c r="D579" s="18" t="s">
        <v>162</v>
      </c>
      <c r="E579" s="3">
        <v>34600000</v>
      </c>
      <c r="F579" s="17">
        <v>43811</v>
      </c>
      <c r="G579" s="3">
        <v>34600000</v>
      </c>
      <c r="H579" s="2">
        <v>1.4999999999999999E-2</v>
      </c>
      <c r="I579" s="17">
        <v>43811</v>
      </c>
      <c r="J579" s="17">
        <v>43830</v>
      </c>
      <c r="K579" s="3">
        <f>J579-I579+1</f>
        <v>20</v>
      </c>
      <c r="L579" s="3">
        <f>ROUND(G579*H579*K579/365,0)</f>
        <v>28438</v>
      </c>
      <c r="M579" s="3">
        <v>34600000</v>
      </c>
    </row>
    <row r="580" spans="1:13" s="16" customFormat="1" outlineLevel="2">
      <c r="A580" s="17" t="s">
        <v>29</v>
      </c>
      <c r="B580" s="18" t="s">
        <v>432</v>
      </c>
      <c r="C580" s="19" t="s">
        <v>51</v>
      </c>
      <c r="D580" s="18" t="s">
        <v>50</v>
      </c>
      <c r="E580" s="3">
        <v>174000000</v>
      </c>
      <c r="F580" s="17">
        <v>43812</v>
      </c>
      <c r="G580" s="3">
        <v>174000000</v>
      </c>
      <c r="H580" s="2">
        <v>1.4999999999999999E-2</v>
      </c>
      <c r="I580" s="17">
        <v>43812</v>
      </c>
      <c r="J580" s="17">
        <v>43830</v>
      </c>
      <c r="K580" s="3">
        <f>J580-I580+1</f>
        <v>19</v>
      </c>
      <c r="L580" s="3">
        <f>ROUND(G580*H580*K580/365,0)</f>
        <v>135863</v>
      </c>
      <c r="M580" s="3">
        <v>174000000</v>
      </c>
    </row>
    <row r="581" spans="1:13" s="16" customFormat="1" outlineLevel="2">
      <c r="A581" s="17" t="s">
        <v>29</v>
      </c>
      <c r="B581" s="18" t="s">
        <v>431</v>
      </c>
      <c r="C581" s="19" t="s">
        <v>150</v>
      </c>
      <c r="D581" s="18" t="s">
        <v>149</v>
      </c>
      <c r="E581" s="3">
        <v>6287511</v>
      </c>
      <c r="F581" s="17">
        <v>43801</v>
      </c>
      <c r="G581" s="3">
        <v>6287511</v>
      </c>
      <c r="H581" s="2">
        <v>5.0000000000000001E-3</v>
      </c>
      <c r="I581" s="17">
        <v>43801</v>
      </c>
      <c r="J581" s="17">
        <v>43830</v>
      </c>
      <c r="K581" s="3">
        <f>J581-I581+1</f>
        <v>30</v>
      </c>
      <c r="L581" s="3">
        <f>ROUND(G581*H581*K581/365,0)</f>
        <v>2584</v>
      </c>
      <c r="M581" s="3">
        <v>6287511</v>
      </c>
    </row>
    <row r="582" spans="1:13" s="16" customFormat="1" outlineLevel="2">
      <c r="A582" s="17" t="s">
        <v>29</v>
      </c>
      <c r="B582" s="18" t="s">
        <v>430</v>
      </c>
      <c r="C582" s="19" t="s">
        <v>150</v>
      </c>
      <c r="D582" s="18" t="s">
        <v>149</v>
      </c>
      <c r="E582" s="3">
        <v>3339746</v>
      </c>
      <c r="F582" s="17">
        <v>43803</v>
      </c>
      <c r="G582" s="3">
        <v>3339746</v>
      </c>
      <c r="H582" s="2">
        <v>5.0000000000000001E-3</v>
      </c>
      <c r="I582" s="17">
        <v>43803</v>
      </c>
      <c r="J582" s="17">
        <v>43830</v>
      </c>
      <c r="K582" s="3">
        <f>J582-I582+1</f>
        <v>28</v>
      </c>
      <c r="L582" s="3">
        <f>ROUND(G582*H582*K582/365,0)</f>
        <v>1281</v>
      </c>
      <c r="M582" s="3">
        <v>3339746</v>
      </c>
    </row>
    <row r="583" spans="1:13" s="16" customFormat="1" outlineLevel="2">
      <c r="A583" s="17" t="s">
        <v>29</v>
      </c>
      <c r="B583" s="18" t="s">
        <v>179</v>
      </c>
      <c r="C583" s="19" t="s">
        <v>43</v>
      </c>
      <c r="D583" s="18" t="s">
        <v>26</v>
      </c>
      <c r="E583" s="3">
        <v>92130451</v>
      </c>
      <c r="F583" s="17">
        <v>43665</v>
      </c>
      <c r="G583" s="3">
        <v>92130451</v>
      </c>
      <c r="H583" s="2">
        <v>1.4999999999999999E-2</v>
      </c>
      <c r="I583" s="17">
        <v>43800</v>
      </c>
      <c r="J583" s="17">
        <v>43830</v>
      </c>
      <c r="K583" s="3">
        <f>J583-I583+1</f>
        <v>31</v>
      </c>
      <c r="L583" s="3">
        <f>ROUND(G583*H583*K583/365,0)</f>
        <v>117372</v>
      </c>
      <c r="M583" s="3">
        <v>92130451</v>
      </c>
    </row>
    <row r="584" spans="1:13" s="16" customFormat="1" outlineLevel="2">
      <c r="A584" s="17" t="s">
        <v>29</v>
      </c>
      <c r="B584" s="18" t="s">
        <v>429</v>
      </c>
      <c r="C584" s="19" t="s">
        <v>150</v>
      </c>
      <c r="D584" s="18" t="s">
        <v>149</v>
      </c>
      <c r="E584" s="3">
        <v>11757800</v>
      </c>
      <c r="F584" s="17">
        <v>43803</v>
      </c>
      <c r="G584" s="3">
        <v>11757800</v>
      </c>
      <c r="H584" s="2">
        <v>5.0000000000000001E-3</v>
      </c>
      <c r="I584" s="17">
        <v>43803</v>
      </c>
      <c r="J584" s="17">
        <v>43830</v>
      </c>
      <c r="K584" s="3">
        <f>J584-I584+1</f>
        <v>28</v>
      </c>
      <c r="L584" s="3">
        <f>ROUND(G584*H584*K584/365,0)</f>
        <v>4510</v>
      </c>
      <c r="M584" s="3">
        <v>11757800</v>
      </c>
    </row>
    <row r="585" spans="1:13" s="16" customFormat="1" outlineLevel="2">
      <c r="A585" s="17" t="s">
        <v>29</v>
      </c>
      <c r="B585" s="18" t="s">
        <v>428</v>
      </c>
      <c r="C585" s="19" t="s">
        <v>150</v>
      </c>
      <c r="D585" s="18" t="s">
        <v>149</v>
      </c>
      <c r="E585" s="3">
        <v>8685054</v>
      </c>
      <c r="F585" s="17">
        <v>43810</v>
      </c>
      <c r="G585" s="3">
        <v>8685054</v>
      </c>
      <c r="H585" s="2">
        <v>5.0000000000000001E-3</v>
      </c>
      <c r="I585" s="17">
        <v>43810</v>
      </c>
      <c r="J585" s="17">
        <v>43830</v>
      </c>
      <c r="K585" s="3">
        <f>J585-I585+1</f>
        <v>21</v>
      </c>
      <c r="L585" s="3">
        <f>ROUND(G585*H585*K585/365,0)</f>
        <v>2498</v>
      </c>
      <c r="M585" s="3">
        <v>8685054</v>
      </c>
    </row>
    <row r="586" spans="1:13" s="16" customFormat="1" outlineLevel="2">
      <c r="A586" s="17" t="s">
        <v>29</v>
      </c>
      <c r="B586" s="18" t="s">
        <v>427</v>
      </c>
      <c r="C586" s="19" t="s">
        <v>150</v>
      </c>
      <c r="D586" s="18" t="s">
        <v>149</v>
      </c>
      <c r="E586" s="3">
        <v>6750937</v>
      </c>
      <c r="F586" s="17">
        <v>43811</v>
      </c>
      <c r="G586" s="3">
        <v>6750937</v>
      </c>
      <c r="H586" s="2">
        <v>5.0000000000000001E-3</v>
      </c>
      <c r="I586" s="17">
        <v>43811</v>
      </c>
      <c r="J586" s="17">
        <v>43830</v>
      </c>
      <c r="K586" s="3">
        <f>J586-I586+1</f>
        <v>20</v>
      </c>
      <c r="L586" s="3">
        <f>ROUND(G586*H586*K586/365,0)</f>
        <v>1850</v>
      </c>
      <c r="M586" s="3">
        <v>6750937</v>
      </c>
    </row>
    <row r="587" spans="1:13" s="16" customFormat="1" outlineLevel="2">
      <c r="A587" s="17" t="s">
        <v>29</v>
      </c>
      <c r="B587" s="18" t="s">
        <v>426</v>
      </c>
      <c r="C587" s="19" t="s">
        <v>150</v>
      </c>
      <c r="D587" s="18" t="s">
        <v>149</v>
      </c>
      <c r="E587" s="3">
        <v>83161753</v>
      </c>
      <c r="F587" s="17">
        <v>43817</v>
      </c>
      <c r="G587" s="3">
        <v>83161753</v>
      </c>
      <c r="H587" s="2">
        <v>5.0000000000000001E-3</v>
      </c>
      <c r="I587" s="17">
        <v>43817</v>
      </c>
      <c r="J587" s="17">
        <v>43830</v>
      </c>
      <c r="K587" s="3">
        <f>J587-I587+1</f>
        <v>14</v>
      </c>
      <c r="L587" s="3">
        <f>ROUND(G587*H587*K587/365,0)</f>
        <v>15949</v>
      </c>
      <c r="M587" s="3">
        <v>83161753</v>
      </c>
    </row>
    <row r="588" spans="1:13" s="16" customFormat="1" outlineLevel="2">
      <c r="A588" s="17" t="s">
        <v>29</v>
      </c>
      <c r="B588" s="18" t="s">
        <v>425</v>
      </c>
      <c r="C588" s="19" t="s">
        <v>150</v>
      </c>
      <c r="D588" s="18" t="s">
        <v>149</v>
      </c>
      <c r="E588" s="3">
        <v>3050408</v>
      </c>
      <c r="F588" s="17">
        <v>43817</v>
      </c>
      <c r="G588" s="3">
        <v>3050408</v>
      </c>
      <c r="H588" s="2">
        <v>5.0000000000000001E-3</v>
      </c>
      <c r="I588" s="17">
        <v>43817</v>
      </c>
      <c r="J588" s="17">
        <v>43830</v>
      </c>
      <c r="K588" s="3">
        <f>J588-I588+1</f>
        <v>14</v>
      </c>
      <c r="L588" s="3">
        <f>ROUND(G588*H588*K588/365,0)</f>
        <v>585</v>
      </c>
      <c r="M588" s="3">
        <v>3050408</v>
      </c>
    </row>
    <row r="589" spans="1:13" s="16" customFormat="1" outlineLevel="2">
      <c r="A589" s="17" t="s">
        <v>29</v>
      </c>
      <c r="B589" s="18" t="s">
        <v>424</v>
      </c>
      <c r="C589" s="19" t="s">
        <v>150</v>
      </c>
      <c r="D589" s="18" t="s">
        <v>149</v>
      </c>
      <c r="E589" s="3">
        <v>138405647</v>
      </c>
      <c r="F589" s="17">
        <v>43819</v>
      </c>
      <c r="G589" s="3">
        <v>138405647</v>
      </c>
      <c r="H589" s="2">
        <v>5.0000000000000001E-3</v>
      </c>
      <c r="I589" s="17">
        <v>43819</v>
      </c>
      <c r="J589" s="17">
        <v>43830</v>
      </c>
      <c r="K589" s="3">
        <f>J589-I589+1</f>
        <v>12</v>
      </c>
      <c r="L589" s="3">
        <f>ROUND(G589*H589*K589/365,0)</f>
        <v>22752</v>
      </c>
      <c r="M589" s="3">
        <v>138405647</v>
      </c>
    </row>
    <row r="590" spans="1:13" s="16" customFormat="1" outlineLevel="2">
      <c r="A590" s="17" t="s">
        <v>29</v>
      </c>
      <c r="B590" s="18" t="s">
        <v>423</v>
      </c>
      <c r="C590" s="19" t="s">
        <v>150</v>
      </c>
      <c r="D590" s="18" t="s">
        <v>149</v>
      </c>
      <c r="E590" s="3">
        <v>58942971</v>
      </c>
      <c r="F590" s="17">
        <v>43824</v>
      </c>
      <c r="G590" s="3">
        <v>58942971</v>
      </c>
      <c r="H590" s="2">
        <v>5.0000000000000001E-3</v>
      </c>
      <c r="I590" s="17">
        <v>43824</v>
      </c>
      <c r="J590" s="17">
        <v>43830</v>
      </c>
      <c r="K590" s="3">
        <f>J590-I590+1</f>
        <v>7</v>
      </c>
      <c r="L590" s="3">
        <f>ROUND(G590*H590*K590/365,0)</f>
        <v>5652</v>
      </c>
      <c r="M590" s="3">
        <v>58942971</v>
      </c>
    </row>
    <row r="591" spans="1:13" s="16" customFormat="1" outlineLevel="2">
      <c r="A591" s="17" t="s">
        <v>29</v>
      </c>
      <c r="B591" s="18" t="s">
        <v>422</v>
      </c>
      <c r="C591" s="19" t="s">
        <v>150</v>
      </c>
      <c r="D591" s="18" t="s">
        <v>149</v>
      </c>
      <c r="E591" s="3">
        <v>16311957</v>
      </c>
      <c r="F591" s="17">
        <v>43824</v>
      </c>
      <c r="G591" s="3">
        <v>16311957</v>
      </c>
      <c r="H591" s="2">
        <v>5.0000000000000001E-3</v>
      </c>
      <c r="I591" s="17">
        <v>43824</v>
      </c>
      <c r="J591" s="17">
        <v>43830</v>
      </c>
      <c r="K591" s="3">
        <f>J591-I591+1</f>
        <v>7</v>
      </c>
      <c r="L591" s="3">
        <f>ROUND(G591*H591*K591/365,0)</f>
        <v>1564</v>
      </c>
      <c r="M591" s="3">
        <v>16311957</v>
      </c>
    </row>
    <row r="592" spans="1:13" s="16" customFormat="1" outlineLevel="2">
      <c r="A592" s="17" t="s">
        <v>29</v>
      </c>
      <c r="B592" s="18" t="s">
        <v>421</v>
      </c>
      <c r="C592" s="19" t="s">
        <v>150</v>
      </c>
      <c r="D592" s="18" t="s">
        <v>149</v>
      </c>
      <c r="E592" s="3">
        <v>23018829</v>
      </c>
      <c r="F592" s="17">
        <v>43829</v>
      </c>
      <c r="G592" s="3">
        <v>23018829</v>
      </c>
      <c r="H592" s="2">
        <v>5.0000000000000001E-3</v>
      </c>
      <c r="I592" s="17">
        <v>43829</v>
      </c>
      <c r="J592" s="17">
        <v>43830</v>
      </c>
      <c r="K592" s="3">
        <f>J592-I592+1</f>
        <v>2</v>
      </c>
      <c r="L592" s="3">
        <f>ROUND(G592*H592*K592/365,0)</f>
        <v>631</v>
      </c>
      <c r="M592" s="3">
        <v>23018829</v>
      </c>
    </row>
    <row r="593" spans="1:13" s="16" customFormat="1" outlineLevel="2">
      <c r="A593" s="17" t="s">
        <v>29</v>
      </c>
      <c r="B593" s="18" t="s">
        <v>420</v>
      </c>
      <c r="C593" s="19" t="s">
        <v>150</v>
      </c>
      <c r="D593" s="18" t="s">
        <v>149</v>
      </c>
      <c r="E593" s="3">
        <v>1090276</v>
      </c>
      <c r="F593" s="17">
        <v>43830</v>
      </c>
      <c r="G593" s="3">
        <v>1090276</v>
      </c>
      <c r="H593" s="2">
        <v>5.0000000000000001E-3</v>
      </c>
      <c r="I593" s="17">
        <v>43830</v>
      </c>
      <c r="J593" s="17">
        <v>43830</v>
      </c>
      <c r="K593" s="3">
        <f>J593-I593+1</f>
        <v>1</v>
      </c>
      <c r="L593" s="3">
        <f>ROUND(G593*H593*K593/365,0)</f>
        <v>15</v>
      </c>
      <c r="M593" s="3">
        <v>1090276</v>
      </c>
    </row>
    <row r="594" spans="1:13" s="16" customFormat="1" outlineLevel="2">
      <c r="A594" s="17" t="s">
        <v>29</v>
      </c>
      <c r="B594" s="18" t="s">
        <v>178</v>
      </c>
      <c r="C594" s="19" t="s">
        <v>43</v>
      </c>
      <c r="D594" s="18" t="s">
        <v>26</v>
      </c>
      <c r="E594" s="3">
        <v>13975915</v>
      </c>
      <c r="F594" s="17">
        <v>43675</v>
      </c>
      <c r="G594" s="3">
        <v>13975915</v>
      </c>
      <c r="H594" s="2">
        <v>1.4999999999999999E-2</v>
      </c>
      <c r="I594" s="17">
        <v>43800</v>
      </c>
      <c r="J594" s="17">
        <v>43830</v>
      </c>
      <c r="K594" s="3">
        <f>J594-I594+1</f>
        <v>31</v>
      </c>
      <c r="L594" s="3">
        <f>ROUND(G594*H594*K594/365,0)</f>
        <v>17805</v>
      </c>
      <c r="M594" s="3">
        <v>13975915</v>
      </c>
    </row>
    <row r="595" spans="1:13" s="16" customFormat="1" outlineLevel="2">
      <c r="A595" s="17" t="s">
        <v>29</v>
      </c>
      <c r="B595" s="18" t="s">
        <v>419</v>
      </c>
      <c r="C595" s="19" t="s">
        <v>150</v>
      </c>
      <c r="D595" s="18" t="s">
        <v>149</v>
      </c>
      <c r="E595" s="3">
        <v>3859899</v>
      </c>
      <c r="F595" s="17">
        <v>43801</v>
      </c>
      <c r="G595" s="3">
        <v>3859899</v>
      </c>
      <c r="H595" s="2">
        <v>3.0000000000000001E-3</v>
      </c>
      <c r="I595" s="17">
        <v>43801</v>
      </c>
      <c r="J595" s="17">
        <v>43830</v>
      </c>
      <c r="K595" s="3">
        <f>J595-I595+1</f>
        <v>30</v>
      </c>
      <c r="L595" s="3">
        <f>ROUND(G595*H595*K595/365,0)</f>
        <v>952</v>
      </c>
      <c r="M595" s="3">
        <v>3859899</v>
      </c>
    </row>
    <row r="596" spans="1:13" s="16" customFormat="1" outlineLevel="2">
      <c r="A596" s="17" t="s">
        <v>29</v>
      </c>
      <c r="B596" s="18" t="s">
        <v>418</v>
      </c>
      <c r="C596" s="19" t="s">
        <v>150</v>
      </c>
      <c r="D596" s="18" t="s">
        <v>149</v>
      </c>
      <c r="E596" s="3">
        <v>29855573</v>
      </c>
      <c r="F596" s="17">
        <v>43809</v>
      </c>
      <c r="G596" s="3">
        <v>29855573</v>
      </c>
      <c r="H596" s="2">
        <v>3.0000000000000001E-3</v>
      </c>
      <c r="I596" s="17">
        <v>43809</v>
      </c>
      <c r="J596" s="17">
        <v>43830</v>
      </c>
      <c r="K596" s="3">
        <f>J596-I596+1</f>
        <v>22</v>
      </c>
      <c r="L596" s="3">
        <f>ROUND(G596*H596*K596/365,0)</f>
        <v>5399</v>
      </c>
      <c r="M596" s="3">
        <v>29855573</v>
      </c>
    </row>
    <row r="597" spans="1:13" s="16" customFormat="1" outlineLevel="2">
      <c r="A597" s="17" t="s">
        <v>29</v>
      </c>
      <c r="B597" s="18" t="s">
        <v>417</v>
      </c>
      <c r="C597" s="19" t="s">
        <v>150</v>
      </c>
      <c r="D597" s="18" t="s">
        <v>149</v>
      </c>
      <c r="E597" s="3">
        <v>10809907</v>
      </c>
      <c r="F597" s="17">
        <v>43817</v>
      </c>
      <c r="G597" s="3">
        <v>10809907</v>
      </c>
      <c r="H597" s="2">
        <v>3.0000000000000001E-3</v>
      </c>
      <c r="I597" s="17">
        <v>43817</v>
      </c>
      <c r="J597" s="17">
        <v>43830</v>
      </c>
      <c r="K597" s="3">
        <f>J597-I597+1</f>
        <v>14</v>
      </c>
      <c r="L597" s="3">
        <f>ROUND(G597*H597*K597/365,0)</f>
        <v>1244</v>
      </c>
      <c r="M597" s="3">
        <v>10809907</v>
      </c>
    </row>
    <row r="598" spans="1:13" s="16" customFormat="1" outlineLevel="2">
      <c r="A598" s="17" t="s">
        <v>29</v>
      </c>
      <c r="B598" s="18" t="s">
        <v>416</v>
      </c>
      <c r="C598" s="19" t="s">
        <v>150</v>
      </c>
      <c r="D598" s="18" t="s">
        <v>149</v>
      </c>
      <c r="E598" s="3">
        <v>20482618</v>
      </c>
      <c r="F598" s="17">
        <v>43819</v>
      </c>
      <c r="G598" s="3">
        <v>20482618</v>
      </c>
      <c r="H598" s="2">
        <v>3.0000000000000001E-3</v>
      </c>
      <c r="I598" s="17">
        <v>43819</v>
      </c>
      <c r="J598" s="17">
        <v>43830</v>
      </c>
      <c r="K598" s="3">
        <f>J598-I598+1</f>
        <v>12</v>
      </c>
      <c r="L598" s="3">
        <f>ROUND(G598*H598*K598/365,0)</f>
        <v>2020</v>
      </c>
      <c r="M598" s="3">
        <v>20482618</v>
      </c>
    </row>
    <row r="599" spans="1:13" s="16" customFormat="1" outlineLevel="2">
      <c r="A599" s="17" t="s">
        <v>29</v>
      </c>
      <c r="B599" s="18" t="s">
        <v>415</v>
      </c>
      <c r="C599" s="19" t="s">
        <v>230</v>
      </c>
      <c r="D599" s="18" t="s">
        <v>229</v>
      </c>
      <c r="E599" s="3">
        <v>14600000</v>
      </c>
      <c r="F599" s="17">
        <v>43808</v>
      </c>
      <c r="G599" s="3">
        <v>14600000</v>
      </c>
      <c r="H599" s="2">
        <v>5.0000000000000001E-3</v>
      </c>
      <c r="I599" s="17">
        <v>43808</v>
      </c>
      <c r="J599" s="17">
        <v>43830</v>
      </c>
      <c r="K599" s="3">
        <f>J599-I599+1</f>
        <v>23</v>
      </c>
      <c r="L599" s="3">
        <f>ROUND(G599*H599*K599/365,0)</f>
        <v>4600</v>
      </c>
      <c r="M599" s="3">
        <v>14600000</v>
      </c>
    </row>
    <row r="600" spans="1:13" s="16" customFormat="1" outlineLevel="2">
      <c r="A600" s="17" t="s">
        <v>29</v>
      </c>
      <c r="B600" s="18" t="s">
        <v>414</v>
      </c>
      <c r="C600" s="19" t="s">
        <v>230</v>
      </c>
      <c r="D600" s="18" t="s">
        <v>229</v>
      </c>
      <c r="E600" s="3">
        <v>14400000</v>
      </c>
      <c r="F600" s="17">
        <v>43815</v>
      </c>
      <c r="G600" s="3">
        <v>14400000</v>
      </c>
      <c r="H600" s="2">
        <v>5.0000000000000001E-3</v>
      </c>
      <c r="I600" s="17">
        <v>43815</v>
      </c>
      <c r="J600" s="17">
        <v>43830</v>
      </c>
      <c r="K600" s="3">
        <f>J600-I600+1</f>
        <v>16</v>
      </c>
      <c r="L600" s="3">
        <f>ROUND(G600*H600*K600/365,0)</f>
        <v>3156</v>
      </c>
      <c r="M600" s="3">
        <v>14400000</v>
      </c>
    </row>
    <row r="601" spans="1:13" s="16" customFormat="1" outlineLevel="2">
      <c r="A601" s="17" t="s">
        <v>29</v>
      </c>
      <c r="B601" s="18" t="s">
        <v>413</v>
      </c>
      <c r="C601" s="19" t="s">
        <v>276</v>
      </c>
      <c r="D601" s="18" t="s">
        <v>275</v>
      </c>
      <c r="E601" s="3">
        <v>4760000</v>
      </c>
      <c r="F601" s="17">
        <v>43802</v>
      </c>
      <c r="G601" s="3">
        <v>4760000</v>
      </c>
      <c r="H601" s="2">
        <v>5.0000000000000001E-3</v>
      </c>
      <c r="I601" s="17">
        <v>43802</v>
      </c>
      <c r="J601" s="17">
        <v>43830</v>
      </c>
      <c r="K601" s="3">
        <f>J601-I601+1</f>
        <v>29</v>
      </c>
      <c r="L601" s="3">
        <f>ROUND(G601*H601*K601/365,0)</f>
        <v>1891</v>
      </c>
      <c r="M601" s="3">
        <v>4760000</v>
      </c>
    </row>
    <row r="602" spans="1:13" s="16" customFormat="1" outlineLevel="2">
      <c r="A602" s="17" t="s">
        <v>29</v>
      </c>
      <c r="B602" s="18" t="s">
        <v>412</v>
      </c>
      <c r="C602" s="19" t="s">
        <v>233</v>
      </c>
      <c r="D602" s="18" t="s">
        <v>232</v>
      </c>
      <c r="E602" s="3">
        <v>5648389</v>
      </c>
      <c r="F602" s="17">
        <v>43815</v>
      </c>
      <c r="G602" s="3">
        <v>5648389</v>
      </c>
      <c r="H602" s="2">
        <v>1.4999999999999999E-2</v>
      </c>
      <c r="I602" s="17">
        <v>43815</v>
      </c>
      <c r="J602" s="17">
        <v>43830</v>
      </c>
      <c r="K602" s="3">
        <f>J602-I602+1</f>
        <v>16</v>
      </c>
      <c r="L602" s="3">
        <f>ROUND(G602*H602*K602/365,0)</f>
        <v>3714</v>
      </c>
      <c r="M602" s="3">
        <v>5648389</v>
      </c>
    </row>
    <row r="603" spans="1:13" s="16" customFormat="1" outlineLevel="2">
      <c r="A603" s="17" t="s">
        <v>29</v>
      </c>
      <c r="B603" s="18" t="s">
        <v>411</v>
      </c>
      <c r="C603" s="19" t="s">
        <v>233</v>
      </c>
      <c r="D603" s="18" t="s">
        <v>232</v>
      </c>
      <c r="E603" s="3">
        <v>6190777</v>
      </c>
      <c r="F603" s="17">
        <v>43801</v>
      </c>
      <c r="G603" s="3">
        <v>6190777</v>
      </c>
      <c r="H603" s="2">
        <v>1.4999999999999999E-2</v>
      </c>
      <c r="I603" s="17">
        <v>43801</v>
      </c>
      <c r="J603" s="17">
        <v>43830</v>
      </c>
      <c r="K603" s="3">
        <f>J603-I603+1</f>
        <v>30</v>
      </c>
      <c r="L603" s="3">
        <f>ROUND(G603*H603*K603/365,0)</f>
        <v>7632</v>
      </c>
      <c r="M603" s="3">
        <v>6190777</v>
      </c>
    </row>
    <row r="604" spans="1:13" s="16" customFormat="1" outlineLevel="2">
      <c r="A604" s="17" t="s">
        <v>29</v>
      </c>
      <c r="B604" s="18" t="s">
        <v>410</v>
      </c>
      <c r="C604" s="19" t="s">
        <v>233</v>
      </c>
      <c r="D604" s="18" t="s">
        <v>232</v>
      </c>
      <c r="E604" s="3">
        <v>43377046</v>
      </c>
      <c r="F604" s="17">
        <v>43815</v>
      </c>
      <c r="G604" s="3">
        <v>43377046</v>
      </c>
      <c r="H604" s="2">
        <v>1.4999999999999999E-2</v>
      </c>
      <c r="I604" s="17">
        <v>43815</v>
      </c>
      <c r="J604" s="17">
        <v>43830</v>
      </c>
      <c r="K604" s="3">
        <f>J604-I604+1</f>
        <v>16</v>
      </c>
      <c r="L604" s="3">
        <f>ROUND(G604*H604*K604/365,0)</f>
        <v>28522</v>
      </c>
      <c r="M604" s="3">
        <v>43377046</v>
      </c>
    </row>
    <row r="605" spans="1:13" s="16" customFormat="1" outlineLevel="2">
      <c r="A605" s="17" t="s">
        <v>29</v>
      </c>
      <c r="B605" s="18" t="s">
        <v>177</v>
      </c>
      <c r="C605" s="19" t="s">
        <v>43</v>
      </c>
      <c r="D605" s="18" t="s">
        <v>26</v>
      </c>
      <c r="E605" s="3">
        <v>16675884</v>
      </c>
      <c r="F605" s="17">
        <v>43654</v>
      </c>
      <c r="G605" s="3">
        <v>16675884</v>
      </c>
      <c r="H605" s="2">
        <v>1.4999999999999999E-2</v>
      </c>
      <c r="I605" s="17">
        <v>43800</v>
      </c>
      <c r="J605" s="17">
        <v>43830</v>
      </c>
      <c r="K605" s="3">
        <f>J605-I605+1</f>
        <v>31</v>
      </c>
      <c r="L605" s="3">
        <f>ROUND(G605*H605*K605/365,0)</f>
        <v>21245</v>
      </c>
      <c r="M605" s="3">
        <v>16675884</v>
      </c>
    </row>
    <row r="606" spans="1:13" s="16" customFormat="1" outlineLevel="2">
      <c r="A606" s="17" t="s">
        <v>29</v>
      </c>
      <c r="B606" s="18" t="s">
        <v>409</v>
      </c>
      <c r="C606" s="19" t="s">
        <v>370</v>
      </c>
      <c r="D606" s="18" t="s">
        <v>369</v>
      </c>
      <c r="E606" s="3">
        <v>50009224</v>
      </c>
      <c r="F606" s="17">
        <v>43829</v>
      </c>
      <c r="G606" s="3">
        <v>50009224</v>
      </c>
      <c r="H606" s="2">
        <v>5.0000000000000001E-3</v>
      </c>
      <c r="I606" s="17">
        <v>43829</v>
      </c>
      <c r="J606" s="17">
        <v>43830</v>
      </c>
      <c r="K606" s="3">
        <f>J606-I606+1</f>
        <v>2</v>
      </c>
      <c r="L606" s="3">
        <f>ROUND(G606*H606*K606/365,0)</f>
        <v>1370</v>
      </c>
      <c r="M606" s="3">
        <v>50009224</v>
      </c>
    </row>
    <row r="607" spans="1:13" s="16" customFormat="1" outlineLevel="2">
      <c r="A607" s="17" t="s">
        <v>29</v>
      </c>
      <c r="B607" s="18" t="s">
        <v>408</v>
      </c>
      <c r="C607" s="19" t="s">
        <v>406</v>
      </c>
      <c r="D607" s="18" t="s">
        <v>405</v>
      </c>
      <c r="E607" s="3">
        <v>22700000</v>
      </c>
      <c r="F607" s="17">
        <v>43824</v>
      </c>
      <c r="G607" s="3">
        <v>22700000</v>
      </c>
      <c r="H607" s="2">
        <v>5.0000000000000001E-3</v>
      </c>
      <c r="I607" s="17">
        <v>43824</v>
      </c>
      <c r="J607" s="17">
        <v>43830</v>
      </c>
      <c r="K607" s="3">
        <f>J607-I607+1</f>
        <v>7</v>
      </c>
      <c r="L607" s="3">
        <f>ROUND(G607*H607*K607/365,0)</f>
        <v>2177</v>
      </c>
      <c r="M607" s="3">
        <v>22700000</v>
      </c>
    </row>
    <row r="608" spans="1:13" s="16" customFormat="1" outlineLevel="2">
      <c r="A608" s="17" t="s">
        <v>29</v>
      </c>
      <c r="B608" s="18" t="s">
        <v>407</v>
      </c>
      <c r="C608" s="19" t="s">
        <v>406</v>
      </c>
      <c r="D608" s="18" t="s">
        <v>405</v>
      </c>
      <c r="E608" s="3">
        <v>35300000</v>
      </c>
      <c r="F608" s="17">
        <v>43824</v>
      </c>
      <c r="G608" s="3">
        <v>35300000</v>
      </c>
      <c r="H608" s="2">
        <v>5.0000000000000001E-3</v>
      </c>
      <c r="I608" s="17">
        <v>43824</v>
      </c>
      <c r="J608" s="17">
        <v>43830</v>
      </c>
      <c r="K608" s="3">
        <f>J608-I608+1</f>
        <v>7</v>
      </c>
      <c r="L608" s="3">
        <f>ROUND(G608*H608*K608/365,0)</f>
        <v>3385</v>
      </c>
      <c r="M608" s="3">
        <v>35300000</v>
      </c>
    </row>
    <row r="609" spans="1:13" s="16" customFormat="1" outlineLevel="2">
      <c r="A609" s="17" t="s">
        <v>29</v>
      </c>
      <c r="B609" s="18" t="s">
        <v>404</v>
      </c>
      <c r="C609" s="19" t="s">
        <v>388</v>
      </c>
      <c r="D609" s="18" t="s">
        <v>387</v>
      </c>
      <c r="E609" s="3">
        <v>856000</v>
      </c>
      <c r="F609" s="17">
        <v>43819</v>
      </c>
      <c r="G609" s="3">
        <v>856000</v>
      </c>
      <c r="H609" s="2">
        <v>5.0000000000000001E-3</v>
      </c>
      <c r="I609" s="17">
        <v>43819</v>
      </c>
      <c r="J609" s="17">
        <v>43830</v>
      </c>
      <c r="K609" s="3">
        <f>J609-I609+1</f>
        <v>12</v>
      </c>
      <c r="L609" s="3">
        <f>ROUND(G609*H609*K609/365,0)</f>
        <v>141</v>
      </c>
      <c r="M609" s="3">
        <v>856000</v>
      </c>
    </row>
    <row r="610" spans="1:13" s="16" customFormat="1" outlineLevel="2">
      <c r="A610" s="17" t="s">
        <v>29</v>
      </c>
      <c r="B610" s="18" t="s">
        <v>403</v>
      </c>
      <c r="C610" s="19" t="s">
        <v>388</v>
      </c>
      <c r="D610" s="18" t="s">
        <v>387</v>
      </c>
      <c r="E610" s="3">
        <v>4552834</v>
      </c>
      <c r="F610" s="17">
        <v>43830</v>
      </c>
      <c r="G610" s="3">
        <v>4552834</v>
      </c>
      <c r="H610" s="2">
        <v>5.0000000000000001E-3</v>
      </c>
      <c r="I610" s="17">
        <v>43830</v>
      </c>
      <c r="J610" s="17">
        <v>43830</v>
      </c>
      <c r="K610" s="3">
        <f>J610-I610+1</f>
        <v>1</v>
      </c>
      <c r="L610" s="3">
        <f>ROUND(G610*H610*K610/365,0)</f>
        <v>62</v>
      </c>
      <c r="M610" s="3">
        <v>4552834</v>
      </c>
    </row>
    <row r="611" spans="1:13" s="16" customFormat="1" outlineLevel="2">
      <c r="A611" s="17" t="s">
        <v>29</v>
      </c>
      <c r="B611" s="18" t="s">
        <v>176</v>
      </c>
      <c r="C611" s="19" t="s">
        <v>43</v>
      </c>
      <c r="D611" s="18" t="s">
        <v>26</v>
      </c>
      <c r="E611" s="3">
        <v>44604939</v>
      </c>
      <c r="F611" s="17">
        <v>43664</v>
      </c>
      <c r="G611" s="3">
        <v>44604939</v>
      </c>
      <c r="H611" s="2">
        <v>1.4999999999999999E-2</v>
      </c>
      <c r="I611" s="17">
        <v>43800</v>
      </c>
      <c r="J611" s="17">
        <v>43830</v>
      </c>
      <c r="K611" s="3">
        <f>J611-I611+1</f>
        <v>31</v>
      </c>
      <c r="L611" s="3">
        <f>ROUND(G611*H611*K611/365,0)</f>
        <v>56825</v>
      </c>
      <c r="M611" s="3">
        <v>44604939</v>
      </c>
    </row>
    <row r="612" spans="1:13" s="16" customFormat="1" outlineLevel="2">
      <c r="A612" s="17" t="s">
        <v>29</v>
      </c>
      <c r="B612" s="18" t="s">
        <v>175</v>
      </c>
      <c r="C612" s="19" t="s">
        <v>43</v>
      </c>
      <c r="D612" s="18" t="s">
        <v>26</v>
      </c>
      <c r="E612" s="3">
        <v>3069360</v>
      </c>
      <c r="F612" s="17">
        <v>43675</v>
      </c>
      <c r="G612" s="3">
        <v>3069360</v>
      </c>
      <c r="H612" s="2">
        <v>1.4999999999999999E-2</v>
      </c>
      <c r="I612" s="17">
        <v>43800</v>
      </c>
      <c r="J612" s="17">
        <v>43830</v>
      </c>
      <c r="K612" s="3">
        <f>J612-I612+1</f>
        <v>31</v>
      </c>
      <c r="L612" s="3">
        <f>ROUND(G612*H612*K612/365,0)</f>
        <v>3910</v>
      </c>
      <c r="M612" s="3">
        <v>3069360</v>
      </c>
    </row>
    <row r="613" spans="1:13" s="16" customFormat="1" outlineLevel="2">
      <c r="A613" s="17" t="s">
        <v>29</v>
      </c>
      <c r="B613" s="18" t="s">
        <v>174</v>
      </c>
      <c r="C613" s="19" t="s">
        <v>173</v>
      </c>
      <c r="D613" s="18" t="s">
        <v>172</v>
      </c>
      <c r="E613" s="3">
        <v>1000000000</v>
      </c>
      <c r="F613" s="17">
        <v>43672</v>
      </c>
      <c r="G613" s="3">
        <v>1000000000</v>
      </c>
      <c r="H613" s="2">
        <v>1.4999999999999999E-2</v>
      </c>
      <c r="I613" s="17">
        <v>43800</v>
      </c>
      <c r="J613" s="17">
        <v>43830</v>
      </c>
      <c r="K613" s="3">
        <f>J613-I613+1</f>
        <v>31</v>
      </c>
      <c r="L613" s="3">
        <f>ROUND(G613*H613*K613/365,0)</f>
        <v>1273973</v>
      </c>
      <c r="M613" s="3">
        <v>1000000000</v>
      </c>
    </row>
    <row r="614" spans="1:13" s="16" customFormat="1" outlineLevel="2">
      <c r="A614" s="17" t="s">
        <v>29</v>
      </c>
      <c r="B614" s="18" t="s">
        <v>171</v>
      </c>
      <c r="C614" s="19" t="s">
        <v>163</v>
      </c>
      <c r="D614" s="18" t="s">
        <v>162</v>
      </c>
      <c r="E614" s="3">
        <v>1300000</v>
      </c>
      <c r="F614" s="17">
        <v>43672</v>
      </c>
      <c r="G614" s="3">
        <v>1300000</v>
      </c>
      <c r="H614" s="2">
        <v>1.4999999999999999E-2</v>
      </c>
      <c r="I614" s="17">
        <v>43800</v>
      </c>
      <c r="J614" s="17">
        <v>43830</v>
      </c>
      <c r="K614" s="3">
        <f>J614-I614+1</f>
        <v>31</v>
      </c>
      <c r="L614" s="3">
        <f>ROUND(G614*H614*K614/365,0)</f>
        <v>1656</v>
      </c>
      <c r="M614" s="3">
        <v>1300000</v>
      </c>
    </row>
    <row r="615" spans="1:13" s="16" customFormat="1" outlineLevel="2">
      <c r="A615" s="17" t="s">
        <v>29</v>
      </c>
      <c r="B615" s="18" t="s">
        <v>170</v>
      </c>
      <c r="C615" s="19" t="s">
        <v>163</v>
      </c>
      <c r="D615" s="18" t="s">
        <v>162</v>
      </c>
      <c r="E615" s="3">
        <v>7780000</v>
      </c>
      <c r="F615" s="17">
        <v>43672</v>
      </c>
      <c r="G615" s="3">
        <v>7780000</v>
      </c>
      <c r="H615" s="2">
        <v>1.4999999999999999E-2</v>
      </c>
      <c r="I615" s="17">
        <v>43800</v>
      </c>
      <c r="J615" s="17">
        <v>43830</v>
      </c>
      <c r="K615" s="3">
        <f>J615-I615+1</f>
        <v>31</v>
      </c>
      <c r="L615" s="3">
        <f>ROUND(G615*H615*K615/365,0)</f>
        <v>9912</v>
      </c>
      <c r="M615" s="3">
        <v>7780000</v>
      </c>
    </row>
    <row r="616" spans="1:13" s="16" customFormat="1" outlineLevel="2">
      <c r="A616" s="17" t="s">
        <v>29</v>
      </c>
      <c r="B616" s="18" t="s">
        <v>31</v>
      </c>
      <c r="C616" s="19" t="s">
        <v>43</v>
      </c>
      <c r="D616" s="18" t="s">
        <v>26</v>
      </c>
      <c r="E616" s="3">
        <v>7967807</v>
      </c>
      <c r="F616" s="17">
        <v>43613</v>
      </c>
      <c r="G616" s="3">
        <v>7967807</v>
      </c>
      <c r="H616" s="2">
        <v>1.4999999999999999E-2</v>
      </c>
      <c r="I616" s="17">
        <v>43800</v>
      </c>
      <c r="J616" s="17">
        <v>43830</v>
      </c>
      <c r="K616" s="3">
        <f>J616-I616+1</f>
        <v>31</v>
      </c>
      <c r="L616" s="3">
        <f>ROUND(G616*H616*K616/365,0)</f>
        <v>10151</v>
      </c>
      <c r="M616" s="3">
        <v>7967807</v>
      </c>
    </row>
    <row r="617" spans="1:13" s="16" customFormat="1" outlineLevel="2">
      <c r="A617" s="17" t="s">
        <v>29</v>
      </c>
      <c r="B617" s="18" t="s">
        <v>169</v>
      </c>
      <c r="C617" s="19" t="s">
        <v>51</v>
      </c>
      <c r="D617" s="18" t="s">
        <v>50</v>
      </c>
      <c r="E617" s="3">
        <v>81000000</v>
      </c>
      <c r="F617" s="17">
        <v>43650</v>
      </c>
      <c r="G617" s="3">
        <v>81000000</v>
      </c>
      <c r="H617" s="2">
        <v>1.4999999999999999E-2</v>
      </c>
      <c r="I617" s="17">
        <v>43800</v>
      </c>
      <c r="J617" s="17">
        <v>43830</v>
      </c>
      <c r="K617" s="3">
        <f>J617-I617+1</f>
        <v>31</v>
      </c>
      <c r="L617" s="3">
        <f>ROUND(G617*H617*K617/365,0)</f>
        <v>103192</v>
      </c>
      <c r="M617" s="3">
        <v>81000000</v>
      </c>
    </row>
    <row r="618" spans="1:13" s="16" customFormat="1" outlineLevel="2">
      <c r="A618" s="17" t="s">
        <v>29</v>
      </c>
      <c r="B618" s="18" t="s">
        <v>168</v>
      </c>
      <c r="C618" s="19" t="s">
        <v>51</v>
      </c>
      <c r="D618" s="18" t="s">
        <v>50</v>
      </c>
      <c r="E618" s="3">
        <v>500000000</v>
      </c>
      <c r="F618" s="17">
        <v>43651</v>
      </c>
      <c r="G618" s="3">
        <v>500000000</v>
      </c>
      <c r="H618" s="2">
        <v>1.4999999999999999E-2</v>
      </c>
      <c r="I618" s="17">
        <v>43800</v>
      </c>
      <c r="J618" s="17">
        <v>43830</v>
      </c>
      <c r="K618" s="3">
        <f>J618-I618+1</f>
        <v>31</v>
      </c>
      <c r="L618" s="3">
        <f>ROUND(G618*H618*K618/365,0)</f>
        <v>636986</v>
      </c>
      <c r="M618" s="3">
        <v>500000000</v>
      </c>
    </row>
    <row r="619" spans="1:13" s="16" customFormat="1" outlineLevel="2">
      <c r="A619" s="17" t="s">
        <v>29</v>
      </c>
      <c r="B619" s="18" t="s">
        <v>167</v>
      </c>
      <c r="C619" s="19" t="s">
        <v>159</v>
      </c>
      <c r="D619" s="18" t="s">
        <v>158</v>
      </c>
      <c r="E619" s="3">
        <v>79839000</v>
      </c>
      <c r="F619" s="17">
        <v>43663</v>
      </c>
      <c r="G619" s="3">
        <v>79839000</v>
      </c>
      <c r="H619" s="2">
        <v>1.4999999999999999E-2</v>
      </c>
      <c r="I619" s="17">
        <v>43800</v>
      </c>
      <c r="J619" s="17">
        <v>43830</v>
      </c>
      <c r="K619" s="3">
        <f>J619-I619+1</f>
        <v>31</v>
      </c>
      <c r="L619" s="3">
        <f>ROUND(G619*H619*K619/365,0)</f>
        <v>101713</v>
      </c>
      <c r="M619" s="3">
        <v>79839000</v>
      </c>
    </row>
    <row r="620" spans="1:13" s="16" customFormat="1" outlineLevel="2">
      <c r="A620" s="17" t="s">
        <v>29</v>
      </c>
      <c r="B620" s="18" t="s">
        <v>166</v>
      </c>
      <c r="C620" s="19" t="s">
        <v>159</v>
      </c>
      <c r="D620" s="18" t="s">
        <v>158</v>
      </c>
      <c r="E620" s="3">
        <v>38097000</v>
      </c>
      <c r="F620" s="17">
        <v>43663</v>
      </c>
      <c r="G620" s="3">
        <v>38097000</v>
      </c>
      <c r="H620" s="2">
        <v>1.4999999999999999E-2</v>
      </c>
      <c r="I620" s="17">
        <v>43800</v>
      </c>
      <c r="J620" s="17">
        <v>43830</v>
      </c>
      <c r="K620" s="3">
        <f>J620-I620+1</f>
        <v>31</v>
      </c>
      <c r="L620" s="3">
        <f>ROUND(G620*H620*K620/365,0)</f>
        <v>48535</v>
      </c>
      <c r="M620" s="3">
        <v>38097000</v>
      </c>
    </row>
    <row r="621" spans="1:13" s="16" customFormat="1" outlineLevel="2">
      <c r="A621" s="17" t="s">
        <v>29</v>
      </c>
      <c r="B621" s="18" t="s">
        <v>165</v>
      </c>
      <c r="C621" s="19" t="s">
        <v>43</v>
      </c>
      <c r="D621" s="18" t="s">
        <v>26</v>
      </c>
      <c r="E621" s="3">
        <v>78330067</v>
      </c>
      <c r="F621" s="17">
        <v>43692</v>
      </c>
      <c r="G621" s="3">
        <v>78330067</v>
      </c>
      <c r="H621" s="2">
        <v>1.4999999999999999E-2</v>
      </c>
      <c r="I621" s="17">
        <v>43800</v>
      </c>
      <c r="J621" s="17">
        <v>43830</v>
      </c>
      <c r="K621" s="3">
        <f>J621-I621+1</f>
        <v>31</v>
      </c>
      <c r="L621" s="3">
        <f>ROUND(G621*H621*K621/365,0)</f>
        <v>99790</v>
      </c>
      <c r="M621" s="3">
        <v>78330067</v>
      </c>
    </row>
    <row r="622" spans="1:13" s="16" customFormat="1" outlineLevel="2">
      <c r="A622" s="17" t="s">
        <v>29</v>
      </c>
      <c r="B622" s="18" t="s">
        <v>164</v>
      </c>
      <c r="C622" s="19" t="s">
        <v>163</v>
      </c>
      <c r="D622" s="18" t="s">
        <v>162</v>
      </c>
      <c r="E622" s="3">
        <v>6600000</v>
      </c>
      <c r="F622" s="17">
        <v>43700</v>
      </c>
      <c r="G622" s="3">
        <v>6600000</v>
      </c>
      <c r="H622" s="2">
        <v>1.4999999999999999E-2</v>
      </c>
      <c r="I622" s="17">
        <v>43800</v>
      </c>
      <c r="J622" s="17">
        <v>43830</v>
      </c>
      <c r="K622" s="3">
        <f>J622-I622+1</f>
        <v>31</v>
      </c>
      <c r="L622" s="3">
        <f>ROUND(G622*H622*K622/365,0)</f>
        <v>8408</v>
      </c>
      <c r="M622" s="3">
        <v>6600000</v>
      </c>
    </row>
    <row r="623" spans="1:13" s="16" customFormat="1" outlineLevel="2">
      <c r="A623" s="17" t="s">
        <v>29</v>
      </c>
      <c r="B623" s="18" t="s">
        <v>161</v>
      </c>
      <c r="C623" s="19" t="s">
        <v>159</v>
      </c>
      <c r="D623" s="18" t="s">
        <v>158</v>
      </c>
      <c r="E623" s="3">
        <v>18206000</v>
      </c>
      <c r="F623" s="17">
        <v>43693</v>
      </c>
      <c r="G623" s="3">
        <v>18206000</v>
      </c>
      <c r="H623" s="2">
        <v>1.4999999999999999E-2</v>
      </c>
      <c r="I623" s="17">
        <v>43800</v>
      </c>
      <c r="J623" s="17">
        <v>43830</v>
      </c>
      <c r="K623" s="3">
        <f>J623-I623+1</f>
        <v>31</v>
      </c>
      <c r="L623" s="3">
        <f>ROUND(G623*H623*K623/365,0)</f>
        <v>23194</v>
      </c>
      <c r="M623" s="3">
        <v>18206000</v>
      </c>
    </row>
    <row r="624" spans="1:13" s="16" customFormat="1" outlineLevel="2">
      <c r="A624" s="17" t="s">
        <v>29</v>
      </c>
      <c r="B624" s="18" t="s">
        <v>160</v>
      </c>
      <c r="C624" s="19" t="s">
        <v>159</v>
      </c>
      <c r="D624" s="18" t="s">
        <v>158</v>
      </c>
      <c r="E624" s="3">
        <v>6635000</v>
      </c>
      <c r="F624" s="17">
        <v>43693</v>
      </c>
      <c r="G624" s="3">
        <v>6635000</v>
      </c>
      <c r="H624" s="2">
        <v>1.4999999999999999E-2</v>
      </c>
      <c r="I624" s="17">
        <v>43800</v>
      </c>
      <c r="J624" s="17">
        <v>43830</v>
      </c>
      <c r="K624" s="3">
        <f>J624-I624+1</f>
        <v>31</v>
      </c>
      <c r="L624" s="3">
        <f>ROUND(G624*H624*K624/365,0)</f>
        <v>8453</v>
      </c>
      <c r="M624" s="3">
        <v>6635000</v>
      </c>
    </row>
    <row r="625" spans="1:13" s="16" customFormat="1" outlineLevel="2">
      <c r="A625" s="17" t="s">
        <v>29</v>
      </c>
      <c r="B625" s="18" t="s">
        <v>157</v>
      </c>
      <c r="C625" s="19" t="s">
        <v>150</v>
      </c>
      <c r="D625" s="18" t="s">
        <v>149</v>
      </c>
      <c r="E625" s="3">
        <v>145793089</v>
      </c>
      <c r="F625" s="17">
        <v>43697</v>
      </c>
      <c r="G625" s="3">
        <v>145793089</v>
      </c>
      <c r="H625" s="2">
        <v>5.0000000000000001E-3</v>
      </c>
      <c r="I625" s="17">
        <v>43800</v>
      </c>
      <c r="J625" s="17">
        <v>43830</v>
      </c>
      <c r="K625" s="3">
        <f>J625-I625+1</f>
        <v>31</v>
      </c>
      <c r="L625" s="3">
        <f>ROUND(G625*H625*K625/365,0)</f>
        <v>61912</v>
      </c>
      <c r="M625" s="3">
        <v>145793089</v>
      </c>
    </row>
    <row r="626" spans="1:13" s="16" customFormat="1" outlineLevel="2">
      <c r="A626" s="17" t="s">
        <v>29</v>
      </c>
      <c r="B626" s="18" t="s">
        <v>156</v>
      </c>
      <c r="C626" s="19" t="s">
        <v>150</v>
      </c>
      <c r="D626" s="18" t="s">
        <v>149</v>
      </c>
      <c r="E626" s="3">
        <v>53362182</v>
      </c>
      <c r="F626" s="17">
        <v>43697</v>
      </c>
      <c r="G626" s="3">
        <v>53362182</v>
      </c>
      <c r="H626" s="2">
        <v>5.0000000000000001E-3</v>
      </c>
      <c r="I626" s="17">
        <v>43800</v>
      </c>
      <c r="J626" s="17">
        <v>43830</v>
      </c>
      <c r="K626" s="3">
        <f>J626-I626+1</f>
        <v>31</v>
      </c>
      <c r="L626" s="3">
        <f>ROUND(G626*H626*K626/365,0)</f>
        <v>22661</v>
      </c>
      <c r="M626" s="3">
        <v>53362182</v>
      </c>
    </row>
    <row r="627" spans="1:13" s="16" customFormat="1" outlineLevel="2">
      <c r="A627" s="17" t="s">
        <v>29</v>
      </c>
      <c r="B627" s="18" t="s">
        <v>30</v>
      </c>
      <c r="C627" s="19" t="s">
        <v>43</v>
      </c>
      <c r="D627" s="18" t="s">
        <v>26</v>
      </c>
      <c r="E627" s="3">
        <v>40136695</v>
      </c>
      <c r="F627" s="17">
        <v>43605</v>
      </c>
      <c r="G627" s="3">
        <v>40136695</v>
      </c>
      <c r="H627" s="2">
        <v>1.4999999999999999E-2</v>
      </c>
      <c r="I627" s="17">
        <v>43800</v>
      </c>
      <c r="J627" s="17">
        <v>43830</v>
      </c>
      <c r="K627" s="3">
        <f>J627-I627+1</f>
        <v>31</v>
      </c>
      <c r="L627" s="3">
        <f>ROUND(G627*H627*K627/365,0)</f>
        <v>51133</v>
      </c>
      <c r="M627" s="3">
        <v>40136695</v>
      </c>
    </row>
    <row r="628" spans="1:13" s="16" customFormat="1" outlineLevel="2">
      <c r="A628" s="17" t="s">
        <v>29</v>
      </c>
      <c r="B628" s="18" t="s">
        <v>155</v>
      </c>
      <c r="C628" s="19" t="s">
        <v>150</v>
      </c>
      <c r="D628" s="18" t="s">
        <v>149</v>
      </c>
      <c r="E628" s="3">
        <v>6066888</v>
      </c>
      <c r="F628" s="17">
        <v>43698</v>
      </c>
      <c r="G628" s="3">
        <v>6066888</v>
      </c>
      <c r="H628" s="2">
        <v>5.0000000000000001E-3</v>
      </c>
      <c r="I628" s="17">
        <v>43800</v>
      </c>
      <c r="J628" s="17">
        <v>43830</v>
      </c>
      <c r="K628" s="3">
        <f>J628-I628+1</f>
        <v>31</v>
      </c>
      <c r="L628" s="3">
        <f>ROUND(G628*H628*K628/365,0)</f>
        <v>2576</v>
      </c>
      <c r="M628" s="3">
        <v>6066888</v>
      </c>
    </row>
    <row r="629" spans="1:13" s="16" customFormat="1" outlineLevel="2">
      <c r="A629" s="17" t="s">
        <v>29</v>
      </c>
      <c r="B629" s="18" t="s">
        <v>154</v>
      </c>
      <c r="C629" s="19" t="s">
        <v>150</v>
      </c>
      <c r="D629" s="18" t="s">
        <v>149</v>
      </c>
      <c r="E629" s="3">
        <v>8672311</v>
      </c>
      <c r="F629" s="17">
        <v>43705</v>
      </c>
      <c r="G629" s="3">
        <v>8672311</v>
      </c>
      <c r="H629" s="2">
        <v>5.0000000000000001E-3</v>
      </c>
      <c r="I629" s="17">
        <v>43800</v>
      </c>
      <c r="J629" s="17">
        <v>43830</v>
      </c>
      <c r="K629" s="3">
        <f>J629-I629+1</f>
        <v>31</v>
      </c>
      <c r="L629" s="3">
        <f>ROUND(G629*H629*K629/365,0)</f>
        <v>3683</v>
      </c>
      <c r="M629" s="3">
        <v>8672311</v>
      </c>
    </row>
    <row r="630" spans="1:13" s="16" customFormat="1" outlineLevel="2">
      <c r="A630" s="17" t="s">
        <v>29</v>
      </c>
      <c r="B630" s="18" t="s">
        <v>153</v>
      </c>
      <c r="C630" s="19" t="s">
        <v>150</v>
      </c>
      <c r="D630" s="18" t="s">
        <v>149</v>
      </c>
      <c r="E630" s="3">
        <v>72772468</v>
      </c>
      <c r="F630" s="17">
        <v>43697</v>
      </c>
      <c r="G630" s="3">
        <v>72772468</v>
      </c>
      <c r="H630" s="2">
        <v>3.0000000000000001E-3</v>
      </c>
      <c r="I630" s="17">
        <v>43800</v>
      </c>
      <c r="J630" s="17">
        <v>43830</v>
      </c>
      <c r="K630" s="3">
        <f>J630-I630+1</f>
        <v>31</v>
      </c>
      <c r="L630" s="3">
        <f>ROUND(G630*H630*K630/365,0)</f>
        <v>18542</v>
      </c>
      <c r="M630" s="3">
        <v>72772468</v>
      </c>
    </row>
    <row r="631" spans="1:13" s="16" customFormat="1" outlineLevel="2">
      <c r="A631" s="17" t="s">
        <v>29</v>
      </c>
      <c r="B631" s="18" t="s">
        <v>152</v>
      </c>
      <c r="C631" s="19" t="s">
        <v>150</v>
      </c>
      <c r="D631" s="18" t="s">
        <v>149</v>
      </c>
      <c r="E631" s="3">
        <v>21070723</v>
      </c>
      <c r="F631" s="17">
        <v>43697</v>
      </c>
      <c r="G631" s="3">
        <v>21070723</v>
      </c>
      <c r="H631" s="2">
        <v>3.0000000000000001E-3</v>
      </c>
      <c r="I631" s="17">
        <v>43800</v>
      </c>
      <c r="J631" s="17">
        <v>43830</v>
      </c>
      <c r="K631" s="3">
        <f>J631-I631+1</f>
        <v>31</v>
      </c>
      <c r="L631" s="3">
        <f>ROUND(G631*H631*K631/365,0)</f>
        <v>5369</v>
      </c>
      <c r="M631" s="3">
        <v>21070723</v>
      </c>
    </row>
    <row r="632" spans="1:13" s="16" customFormat="1" outlineLevel="2">
      <c r="A632" s="17" t="s">
        <v>29</v>
      </c>
      <c r="B632" s="18" t="s">
        <v>151</v>
      </c>
      <c r="C632" s="19" t="s">
        <v>150</v>
      </c>
      <c r="D632" s="18" t="s">
        <v>149</v>
      </c>
      <c r="E632" s="3">
        <v>3227640</v>
      </c>
      <c r="F632" s="17">
        <v>43705</v>
      </c>
      <c r="G632" s="3">
        <v>3227640</v>
      </c>
      <c r="H632" s="2">
        <v>3.0000000000000001E-3</v>
      </c>
      <c r="I632" s="17">
        <v>43800</v>
      </c>
      <c r="J632" s="17">
        <v>43830</v>
      </c>
      <c r="K632" s="3">
        <f>J632-I632+1</f>
        <v>31</v>
      </c>
      <c r="L632" s="3">
        <f>ROUND(G632*H632*K632/365,0)</f>
        <v>822</v>
      </c>
      <c r="M632" s="3">
        <v>3227640</v>
      </c>
    </row>
    <row r="633" spans="1:13" s="16" customFormat="1" outlineLevel="2">
      <c r="A633" s="17" t="s">
        <v>29</v>
      </c>
      <c r="B633" s="18" t="s">
        <v>196</v>
      </c>
      <c r="C633" s="19" t="s">
        <v>43</v>
      </c>
      <c r="D633" s="18" t="s">
        <v>26</v>
      </c>
      <c r="E633" s="3">
        <v>670189</v>
      </c>
      <c r="F633" s="17">
        <v>43717</v>
      </c>
      <c r="G633" s="3">
        <v>670189</v>
      </c>
      <c r="H633" s="2">
        <v>1.4999999999999999E-2</v>
      </c>
      <c r="I633" s="17">
        <v>43800</v>
      </c>
      <c r="J633" s="17">
        <v>43830</v>
      </c>
      <c r="K633" s="3">
        <f>J633-I633+1</f>
        <v>31</v>
      </c>
      <c r="L633" s="3">
        <f>ROUND(G633*H633*K633/365,0)</f>
        <v>854</v>
      </c>
      <c r="M633" s="3">
        <v>670189</v>
      </c>
    </row>
    <row r="634" spans="1:13" s="16" customFormat="1" outlineLevel="2">
      <c r="A634" s="17" t="s">
        <v>29</v>
      </c>
      <c r="B634" s="18" t="s">
        <v>195</v>
      </c>
      <c r="C634" s="19" t="s">
        <v>43</v>
      </c>
      <c r="D634" s="18" t="s">
        <v>26</v>
      </c>
      <c r="E634" s="3">
        <v>17810846</v>
      </c>
      <c r="F634" s="17">
        <v>43726</v>
      </c>
      <c r="G634" s="3">
        <v>17810846</v>
      </c>
      <c r="H634" s="2">
        <v>1.4999999999999999E-2</v>
      </c>
      <c r="I634" s="17">
        <v>43800</v>
      </c>
      <c r="J634" s="17">
        <v>43830</v>
      </c>
      <c r="K634" s="3">
        <f>J634-I634+1</f>
        <v>31</v>
      </c>
      <c r="L634" s="3">
        <f>ROUND(G634*H634*K634/365,0)</f>
        <v>22691</v>
      </c>
      <c r="M634" s="3">
        <v>17810846</v>
      </c>
    </row>
    <row r="635" spans="1:13" s="16" customFormat="1" outlineLevel="2">
      <c r="A635" s="17" t="s">
        <v>29</v>
      </c>
      <c r="B635" s="18" t="s">
        <v>194</v>
      </c>
      <c r="C635" s="19" t="s">
        <v>43</v>
      </c>
      <c r="D635" s="18" t="s">
        <v>26</v>
      </c>
      <c r="E635" s="3">
        <v>26174136</v>
      </c>
      <c r="F635" s="17">
        <v>43717</v>
      </c>
      <c r="G635" s="3">
        <v>26174136</v>
      </c>
      <c r="H635" s="2">
        <v>1.4999999999999999E-2</v>
      </c>
      <c r="I635" s="17">
        <v>43800</v>
      </c>
      <c r="J635" s="17">
        <v>43830</v>
      </c>
      <c r="K635" s="3">
        <f>J635-I635+1</f>
        <v>31</v>
      </c>
      <c r="L635" s="3">
        <f>ROUND(G635*H635*K635/365,0)</f>
        <v>33345</v>
      </c>
      <c r="M635" s="3">
        <v>26174136</v>
      </c>
    </row>
    <row r="636" spans="1:13" s="16" customFormat="1" outlineLevel="2">
      <c r="A636" s="17" t="s">
        <v>29</v>
      </c>
      <c r="B636" s="18" t="s">
        <v>193</v>
      </c>
      <c r="C636" s="19" t="s">
        <v>43</v>
      </c>
      <c r="D636" s="18" t="s">
        <v>26</v>
      </c>
      <c r="E636" s="3">
        <v>91994545</v>
      </c>
      <c r="F636" s="17">
        <v>43726</v>
      </c>
      <c r="G636" s="3">
        <v>91994545</v>
      </c>
      <c r="H636" s="2">
        <v>1.4999999999999999E-2</v>
      </c>
      <c r="I636" s="17">
        <v>43800</v>
      </c>
      <c r="J636" s="17">
        <v>43830</v>
      </c>
      <c r="K636" s="3">
        <f>J636-I636+1</f>
        <v>31</v>
      </c>
      <c r="L636" s="3">
        <f>ROUND(G636*H636*K636/365,0)</f>
        <v>117199</v>
      </c>
      <c r="M636" s="3">
        <v>91994545</v>
      </c>
    </row>
    <row r="637" spans="1:13" s="16" customFormat="1" outlineLevel="2">
      <c r="A637" s="17" t="s">
        <v>29</v>
      </c>
      <c r="B637" s="18" t="s">
        <v>192</v>
      </c>
      <c r="C637" s="19" t="s">
        <v>173</v>
      </c>
      <c r="D637" s="18" t="s">
        <v>172</v>
      </c>
      <c r="E637" s="3">
        <v>1000000000</v>
      </c>
      <c r="F637" s="17">
        <v>43720</v>
      </c>
      <c r="G637" s="3">
        <v>1000000000</v>
      </c>
      <c r="H637" s="2">
        <v>1.4999999999999999E-2</v>
      </c>
      <c r="I637" s="17">
        <v>43800</v>
      </c>
      <c r="J637" s="17">
        <v>43830</v>
      </c>
      <c r="K637" s="3">
        <f>J637-I637+1</f>
        <v>31</v>
      </c>
      <c r="L637" s="3">
        <f>ROUND(G637*H637*K637/365,0)</f>
        <v>1273973</v>
      </c>
      <c r="M637" s="3">
        <v>1000000000</v>
      </c>
    </row>
    <row r="638" spans="1:13" s="16" customFormat="1" outlineLevel="2">
      <c r="A638" s="17" t="s">
        <v>29</v>
      </c>
      <c r="B638" s="18" t="s">
        <v>28</v>
      </c>
      <c r="C638" s="19" t="s">
        <v>43</v>
      </c>
      <c r="D638" s="18" t="s">
        <v>26</v>
      </c>
      <c r="E638" s="3">
        <v>2356988</v>
      </c>
      <c r="F638" s="17">
        <v>43613</v>
      </c>
      <c r="G638" s="3">
        <v>2356988</v>
      </c>
      <c r="H638" s="2">
        <v>1.4999999999999999E-2</v>
      </c>
      <c r="I638" s="17">
        <v>43800</v>
      </c>
      <c r="J638" s="17">
        <v>43830</v>
      </c>
      <c r="K638" s="3">
        <f>J638-I638+1</f>
        <v>31</v>
      </c>
      <c r="L638" s="3">
        <f>ROUND(G638*H638*K638/365,0)</f>
        <v>3003</v>
      </c>
      <c r="M638" s="3">
        <v>2356988</v>
      </c>
    </row>
    <row r="639" spans="1:13" s="16" customFormat="1" outlineLevel="2">
      <c r="A639" s="17" t="s">
        <v>29</v>
      </c>
      <c r="B639" s="18" t="s">
        <v>191</v>
      </c>
      <c r="C639" s="19" t="s">
        <v>159</v>
      </c>
      <c r="D639" s="18" t="s">
        <v>158</v>
      </c>
      <c r="E639" s="3">
        <v>18915000</v>
      </c>
      <c r="F639" s="17">
        <v>43725</v>
      </c>
      <c r="G639" s="3">
        <v>18915000</v>
      </c>
      <c r="H639" s="2">
        <v>1.4999999999999999E-2</v>
      </c>
      <c r="I639" s="17">
        <v>43800</v>
      </c>
      <c r="J639" s="17">
        <v>43830</v>
      </c>
      <c r="K639" s="3">
        <f>J639-I639+1</f>
        <v>31</v>
      </c>
      <c r="L639" s="3">
        <f>ROUND(G639*H639*K639/365,0)</f>
        <v>24097</v>
      </c>
      <c r="M639" s="3">
        <v>18915000</v>
      </c>
    </row>
    <row r="640" spans="1:13" s="16" customFormat="1" outlineLevel="2">
      <c r="A640" s="17" t="s">
        <v>29</v>
      </c>
      <c r="B640" s="18" t="s">
        <v>190</v>
      </c>
      <c r="C640" s="19" t="s">
        <v>159</v>
      </c>
      <c r="D640" s="18" t="s">
        <v>158</v>
      </c>
      <c r="E640" s="3">
        <v>3675000</v>
      </c>
      <c r="F640" s="17">
        <v>43725</v>
      </c>
      <c r="G640" s="3">
        <v>3675000</v>
      </c>
      <c r="H640" s="2">
        <v>1.4999999999999999E-2</v>
      </c>
      <c r="I640" s="17">
        <v>43800</v>
      </c>
      <c r="J640" s="17">
        <v>43830</v>
      </c>
      <c r="K640" s="3">
        <f>J640-I640+1</f>
        <v>31</v>
      </c>
      <c r="L640" s="3">
        <f>ROUND(G640*H640*K640/365,0)</f>
        <v>4682</v>
      </c>
      <c r="M640" s="3">
        <v>3675000</v>
      </c>
    </row>
    <row r="641" spans="1:13" s="16" customFormat="1" outlineLevel="2">
      <c r="A641" s="17" t="s">
        <v>29</v>
      </c>
      <c r="B641" s="18" t="s">
        <v>189</v>
      </c>
      <c r="C641" s="19" t="s">
        <v>51</v>
      </c>
      <c r="D641" s="18" t="s">
        <v>50</v>
      </c>
      <c r="E641" s="3">
        <v>22900000</v>
      </c>
      <c r="F641" s="17">
        <v>43720</v>
      </c>
      <c r="G641" s="3">
        <v>22900000</v>
      </c>
      <c r="H641" s="2">
        <v>1.4999999999999999E-2</v>
      </c>
      <c r="I641" s="17">
        <v>43800</v>
      </c>
      <c r="J641" s="17">
        <v>43830</v>
      </c>
      <c r="K641" s="3">
        <f>J641-I641+1</f>
        <v>31</v>
      </c>
      <c r="L641" s="3">
        <f>ROUND(G641*H641*K641/365,0)</f>
        <v>29174</v>
      </c>
      <c r="M641" s="3">
        <v>22900000</v>
      </c>
    </row>
    <row r="642" spans="1:13" s="16" customFormat="1" outlineLevel="2">
      <c r="A642" s="17" t="s">
        <v>29</v>
      </c>
      <c r="B642" s="18" t="s">
        <v>186</v>
      </c>
      <c r="C642" s="19" t="s">
        <v>150</v>
      </c>
      <c r="D642" s="18" t="s">
        <v>149</v>
      </c>
      <c r="E642" s="3">
        <v>11351225</v>
      </c>
      <c r="F642" s="17">
        <v>43726</v>
      </c>
      <c r="G642" s="3">
        <v>11351225</v>
      </c>
      <c r="H642" s="2">
        <v>3.0000000000000001E-3</v>
      </c>
      <c r="I642" s="17">
        <v>43800</v>
      </c>
      <c r="J642" s="17">
        <v>43830</v>
      </c>
      <c r="K642" s="3">
        <f>J642-I642+1</f>
        <v>31</v>
      </c>
      <c r="L642" s="3">
        <f>ROUND(G642*H642*K642/365,0)</f>
        <v>2892</v>
      </c>
      <c r="M642" s="3">
        <v>11351225</v>
      </c>
    </row>
    <row r="643" spans="1:13" s="16" customFormat="1" outlineLevel="2">
      <c r="A643" s="17" t="s">
        <v>29</v>
      </c>
      <c r="B643" s="18" t="s">
        <v>228</v>
      </c>
      <c r="C643" s="19" t="s">
        <v>150</v>
      </c>
      <c r="D643" s="18" t="s">
        <v>149</v>
      </c>
      <c r="E643" s="3">
        <v>35573768</v>
      </c>
      <c r="F643" s="17">
        <v>43728</v>
      </c>
      <c r="G643" s="3">
        <v>35573768</v>
      </c>
      <c r="H643" s="2">
        <v>3.0000000000000001E-3</v>
      </c>
      <c r="I643" s="17">
        <v>43800</v>
      </c>
      <c r="J643" s="17">
        <v>43830</v>
      </c>
      <c r="K643" s="3">
        <f>J643-I643+1</f>
        <v>31</v>
      </c>
      <c r="L643" s="3">
        <f>ROUND(G643*H643*K643/365,0)</f>
        <v>9064</v>
      </c>
      <c r="M643" s="3">
        <v>35573768</v>
      </c>
    </row>
    <row r="644" spans="1:13" s="16" customFormat="1" outlineLevel="2">
      <c r="A644" s="17" t="s">
        <v>29</v>
      </c>
      <c r="B644" s="18" t="s">
        <v>227</v>
      </c>
      <c r="C644" s="19" t="s">
        <v>150</v>
      </c>
      <c r="D644" s="18" t="s">
        <v>149</v>
      </c>
      <c r="E644" s="3">
        <v>58642675</v>
      </c>
      <c r="F644" s="17">
        <v>43710</v>
      </c>
      <c r="G644" s="3">
        <v>58642675</v>
      </c>
      <c r="H644" s="2">
        <v>5.0000000000000001E-3</v>
      </c>
      <c r="I644" s="17">
        <v>43800</v>
      </c>
      <c r="J644" s="17">
        <v>43830</v>
      </c>
      <c r="K644" s="3">
        <f>J644-I644+1</f>
        <v>31</v>
      </c>
      <c r="L644" s="3">
        <f>ROUND(G644*H644*K644/365,0)</f>
        <v>24903</v>
      </c>
      <c r="M644" s="3">
        <v>58642675</v>
      </c>
    </row>
    <row r="645" spans="1:13" s="16" customFormat="1" outlineLevel="2">
      <c r="A645" s="17" t="s">
        <v>29</v>
      </c>
      <c r="B645" s="18" t="s">
        <v>226</v>
      </c>
      <c r="C645" s="19" t="s">
        <v>150</v>
      </c>
      <c r="D645" s="18" t="s">
        <v>149</v>
      </c>
      <c r="E645" s="3">
        <v>3197383</v>
      </c>
      <c r="F645" s="17">
        <v>43712</v>
      </c>
      <c r="G645" s="3">
        <v>3197383</v>
      </c>
      <c r="H645" s="2">
        <v>5.0000000000000001E-3</v>
      </c>
      <c r="I645" s="17">
        <v>43800</v>
      </c>
      <c r="J645" s="17">
        <v>43830</v>
      </c>
      <c r="K645" s="3">
        <f>J645-I645+1</f>
        <v>31</v>
      </c>
      <c r="L645" s="3">
        <f>ROUND(G645*H645*K645/365,0)</f>
        <v>1358</v>
      </c>
      <c r="M645" s="3">
        <v>3197383</v>
      </c>
    </row>
    <row r="646" spans="1:13" s="16" customFormat="1" outlineLevel="2">
      <c r="A646" s="17" t="s">
        <v>29</v>
      </c>
      <c r="B646" s="18" t="s">
        <v>223</v>
      </c>
      <c r="C646" s="19" t="s">
        <v>150</v>
      </c>
      <c r="D646" s="18" t="s">
        <v>149</v>
      </c>
      <c r="E646" s="3">
        <v>14583793</v>
      </c>
      <c r="F646" s="17">
        <v>43712</v>
      </c>
      <c r="G646" s="3">
        <v>14583793</v>
      </c>
      <c r="H646" s="2">
        <v>5.0000000000000001E-3</v>
      </c>
      <c r="I646" s="17">
        <v>43800</v>
      </c>
      <c r="J646" s="17">
        <v>43830</v>
      </c>
      <c r="K646" s="3">
        <f>J646-I646+1</f>
        <v>31</v>
      </c>
      <c r="L646" s="3">
        <f>ROUND(G646*H646*K646/365,0)</f>
        <v>6193</v>
      </c>
      <c r="M646" s="3">
        <v>14583793</v>
      </c>
    </row>
    <row r="647" spans="1:13" s="16" customFormat="1" outlineLevel="2">
      <c r="A647" s="17" t="s">
        <v>29</v>
      </c>
      <c r="B647" s="18" t="s">
        <v>241</v>
      </c>
      <c r="C647" s="19" t="s">
        <v>150</v>
      </c>
      <c r="D647" s="18" t="s">
        <v>149</v>
      </c>
      <c r="E647" s="3">
        <v>6711605</v>
      </c>
      <c r="F647" s="17">
        <v>43719</v>
      </c>
      <c r="G647" s="3">
        <v>6711605</v>
      </c>
      <c r="H647" s="2">
        <v>5.0000000000000001E-3</v>
      </c>
      <c r="I647" s="17">
        <v>43800</v>
      </c>
      <c r="J647" s="17">
        <v>43830</v>
      </c>
      <c r="K647" s="3">
        <f>J647-I647+1</f>
        <v>31</v>
      </c>
      <c r="L647" s="3">
        <f>ROUND(G647*H647*K647/365,0)</f>
        <v>2850</v>
      </c>
      <c r="M647" s="3">
        <v>6711605</v>
      </c>
    </row>
    <row r="648" spans="1:13" s="16" customFormat="1" outlineLevel="2">
      <c r="A648" s="17" t="s">
        <v>29</v>
      </c>
      <c r="B648" s="18" t="s">
        <v>240</v>
      </c>
      <c r="C648" s="19" t="s">
        <v>150</v>
      </c>
      <c r="D648" s="18" t="s">
        <v>149</v>
      </c>
      <c r="E648" s="3">
        <v>6533824</v>
      </c>
      <c r="F648" s="17">
        <v>43724</v>
      </c>
      <c r="G648" s="3">
        <v>6533824</v>
      </c>
      <c r="H648" s="2">
        <v>5.0000000000000001E-3</v>
      </c>
      <c r="I648" s="17">
        <v>43800</v>
      </c>
      <c r="J648" s="17">
        <v>43830</v>
      </c>
      <c r="K648" s="3">
        <f>J648-I648+1</f>
        <v>31</v>
      </c>
      <c r="L648" s="3">
        <f>ROUND(G648*H648*K648/365,0)</f>
        <v>2775</v>
      </c>
      <c r="M648" s="3">
        <v>6533824</v>
      </c>
    </row>
    <row r="649" spans="1:13" s="16" customFormat="1" outlineLevel="2">
      <c r="A649" s="17" t="s">
        <v>29</v>
      </c>
      <c r="B649" s="18" t="s">
        <v>48</v>
      </c>
      <c r="C649" s="19" t="s">
        <v>43</v>
      </c>
      <c r="D649" s="18" t="s">
        <v>26</v>
      </c>
      <c r="E649" s="3">
        <v>46269826</v>
      </c>
      <c r="F649" s="17">
        <v>43626</v>
      </c>
      <c r="G649" s="3">
        <v>46269826</v>
      </c>
      <c r="H649" s="2">
        <v>1.4999999999999999E-2</v>
      </c>
      <c r="I649" s="17">
        <v>43800</v>
      </c>
      <c r="J649" s="17">
        <v>43830</v>
      </c>
      <c r="K649" s="3">
        <f>J649-I649+1</f>
        <v>31</v>
      </c>
      <c r="L649" s="3">
        <f>ROUND(G649*H649*K649/365,0)</f>
        <v>58946</v>
      </c>
      <c r="M649" s="3">
        <v>46269826</v>
      </c>
    </row>
    <row r="650" spans="1:13" s="16" customFormat="1" outlineLevel="2">
      <c r="A650" s="17" t="s">
        <v>29</v>
      </c>
      <c r="B650" s="18" t="s">
        <v>239</v>
      </c>
      <c r="C650" s="19" t="s">
        <v>150</v>
      </c>
      <c r="D650" s="18" t="s">
        <v>149</v>
      </c>
      <c r="E650" s="3">
        <v>26751801</v>
      </c>
      <c r="F650" s="17">
        <v>43726</v>
      </c>
      <c r="G650" s="3">
        <v>26751801</v>
      </c>
      <c r="H650" s="2">
        <v>5.0000000000000001E-3</v>
      </c>
      <c r="I650" s="17">
        <v>43800</v>
      </c>
      <c r="J650" s="17">
        <v>43830</v>
      </c>
      <c r="K650" s="3">
        <f>J650-I650+1</f>
        <v>31</v>
      </c>
      <c r="L650" s="3">
        <f>ROUND(G650*H650*K650/365,0)</f>
        <v>11360</v>
      </c>
      <c r="M650" s="3">
        <v>26751801</v>
      </c>
    </row>
    <row r="651" spans="1:13" s="16" customFormat="1" outlineLevel="2">
      <c r="A651" s="17" t="s">
        <v>29</v>
      </c>
      <c r="B651" s="18" t="s">
        <v>238</v>
      </c>
      <c r="C651" s="19" t="s">
        <v>150</v>
      </c>
      <c r="D651" s="18" t="s">
        <v>149</v>
      </c>
      <c r="E651" s="3">
        <v>2281113</v>
      </c>
      <c r="F651" s="17">
        <v>43726</v>
      </c>
      <c r="G651" s="3">
        <v>2281113</v>
      </c>
      <c r="H651" s="2">
        <v>5.0000000000000001E-3</v>
      </c>
      <c r="I651" s="17">
        <v>43800</v>
      </c>
      <c r="J651" s="17">
        <v>43830</v>
      </c>
      <c r="K651" s="3">
        <f>J651-I651+1</f>
        <v>31</v>
      </c>
      <c r="L651" s="3">
        <f>ROUND(G651*H651*K651/365,0)</f>
        <v>969</v>
      </c>
      <c r="M651" s="3">
        <v>2281113</v>
      </c>
    </row>
    <row r="652" spans="1:13" s="16" customFormat="1" outlineLevel="2">
      <c r="A652" s="17" t="s">
        <v>29</v>
      </c>
      <c r="B652" s="18" t="s">
        <v>237</v>
      </c>
      <c r="C652" s="19" t="s">
        <v>150</v>
      </c>
      <c r="D652" s="18" t="s">
        <v>149</v>
      </c>
      <c r="E652" s="3">
        <v>154539165</v>
      </c>
      <c r="F652" s="17">
        <v>43728</v>
      </c>
      <c r="G652" s="3">
        <v>154539165</v>
      </c>
      <c r="H652" s="2">
        <v>5.0000000000000001E-3</v>
      </c>
      <c r="I652" s="17">
        <v>43800</v>
      </c>
      <c r="J652" s="17">
        <v>43830</v>
      </c>
      <c r="K652" s="3">
        <f>J652-I652+1</f>
        <v>31</v>
      </c>
      <c r="L652" s="3">
        <f>ROUND(G652*H652*K652/365,0)</f>
        <v>65626</v>
      </c>
      <c r="M652" s="3">
        <v>154539165</v>
      </c>
    </row>
    <row r="653" spans="1:13" s="16" customFormat="1" outlineLevel="2">
      <c r="A653" s="17" t="s">
        <v>29</v>
      </c>
      <c r="B653" s="18" t="s">
        <v>236</v>
      </c>
      <c r="C653" s="19" t="s">
        <v>150</v>
      </c>
      <c r="D653" s="18" t="s">
        <v>149</v>
      </c>
      <c r="E653" s="3">
        <v>3168908</v>
      </c>
      <c r="F653" s="17">
        <v>43733</v>
      </c>
      <c r="G653" s="3">
        <v>3168908</v>
      </c>
      <c r="H653" s="2">
        <v>5.0000000000000001E-3</v>
      </c>
      <c r="I653" s="17">
        <v>43800</v>
      </c>
      <c r="J653" s="17">
        <v>43830</v>
      </c>
      <c r="K653" s="3">
        <f>J653-I653+1</f>
        <v>31</v>
      </c>
      <c r="L653" s="3">
        <f>ROUND(G653*H653*K653/365,0)</f>
        <v>1346</v>
      </c>
      <c r="M653" s="3">
        <v>3168908</v>
      </c>
    </row>
    <row r="654" spans="1:13" s="16" customFormat="1" outlineLevel="2">
      <c r="A654" s="17" t="s">
        <v>29</v>
      </c>
      <c r="B654" s="18" t="s">
        <v>235</v>
      </c>
      <c r="C654" s="19" t="s">
        <v>150</v>
      </c>
      <c r="D654" s="18" t="s">
        <v>149</v>
      </c>
      <c r="E654" s="3">
        <v>25477584</v>
      </c>
      <c r="F654" s="17">
        <v>43735</v>
      </c>
      <c r="G654" s="3">
        <v>25477584</v>
      </c>
      <c r="H654" s="2">
        <v>5.0000000000000001E-3</v>
      </c>
      <c r="I654" s="17">
        <v>43800</v>
      </c>
      <c r="J654" s="17">
        <v>43830</v>
      </c>
      <c r="K654" s="3">
        <f>J654-I654+1</f>
        <v>31</v>
      </c>
      <c r="L654" s="3">
        <f>ROUND(G654*H654*K654/365,0)</f>
        <v>10819</v>
      </c>
      <c r="M654" s="3">
        <v>25477584</v>
      </c>
    </row>
    <row r="655" spans="1:13" s="16" customFormat="1" outlineLevel="2">
      <c r="A655" s="17" t="s">
        <v>29</v>
      </c>
      <c r="B655" s="18" t="s">
        <v>234</v>
      </c>
      <c r="C655" s="19" t="s">
        <v>233</v>
      </c>
      <c r="D655" s="18" t="s">
        <v>232</v>
      </c>
      <c r="E655" s="3">
        <v>36297937</v>
      </c>
      <c r="F655" s="17">
        <v>43738</v>
      </c>
      <c r="G655" s="3">
        <v>36297937</v>
      </c>
      <c r="H655" s="2">
        <v>1.4999999999999999E-2</v>
      </c>
      <c r="I655" s="17">
        <v>43800</v>
      </c>
      <c r="J655" s="17">
        <v>43830</v>
      </c>
      <c r="K655" s="3">
        <f>J655-I655+1</f>
        <v>31</v>
      </c>
      <c r="L655" s="3">
        <f>ROUND(G655*H655*K655/365,0)</f>
        <v>46243</v>
      </c>
      <c r="M655" s="3">
        <v>36297937</v>
      </c>
    </row>
    <row r="656" spans="1:13" s="16" customFormat="1" outlineLevel="2">
      <c r="A656" s="17" t="s">
        <v>29</v>
      </c>
      <c r="B656" s="18" t="s">
        <v>231</v>
      </c>
      <c r="C656" s="19" t="s">
        <v>230</v>
      </c>
      <c r="D656" s="18" t="s">
        <v>229</v>
      </c>
      <c r="E656" s="3">
        <v>37150000</v>
      </c>
      <c r="F656" s="17">
        <v>43732</v>
      </c>
      <c r="G656" s="3">
        <v>37150000</v>
      </c>
      <c r="H656" s="2">
        <v>5.0000000000000001E-3</v>
      </c>
      <c r="I656" s="17">
        <v>43800</v>
      </c>
      <c r="J656" s="17">
        <v>43830</v>
      </c>
      <c r="K656" s="3">
        <f>J656-I656+1</f>
        <v>31</v>
      </c>
      <c r="L656" s="3">
        <f>ROUND(G656*H656*K656/365,0)</f>
        <v>15776</v>
      </c>
      <c r="M656" s="3">
        <v>37150000</v>
      </c>
    </row>
    <row r="657" spans="1:13" s="16" customFormat="1" outlineLevel="2">
      <c r="A657" s="17" t="s">
        <v>29</v>
      </c>
      <c r="B657" s="18" t="s">
        <v>268</v>
      </c>
      <c r="C657" s="19" t="s">
        <v>43</v>
      </c>
      <c r="D657" s="18" t="s">
        <v>26</v>
      </c>
      <c r="E657" s="3">
        <v>17166989</v>
      </c>
      <c r="F657" s="17">
        <v>43753</v>
      </c>
      <c r="G657" s="3">
        <v>17166989</v>
      </c>
      <c r="H657" s="2">
        <v>1.4999999999999999E-2</v>
      </c>
      <c r="I657" s="17">
        <v>43800</v>
      </c>
      <c r="J657" s="17">
        <v>43830</v>
      </c>
      <c r="K657" s="3">
        <f>J657-I657+1</f>
        <v>31</v>
      </c>
      <c r="L657" s="3">
        <f>ROUND(G657*H657*K657/365,0)</f>
        <v>21870</v>
      </c>
      <c r="M657" s="3">
        <v>17166989</v>
      </c>
    </row>
    <row r="658" spans="1:13" s="16" customFormat="1" outlineLevel="2">
      <c r="A658" s="17" t="s">
        <v>29</v>
      </c>
      <c r="B658" s="18" t="s">
        <v>267</v>
      </c>
      <c r="C658" s="19" t="s">
        <v>43</v>
      </c>
      <c r="D658" s="18" t="s">
        <v>26</v>
      </c>
      <c r="E658" s="3">
        <v>12468435</v>
      </c>
      <c r="F658" s="17">
        <v>43739</v>
      </c>
      <c r="G658" s="3">
        <v>12468435</v>
      </c>
      <c r="H658" s="2">
        <v>1.4999999999999999E-2</v>
      </c>
      <c r="I658" s="17">
        <v>43800</v>
      </c>
      <c r="J658" s="17">
        <v>43830</v>
      </c>
      <c r="K658" s="3">
        <f>J658-I658+1</f>
        <v>31</v>
      </c>
      <c r="L658" s="3">
        <f>ROUND(G658*H658*K658/365,0)</f>
        <v>15884</v>
      </c>
      <c r="M658" s="3">
        <v>12468435</v>
      </c>
    </row>
    <row r="659" spans="1:13" s="16" customFormat="1" outlineLevel="2">
      <c r="A659" s="17" t="s">
        <v>29</v>
      </c>
      <c r="B659" s="18" t="s">
        <v>266</v>
      </c>
      <c r="C659" s="19" t="s">
        <v>159</v>
      </c>
      <c r="D659" s="18" t="s">
        <v>158</v>
      </c>
      <c r="E659" s="3">
        <v>19703000</v>
      </c>
      <c r="F659" s="17">
        <v>43755</v>
      </c>
      <c r="G659" s="3">
        <v>19703000</v>
      </c>
      <c r="H659" s="2">
        <v>1.4999999999999999E-2</v>
      </c>
      <c r="I659" s="17">
        <v>43800</v>
      </c>
      <c r="J659" s="17">
        <v>43830</v>
      </c>
      <c r="K659" s="3">
        <f>J659-I659+1</f>
        <v>31</v>
      </c>
      <c r="L659" s="3">
        <f>ROUND(G659*H659*K659/365,0)</f>
        <v>25101</v>
      </c>
      <c r="M659" s="3">
        <v>19703000</v>
      </c>
    </row>
    <row r="660" spans="1:13" s="16" customFormat="1" outlineLevel="2">
      <c r="A660" s="17" t="s">
        <v>29</v>
      </c>
      <c r="B660" s="18" t="s">
        <v>47</v>
      </c>
      <c r="C660" s="19" t="s">
        <v>43</v>
      </c>
      <c r="D660" s="18" t="s">
        <v>26</v>
      </c>
      <c r="E660" s="3">
        <v>3863475</v>
      </c>
      <c r="F660" s="17">
        <v>43634</v>
      </c>
      <c r="G660" s="3">
        <v>3863475</v>
      </c>
      <c r="H660" s="2">
        <v>1.4999999999999999E-2</v>
      </c>
      <c r="I660" s="17">
        <v>43800</v>
      </c>
      <c r="J660" s="17">
        <v>43830</v>
      </c>
      <c r="K660" s="3">
        <f>J660-I660+1</f>
        <v>31</v>
      </c>
      <c r="L660" s="3">
        <f>ROUND(G660*H660*K660/365,0)</f>
        <v>4922</v>
      </c>
      <c r="M660" s="3">
        <v>3863475</v>
      </c>
    </row>
    <row r="661" spans="1:13" s="16" customFormat="1" outlineLevel="2">
      <c r="A661" s="17" t="s">
        <v>29</v>
      </c>
      <c r="B661" s="18" t="s">
        <v>263</v>
      </c>
      <c r="C661" s="19" t="s">
        <v>159</v>
      </c>
      <c r="D661" s="18" t="s">
        <v>158</v>
      </c>
      <c r="E661" s="3">
        <v>5864000</v>
      </c>
      <c r="F661" s="17">
        <v>43755</v>
      </c>
      <c r="G661" s="3">
        <v>5864000</v>
      </c>
      <c r="H661" s="2">
        <v>1.4999999999999999E-2</v>
      </c>
      <c r="I661" s="17">
        <v>43800</v>
      </c>
      <c r="J661" s="17">
        <v>43830</v>
      </c>
      <c r="K661" s="3">
        <f>J661-I661+1</f>
        <v>31</v>
      </c>
      <c r="L661" s="3">
        <f>ROUND(G661*H661*K661/365,0)</f>
        <v>7471</v>
      </c>
      <c r="M661" s="3">
        <v>5864000</v>
      </c>
    </row>
    <row r="662" spans="1:13" s="16" customFormat="1" outlineLevel="2">
      <c r="A662" s="17" t="s">
        <v>29</v>
      </c>
      <c r="B662" s="18" t="s">
        <v>262</v>
      </c>
      <c r="C662" s="19" t="s">
        <v>163</v>
      </c>
      <c r="D662" s="18" t="s">
        <v>162</v>
      </c>
      <c r="E662" s="3">
        <v>460000</v>
      </c>
      <c r="F662" s="17">
        <v>43753</v>
      </c>
      <c r="G662" s="3">
        <v>460000</v>
      </c>
      <c r="H662" s="2">
        <v>1.4999999999999999E-2</v>
      </c>
      <c r="I662" s="17">
        <v>43800</v>
      </c>
      <c r="J662" s="17">
        <v>43830</v>
      </c>
      <c r="K662" s="3">
        <f>J662-I662+1</f>
        <v>31</v>
      </c>
      <c r="L662" s="3">
        <f>ROUND(G662*H662*K662/365,0)</f>
        <v>586</v>
      </c>
      <c r="M662" s="3">
        <v>460000</v>
      </c>
    </row>
    <row r="663" spans="1:13" s="16" customFormat="1" outlineLevel="2">
      <c r="A663" s="17" t="s">
        <v>29</v>
      </c>
      <c r="B663" s="18" t="s">
        <v>261</v>
      </c>
      <c r="C663" s="19" t="s">
        <v>163</v>
      </c>
      <c r="D663" s="18" t="s">
        <v>162</v>
      </c>
      <c r="E663" s="3">
        <v>760000</v>
      </c>
      <c r="F663" s="17">
        <v>43753</v>
      </c>
      <c r="G663" s="3">
        <v>760000</v>
      </c>
      <c r="H663" s="2">
        <v>1.4999999999999999E-2</v>
      </c>
      <c r="I663" s="17">
        <v>43800</v>
      </c>
      <c r="J663" s="17">
        <v>43830</v>
      </c>
      <c r="K663" s="3">
        <f>J663-I663+1</f>
        <v>31</v>
      </c>
      <c r="L663" s="3">
        <f>ROUND(G663*H663*K663/365,0)</f>
        <v>968</v>
      </c>
      <c r="M663" s="3">
        <v>760000</v>
      </c>
    </row>
    <row r="664" spans="1:13" s="16" customFormat="1" outlineLevel="2">
      <c r="A664" s="17" t="s">
        <v>29</v>
      </c>
      <c r="B664" s="18" t="s">
        <v>258</v>
      </c>
      <c r="C664" s="19" t="s">
        <v>163</v>
      </c>
      <c r="D664" s="18" t="s">
        <v>162</v>
      </c>
      <c r="E664" s="3">
        <v>9900000</v>
      </c>
      <c r="F664" s="17">
        <v>43755</v>
      </c>
      <c r="G664" s="3">
        <v>9900000</v>
      </c>
      <c r="H664" s="2">
        <v>1.4999999999999999E-2</v>
      </c>
      <c r="I664" s="17">
        <v>43800</v>
      </c>
      <c r="J664" s="17">
        <v>43830</v>
      </c>
      <c r="K664" s="3">
        <f>J664-I664+1</f>
        <v>31</v>
      </c>
      <c r="L664" s="3">
        <f>ROUND(G664*H664*K664/365,0)</f>
        <v>12612</v>
      </c>
      <c r="M664" s="3">
        <v>9900000</v>
      </c>
    </row>
    <row r="665" spans="1:13" s="16" customFormat="1" outlineLevel="2">
      <c r="A665" s="17" t="s">
        <v>29</v>
      </c>
      <c r="B665" s="18" t="s">
        <v>255</v>
      </c>
      <c r="C665" s="19" t="s">
        <v>150</v>
      </c>
      <c r="D665" s="18" t="s">
        <v>149</v>
      </c>
      <c r="E665" s="3">
        <v>3272709</v>
      </c>
      <c r="F665" s="17">
        <v>43742</v>
      </c>
      <c r="G665" s="3">
        <v>3272709</v>
      </c>
      <c r="H665" s="2">
        <v>5.0000000000000001E-3</v>
      </c>
      <c r="I665" s="17">
        <v>43800</v>
      </c>
      <c r="J665" s="17">
        <v>43830</v>
      </c>
      <c r="K665" s="3">
        <f>J665-I665+1</f>
        <v>31</v>
      </c>
      <c r="L665" s="3">
        <f>ROUND(G665*H665*K665/365,0)</f>
        <v>1390</v>
      </c>
      <c r="M665" s="3">
        <v>3272709</v>
      </c>
    </row>
    <row r="666" spans="1:13" s="16" customFormat="1" outlineLevel="2">
      <c r="A666" s="17" t="s">
        <v>29</v>
      </c>
      <c r="B666" s="18" t="s">
        <v>254</v>
      </c>
      <c r="C666" s="19" t="s">
        <v>150</v>
      </c>
      <c r="D666" s="18" t="s">
        <v>149</v>
      </c>
      <c r="E666" s="3">
        <v>880979</v>
      </c>
      <c r="F666" s="17">
        <v>43746</v>
      </c>
      <c r="G666" s="3">
        <v>880979</v>
      </c>
      <c r="H666" s="2">
        <v>5.0000000000000001E-3</v>
      </c>
      <c r="I666" s="17">
        <v>43800</v>
      </c>
      <c r="J666" s="17">
        <v>43830</v>
      </c>
      <c r="K666" s="3">
        <f>J666-I666+1</f>
        <v>31</v>
      </c>
      <c r="L666" s="3">
        <f>ROUND(G666*H666*K666/365,0)</f>
        <v>374</v>
      </c>
      <c r="M666" s="3">
        <v>880979</v>
      </c>
    </row>
    <row r="667" spans="1:13" s="16" customFormat="1" outlineLevel="2">
      <c r="A667" s="17" t="s">
        <v>29</v>
      </c>
      <c r="B667" s="18" t="s">
        <v>306</v>
      </c>
      <c r="C667" s="19" t="s">
        <v>150</v>
      </c>
      <c r="D667" s="18" t="s">
        <v>149</v>
      </c>
      <c r="E667" s="3">
        <v>3046985</v>
      </c>
      <c r="F667" s="17">
        <v>43747</v>
      </c>
      <c r="G667" s="3">
        <v>3046985</v>
      </c>
      <c r="H667" s="2">
        <v>5.0000000000000001E-3</v>
      </c>
      <c r="I667" s="17">
        <v>43800</v>
      </c>
      <c r="J667" s="17">
        <v>43830</v>
      </c>
      <c r="K667" s="3">
        <f>J667-I667+1</f>
        <v>31</v>
      </c>
      <c r="L667" s="3">
        <f>ROUND(G667*H667*K667/365,0)</f>
        <v>1294</v>
      </c>
      <c r="M667" s="3">
        <v>3046985</v>
      </c>
    </row>
    <row r="668" spans="1:13" s="16" customFormat="1" outlineLevel="2">
      <c r="A668" s="17" t="s">
        <v>29</v>
      </c>
      <c r="B668" s="18" t="s">
        <v>305</v>
      </c>
      <c r="C668" s="19" t="s">
        <v>150</v>
      </c>
      <c r="D668" s="18" t="s">
        <v>149</v>
      </c>
      <c r="E668" s="3">
        <v>4665228</v>
      </c>
      <c r="F668" s="17">
        <v>43752</v>
      </c>
      <c r="G668" s="3">
        <v>4665228</v>
      </c>
      <c r="H668" s="2">
        <v>5.0000000000000001E-3</v>
      </c>
      <c r="I668" s="17">
        <v>43800</v>
      </c>
      <c r="J668" s="17">
        <v>43830</v>
      </c>
      <c r="K668" s="3">
        <f>J668-I668+1</f>
        <v>31</v>
      </c>
      <c r="L668" s="3">
        <f>ROUND(G668*H668*K668/365,0)</f>
        <v>1981</v>
      </c>
      <c r="M668" s="3">
        <v>4665228</v>
      </c>
    </row>
    <row r="669" spans="1:13" s="16" customFormat="1" outlineLevel="2">
      <c r="A669" s="17" t="s">
        <v>29</v>
      </c>
      <c r="B669" s="18" t="s">
        <v>304</v>
      </c>
      <c r="C669" s="19" t="s">
        <v>150</v>
      </c>
      <c r="D669" s="18" t="s">
        <v>149</v>
      </c>
      <c r="E669" s="3">
        <v>1742820</v>
      </c>
      <c r="F669" s="17">
        <v>43754</v>
      </c>
      <c r="G669" s="3">
        <v>1742820</v>
      </c>
      <c r="H669" s="2">
        <v>5.0000000000000001E-3</v>
      </c>
      <c r="I669" s="17">
        <v>43800</v>
      </c>
      <c r="J669" s="17">
        <v>43830</v>
      </c>
      <c r="K669" s="3">
        <f>J669-I669+1</f>
        <v>31</v>
      </c>
      <c r="L669" s="3">
        <f>ROUND(G669*H669*K669/365,0)</f>
        <v>740</v>
      </c>
      <c r="M669" s="3">
        <v>1742820</v>
      </c>
    </row>
    <row r="670" spans="1:13" s="16" customFormat="1" outlineLevel="2">
      <c r="A670" s="17" t="s">
        <v>29</v>
      </c>
      <c r="B670" s="18" t="s">
        <v>303</v>
      </c>
      <c r="C670" s="19" t="s">
        <v>150</v>
      </c>
      <c r="D670" s="18" t="s">
        <v>149</v>
      </c>
      <c r="E670" s="3">
        <v>41073224</v>
      </c>
      <c r="F670" s="17">
        <v>43755</v>
      </c>
      <c r="G670" s="3">
        <v>41073224</v>
      </c>
      <c r="H670" s="2">
        <v>5.0000000000000001E-3</v>
      </c>
      <c r="I670" s="17">
        <v>43800</v>
      </c>
      <c r="J670" s="17">
        <v>43830</v>
      </c>
      <c r="K670" s="3">
        <f>J670-I670+1</f>
        <v>31</v>
      </c>
      <c r="L670" s="3">
        <f>ROUND(G670*H670*K670/365,0)</f>
        <v>17442</v>
      </c>
      <c r="M670" s="3">
        <v>41073224</v>
      </c>
    </row>
    <row r="671" spans="1:13" s="16" customFormat="1" outlineLevel="2">
      <c r="A671" s="17" t="s">
        <v>29</v>
      </c>
      <c r="B671" s="18" t="s">
        <v>46</v>
      </c>
      <c r="C671" s="19" t="s">
        <v>43</v>
      </c>
      <c r="D671" s="18" t="s">
        <v>26</v>
      </c>
      <c r="E671" s="3">
        <v>8620798</v>
      </c>
      <c r="F671" s="17">
        <v>43644</v>
      </c>
      <c r="G671" s="3">
        <v>8620798</v>
      </c>
      <c r="H671" s="2">
        <v>1.4999999999999999E-2</v>
      </c>
      <c r="I671" s="17">
        <v>43800</v>
      </c>
      <c r="J671" s="17">
        <v>43830</v>
      </c>
      <c r="K671" s="3">
        <f>J671-I671+1</f>
        <v>31</v>
      </c>
      <c r="L671" s="3">
        <f>ROUND(G671*H671*K671/365,0)</f>
        <v>10983</v>
      </c>
      <c r="M671" s="3">
        <v>8620798</v>
      </c>
    </row>
    <row r="672" spans="1:13" s="16" customFormat="1" outlineLevel="2">
      <c r="A672" s="17" t="s">
        <v>29</v>
      </c>
      <c r="B672" s="18" t="s">
        <v>302</v>
      </c>
      <c r="C672" s="19" t="s">
        <v>150</v>
      </c>
      <c r="D672" s="18" t="s">
        <v>149</v>
      </c>
      <c r="E672" s="3">
        <v>141684878</v>
      </c>
      <c r="F672" s="17">
        <v>43759</v>
      </c>
      <c r="G672" s="3">
        <v>141684878</v>
      </c>
      <c r="H672" s="2">
        <v>5.0000000000000001E-3</v>
      </c>
      <c r="I672" s="17">
        <v>43800</v>
      </c>
      <c r="J672" s="17">
        <v>43830</v>
      </c>
      <c r="K672" s="3">
        <f>J672-I672+1</f>
        <v>31</v>
      </c>
      <c r="L672" s="3">
        <f>ROUND(G672*H672*K672/365,0)</f>
        <v>60168</v>
      </c>
      <c r="M672" s="3">
        <v>141684878</v>
      </c>
    </row>
    <row r="673" spans="1:13" s="16" customFormat="1" outlineLevel="2">
      <c r="A673" s="17" t="s">
        <v>29</v>
      </c>
      <c r="B673" s="18" t="s">
        <v>301</v>
      </c>
      <c r="C673" s="19" t="s">
        <v>150</v>
      </c>
      <c r="D673" s="18" t="s">
        <v>149</v>
      </c>
      <c r="E673" s="3">
        <v>1574288</v>
      </c>
      <c r="F673" s="17">
        <v>43761</v>
      </c>
      <c r="G673" s="3">
        <v>1574288</v>
      </c>
      <c r="H673" s="2">
        <v>5.0000000000000001E-3</v>
      </c>
      <c r="I673" s="17">
        <v>43800</v>
      </c>
      <c r="J673" s="17">
        <v>43830</v>
      </c>
      <c r="K673" s="3">
        <f>J673-I673+1</f>
        <v>31</v>
      </c>
      <c r="L673" s="3">
        <f>ROUND(G673*H673*K673/365,0)</f>
        <v>669</v>
      </c>
      <c r="M673" s="3">
        <v>1574288</v>
      </c>
    </row>
    <row r="674" spans="1:13" s="16" customFormat="1" outlineLevel="2">
      <c r="A674" s="17" t="s">
        <v>29</v>
      </c>
      <c r="B674" s="18" t="s">
        <v>300</v>
      </c>
      <c r="C674" s="19" t="s">
        <v>150</v>
      </c>
      <c r="D674" s="18" t="s">
        <v>149</v>
      </c>
      <c r="E674" s="3">
        <v>40272013</v>
      </c>
      <c r="F674" s="17">
        <v>43768</v>
      </c>
      <c r="G674" s="3">
        <v>40272013</v>
      </c>
      <c r="H674" s="2">
        <v>5.0000000000000001E-3</v>
      </c>
      <c r="I674" s="17">
        <v>43800</v>
      </c>
      <c r="J674" s="17">
        <v>43830</v>
      </c>
      <c r="K674" s="3">
        <f>J674-I674+1</f>
        <v>31</v>
      </c>
      <c r="L674" s="3">
        <f>ROUND(G674*H674*K674/365,0)</f>
        <v>17102</v>
      </c>
      <c r="M674" s="3">
        <v>40272013</v>
      </c>
    </row>
    <row r="675" spans="1:13" s="16" customFormat="1" outlineLevel="2">
      <c r="A675" s="17" t="s">
        <v>29</v>
      </c>
      <c r="B675" s="18" t="s">
        <v>299</v>
      </c>
      <c r="C675" s="19" t="s">
        <v>150</v>
      </c>
      <c r="D675" s="18" t="s">
        <v>149</v>
      </c>
      <c r="E675" s="3">
        <v>3821153</v>
      </c>
      <c r="F675" s="17">
        <v>43768</v>
      </c>
      <c r="G675" s="3">
        <v>3821153</v>
      </c>
      <c r="H675" s="2">
        <v>5.0000000000000001E-3</v>
      </c>
      <c r="I675" s="17">
        <v>43800</v>
      </c>
      <c r="J675" s="17">
        <v>43830</v>
      </c>
      <c r="K675" s="3">
        <f>J675-I675+1</f>
        <v>31</v>
      </c>
      <c r="L675" s="3">
        <f>ROUND(G675*H675*K675/365,0)</f>
        <v>1623</v>
      </c>
      <c r="M675" s="3">
        <v>3821153</v>
      </c>
    </row>
    <row r="676" spans="1:13" s="16" customFormat="1" outlineLevel="2">
      <c r="A676" s="17" t="s">
        <v>29</v>
      </c>
      <c r="B676" s="18" t="s">
        <v>298</v>
      </c>
      <c r="C676" s="19" t="s">
        <v>150</v>
      </c>
      <c r="D676" s="18" t="s">
        <v>149</v>
      </c>
      <c r="E676" s="3">
        <v>9008189</v>
      </c>
      <c r="F676" s="17">
        <v>43753</v>
      </c>
      <c r="G676" s="3">
        <v>9008189</v>
      </c>
      <c r="H676" s="2">
        <v>3.0000000000000001E-3</v>
      </c>
      <c r="I676" s="17">
        <v>43800</v>
      </c>
      <c r="J676" s="17">
        <v>43830</v>
      </c>
      <c r="K676" s="3">
        <f>J676-I676+1</f>
        <v>31</v>
      </c>
      <c r="L676" s="3">
        <f>ROUND(G676*H676*K676/365,0)</f>
        <v>2295</v>
      </c>
      <c r="M676" s="3">
        <v>9008189</v>
      </c>
    </row>
    <row r="677" spans="1:13" s="16" customFormat="1" outlineLevel="2">
      <c r="A677" s="17" t="s">
        <v>29</v>
      </c>
      <c r="B677" s="18" t="s">
        <v>297</v>
      </c>
      <c r="C677" s="19" t="s">
        <v>150</v>
      </c>
      <c r="D677" s="18" t="s">
        <v>149</v>
      </c>
      <c r="E677" s="3">
        <v>32340000</v>
      </c>
      <c r="F677" s="17">
        <v>43754</v>
      </c>
      <c r="G677" s="3">
        <v>32340000</v>
      </c>
      <c r="H677" s="2">
        <v>3.0000000000000001E-3</v>
      </c>
      <c r="I677" s="17">
        <v>43800</v>
      </c>
      <c r="J677" s="17">
        <v>43830</v>
      </c>
      <c r="K677" s="3">
        <f>J677-I677+1</f>
        <v>31</v>
      </c>
      <c r="L677" s="3">
        <f>ROUND(G677*H677*K677/365,0)</f>
        <v>8240</v>
      </c>
      <c r="M677" s="3">
        <v>32340000</v>
      </c>
    </row>
    <row r="678" spans="1:13" s="16" customFormat="1" outlineLevel="2">
      <c r="A678" s="17" t="s">
        <v>29</v>
      </c>
      <c r="B678" s="18" t="s">
        <v>296</v>
      </c>
      <c r="C678" s="19" t="s">
        <v>150</v>
      </c>
      <c r="D678" s="18" t="s">
        <v>149</v>
      </c>
      <c r="E678" s="3">
        <v>23254893</v>
      </c>
      <c r="F678" s="17">
        <v>43755</v>
      </c>
      <c r="G678" s="3">
        <v>23254893</v>
      </c>
      <c r="H678" s="2">
        <v>3.0000000000000001E-3</v>
      </c>
      <c r="I678" s="17">
        <v>43800</v>
      </c>
      <c r="J678" s="17">
        <v>43830</v>
      </c>
      <c r="K678" s="3">
        <f>J678-I678+1</f>
        <v>31</v>
      </c>
      <c r="L678" s="3">
        <f>ROUND(G678*H678*K678/365,0)</f>
        <v>5925</v>
      </c>
      <c r="M678" s="3">
        <v>23254893</v>
      </c>
    </row>
    <row r="679" spans="1:13" s="16" customFormat="1" outlineLevel="2">
      <c r="A679" s="17" t="s">
        <v>29</v>
      </c>
      <c r="B679" s="18" t="s">
        <v>295</v>
      </c>
      <c r="C679" s="19" t="s">
        <v>150</v>
      </c>
      <c r="D679" s="18" t="s">
        <v>149</v>
      </c>
      <c r="E679" s="3">
        <v>21377001</v>
      </c>
      <c r="F679" s="17">
        <v>43759</v>
      </c>
      <c r="G679" s="3">
        <v>21377001</v>
      </c>
      <c r="H679" s="2">
        <v>3.0000000000000001E-3</v>
      </c>
      <c r="I679" s="17">
        <v>43800</v>
      </c>
      <c r="J679" s="17">
        <v>43830</v>
      </c>
      <c r="K679" s="3">
        <f>J679-I679+1</f>
        <v>31</v>
      </c>
      <c r="L679" s="3">
        <f>ROUND(G679*H679*K679/365,0)</f>
        <v>5447</v>
      </c>
      <c r="M679" s="3">
        <v>21377001</v>
      </c>
    </row>
    <row r="680" spans="1:13" s="16" customFormat="1" outlineLevel="2">
      <c r="A680" s="17" t="s">
        <v>29</v>
      </c>
      <c r="B680" s="18" t="s">
        <v>294</v>
      </c>
      <c r="C680" s="19" t="s">
        <v>150</v>
      </c>
      <c r="D680" s="18" t="s">
        <v>149</v>
      </c>
      <c r="E680" s="3">
        <v>19682212</v>
      </c>
      <c r="F680" s="17">
        <v>43766</v>
      </c>
      <c r="G680" s="3">
        <v>19682212</v>
      </c>
      <c r="H680" s="2">
        <v>3.0000000000000001E-3</v>
      </c>
      <c r="I680" s="17">
        <v>43800</v>
      </c>
      <c r="J680" s="17">
        <v>43830</v>
      </c>
      <c r="K680" s="3">
        <f>J680-I680+1</f>
        <v>31</v>
      </c>
      <c r="L680" s="3">
        <f>ROUND(G680*H680*K680/365,0)</f>
        <v>5015</v>
      </c>
      <c r="M680" s="3">
        <v>19682212</v>
      </c>
    </row>
    <row r="681" spans="1:13" s="16" customFormat="1" outlineLevel="2">
      <c r="A681" s="17" t="s">
        <v>29</v>
      </c>
      <c r="B681" s="18" t="s">
        <v>293</v>
      </c>
      <c r="C681" s="19" t="s">
        <v>276</v>
      </c>
      <c r="D681" s="18" t="s">
        <v>275</v>
      </c>
      <c r="E681" s="3">
        <v>2760000</v>
      </c>
      <c r="F681" s="17">
        <v>43742</v>
      </c>
      <c r="G681" s="3">
        <v>2760000</v>
      </c>
      <c r="H681" s="2">
        <v>5.0000000000000001E-3</v>
      </c>
      <c r="I681" s="17">
        <v>43800</v>
      </c>
      <c r="J681" s="17">
        <v>43830</v>
      </c>
      <c r="K681" s="3">
        <f>J681-I681+1</f>
        <v>31</v>
      </c>
      <c r="L681" s="3">
        <f>ROUND(G681*H681*K681/365,0)</f>
        <v>1172</v>
      </c>
      <c r="M681" s="3">
        <v>2760000</v>
      </c>
    </row>
    <row r="682" spans="1:13" s="16" customFormat="1" outlineLevel="2">
      <c r="A682" s="17" t="s">
        <v>29</v>
      </c>
      <c r="B682" s="18" t="s">
        <v>45</v>
      </c>
      <c r="C682" s="19" t="s">
        <v>43</v>
      </c>
      <c r="D682" s="18" t="s">
        <v>26</v>
      </c>
      <c r="E682" s="3">
        <v>14180723</v>
      </c>
      <c r="F682" s="17">
        <v>43626</v>
      </c>
      <c r="G682" s="3">
        <v>14180723</v>
      </c>
      <c r="H682" s="2">
        <v>1.4999999999999999E-2</v>
      </c>
      <c r="I682" s="17">
        <v>43800</v>
      </c>
      <c r="J682" s="17">
        <v>43830</v>
      </c>
      <c r="K682" s="3">
        <f>J682-I682+1</f>
        <v>31</v>
      </c>
      <c r="L682" s="3">
        <f>ROUND(G682*H682*K682/365,0)</f>
        <v>18066</v>
      </c>
      <c r="M682" s="3">
        <v>14180723</v>
      </c>
    </row>
    <row r="683" spans="1:13" s="16" customFormat="1" outlineLevel="2">
      <c r="A683" s="17" t="s">
        <v>29</v>
      </c>
      <c r="B683" s="18" t="s">
        <v>292</v>
      </c>
      <c r="C683" s="19" t="s">
        <v>253</v>
      </c>
      <c r="D683" s="18" t="s">
        <v>252</v>
      </c>
      <c r="E683" s="3">
        <v>6500000</v>
      </c>
      <c r="F683" s="17">
        <v>43763</v>
      </c>
      <c r="G683" s="3">
        <v>6500000</v>
      </c>
      <c r="H683" s="2">
        <v>5.0000000000000001E-3</v>
      </c>
      <c r="I683" s="17">
        <v>43800</v>
      </c>
      <c r="J683" s="17">
        <v>43830</v>
      </c>
      <c r="K683" s="3">
        <f>J683-I683+1</f>
        <v>31</v>
      </c>
      <c r="L683" s="3">
        <f>ROUND(G683*H683*K683/365,0)</f>
        <v>2760</v>
      </c>
      <c r="M683" s="3">
        <v>6500000</v>
      </c>
    </row>
    <row r="684" spans="1:13" s="16" customFormat="1" outlineLevel="2">
      <c r="A684" s="17" t="s">
        <v>29</v>
      </c>
      <c r="B684" s="18" t="s">
        <v>291</v>
      </c>
      <c r="C684" s="19" t="s">
        <v>233</v>
      </c>
      <c r="D684" s="18" t="s">
        <v>232</v>
      </c>
      <c r="E684" s="3">
        <v>269474</v>
      </c>
      <c r="F684" s="17">
        <v>43739</v>
      </c>
      <c r="G684" s="3">
        <v>269474</v>
      </c>
      <c r="H684" s="2">
        <v>1.4999999999999999E-2</v>
      </c>
      <c r="I684" s="17">
        <v>43800</v>
      </c>
      <c r="J684" s="17">
        <v>43830</v>
      </c>
      <c r="K684" s="3">
        <f>J684-I684+1</f>
        <v>31</v>
      </c>
      <c r="L684" s="3">
        <f>ROUND(G684*H684*K684/365,0)</f>
        <v>343</v>
      </c>
      <c r="M684" s="3">
        <v>269474</v>
      </c>
    </row>
    <row r="685" spans="1:13" s="16" customFormat="1" outlineLevel="2">
      <c r="A685" s="17" t="s">
        <v>29</v>
      </c>
      <c r="B685" s="18" t="s">
        <v>290</v>
      </c>
      <c r="C685" s="19" t="s">
        <v>233</v>
      </c>
      <c r="D685" s="18" t="s">
        <v>232</v>
      </c>
      <c r="E685" s="3">
        <v>6182097</v>
      </c>
      <c r="F685" s="17">
        <v>43739</v>
      </c>
      <c r="G685" s="3">
        <v>6182097</v>
      </c>
      <c r="H685" s="2">
        <v>1.4999999999999999E-2</v>
      </c>
      <c r="I685" s="17">
        <v>43800</v>
      </c>
      <c r="J685" s="17">
        <v>43830</v>
      </c>
      <c r="K685" s="3">
        <f>J685-I685+1</f>
        <v>31</v>
      </c>
      <c r="L685" s="3">
        <f>ROUND(G685*H685*K685/365,0)</f>
        <v>7876</v>
      </c>
      <c r="M685" s="3">
        <v>6182097</v>
      </c>
    </row>
    <row r="686" spans="1:13" s="16" customFormat="1" outlineLevel="2">
      <c r="A686" s="17" t="s">
        <v>29</v>
      </c>
      <c r="B686" s="18" t="s">
        <v>289</v>
      </c>
      <c r="C686" s="19" t="s">
        <v>233</v>
      </c>
      <c r="D686" s="18" t="s">
        <v>232</v>
      </c>
      <c r="E686" s="3">
        <v>41714962</v>
      </c>
      <c r="F686" s="17">
        <v>43754</v>
      </c>
      <c r="G686" s="3">
        <v>41714962</v>
      </c>
      <c r="H686" s="2">
        <v>1.4999999999999999E-2</v>
      </c>
      <c r="I686" s="17">
        <v>43800</v>
      </c>
      <c r="J686" s="17">
        <v>43830</v>
      </c>
      <c r="K686" s="3">
        <f>J686-I686+1</f>
        <v>31</v>
      </c>
      <c r="L686" s="3">
        <f>ROUND(G686*H686*K686/365,0)</f>
        <v>53144</v>
      </c>
      <c r="M686" s="3">
        <v>41714962</v>
      </c>
    </row>
    <row r="687" spans="1:13" s="16" customFormat="1" outlineLevel="2">
      <c r="A687" s="17" t="s">
        <v>29</v>
      </c>
      <c r="B687" s="18" t="s">
        <v>324</v>
      </c>
      <c r="C687" s="19" t="s">
        <v>43</v>
      </c>
      <c r="D687" s="18" t="s">
        <v>26</v>
      </c>
      <c r="E687" s="3">
        <v>1653750</v>
      </c>
      <c r="F687" s="17">
        <v>43777</v>
      </c>
      <c r="G687" s="3">
        <v>1653750</v>
      </c>
      <c r="H687" s="2">
        <v>1.4999999999999999E-2</v>
      </c>
      <c r="I687" s="17">
        <v>43800</v>
      </c>
      <c r="J687" s="17">
        <v>43830</v>
      </c>
      <c r="K687" s="3">
        <f>J687-I687+1</f>
        <v>31</v>
      </c>
      <c r="L687" s="3">
        <f>ROUND(G687*H687*K687/365,0)</f>
        <v>2107</v>
      </c>
      <c r="M687" s="3">
        <v>1653750</v>
      </c>
    </row>
    <row r="688" spans="1:13" s="16" customFormat="1" outlineLevel="2">
      <c r="A688" s="17" t="s">
        <v>29</v>
      </c>
      <c r="B688" s="18" t="s">
        <v>323</v>
      </c>
      <c r="C688" s="19" t="s">
        <v>43</v>
      </c>
      <c r="D688" s="18" t="s">
        <v>26</v>
      </c>
      <c r="E688" s="3">
        <v>17957200</v>
      </c>
      <c r="F688" s="17">
        <v>43787</v>
      </c>
      <c r="G688" s="3">
        <v>17957200</v>
      </c>
      <c r="H688" s="2">
        <v>1.4999999999999999E-2</v>
      </c>
      <c r="I688" s="17">
        <v>43800</v>
      </c>
      <c r="J688" s="17">
        <v>43830</v>
      </c>
      <c r="K688" s="3">
        <f>J688-I688+1</f>
        <v>31</v>
      </c>
      <c r="L688" s="3">
        <f>ROUND(G688*H688*K688/365,0)</f>
        <v>22877</v>
      </c>
      <c r="M688" s="3">
        <v>17957200</v>
      </c>
    </row>
    <row r="689" spans="1:13" s="16" customFormat="1" outlineLevel="2">
      <c r="A689" s="17" t="s">
        <v>29</v>
      </c>
      <c r="B689" s="18" t="s">
        <v>322</v>
      </c>
      <c r="C689" s="19" t="s">
        <v>43</v>
      </c>
      <c r="D689" s="18" t="s">
        <v>26</v>
      </c>
      <c r="E689" s="3">
        <v>20065716</v>
      </c>
      <c r="F689" s="17">
        <v>43797</v>
      </c>
      <c r="G689" s="3">
        <v>20065716</v>
      </c>
      <c r="H689" s="2">
        <v>1.4999999999999999E-2</v>
      </c>
      <c r="I689" s="17">
        <v>43800</v>
      </c>
      <c r="J689" s="17">
        <v>43830</v>
      </c>
      <c r="K689" s="3">
        <f>J689-I689+1</f>
        <v>31</v>
      </c>
      <c r="L689" s="3">
        <f>ROUND(G689*H689*K689/365,0)</f>
        <v>25563</v>
      </c>
      <c r="M689" s="3">
        <v>20065716</v>
      </c>
    </row>
    <row r="690" spans="1:13" s="16" customFormat="1" outlineLevel="2">
      <c r="A690" s="17" t="s">
        <v>29</v>
      </c>
      <c r="B690" s="18" t="s">
        <v>321</v>
      </c>
      <c r="C690" s="19" t="s">
        <v>43</v>
      </c>
      <c r="D690" s="18" t="s">
        <v>26</v>
      </c>
      <c r="E690" s="3">
        <v>45982661</v>
      </c>
      <c r="F690" s="17">
        <v>43777</v>
      </c>
      <c r="G690" s="3">
        <v>45982661</v>
      </c>
      <c r="H690" s="2">
        <v>1.4999999999999999E-2</v>
      </c>
      <c r="I690" s="17">
        <v>43800</v>
      </c>
      <c r="J690" s="17">
        <v>43830</v>
      </c>
      <c r="K690" s="3">
        <f>J690-I690+1</f>
        <v>31</v>
      </c>
      <c r="L690" s="3">
        <f>ROUND(G690*H690*K690/365,0)</f>
        <v>58581</v>
      </c>
      <c r="M690" s="3">
        <v>45982661</v>
      </c>
    </row>
    <row r="691" spans="1:13" s="16" customFormat="1" outlineLevel="2">
      <c r="A691" s="17" t="s">
        <v>29</v>
      </c>
      <c r="B691" s="18" t="s">
        <v>318</v>
      </c>
      <c r="C691" s="19" t="s">
        <v>43</v>
      </c>
      <c r="D691" s="18" t="s">
        <v>26</v>
      </c>
      <c r="E691" s="3">
        <v>94625299</v>
      </c>
      <c r="F691" s="17">
        <v>43787</v>
      </c>
      <c r="G691" s="3">
        <v>94625299</v>
      </c>
      <c r="H691" s="2">
        <v>1.4999999999999999E-2</v>
      </c>
      <c r="I691" s="17">
        <v>43800</v>
      </c>
      <c r="J691" s="17">
        <v>43830</v>
      </c>
      <c r="K691" s="3">
        <f>J691-I691+1</f>
        <v>31</v>
      </c>
      <c r="L691" s="3">
        <f>ROUND(G691*H691*K691/365,0)</f>
        <v>120550</v>
      </c>
      <c r="M691" s="3">
        <v>94625299</v>
      </c>
    </row>
    <row r="692" spans="1:13" s="16" customFormat="1" outlineLevel="2">
      <c r="A692" s="17" t="s">
        <v>29</v>
      </c>
      <c r="B692" s="18" t="s">
        <v>317</v>
      </c>
      <c r="C692" s="19" t="s">
        <v>43</v>
      </c>
      <c r="D692" s="18" t="s">
        <v>26</v>
      </c>
      <c r="E692" s="3">
        <v>10399725</v>
      </c>
      <c r="F692" s="17">
        <v>43797</v>
      </c>
      <c r="G692" s="3">
        <v>10399725</v>
      </c>
      <c r="H692" s="2">
        <v>1.4999999999999999E-2</v>
      </c>
      <c r="I692" s="17">
        <v>43800</v>
      </c>
      <c r="J692" s="17">
        <v>43830</v>
      </c>
      <c r="K692" s="3">
        <f>J692-I692+1</f>
        <v>31</v>
      </c>
      <c r="L692" s="3">
        <f>ROUND(G692*H692*K692/365,0)</f>
        <v>13249</v>
      </c>
      <c r="M692" s="3">
        <v>10399725</v>
      </c>
    </row>
    <row r="693" spans="1:13" s="16" customFormat="1" outlineLevel="2">
      <c r="A693" s="17" t="s">
        <v>29</v>
      </c>
      <c r="B693" s="18" t="s">
        <v>44</v>
      </c>
      <c r="C693" s="19" t="s">
        <v>43</v>
      </c>
      <c r="D693" s="18" t="s">
        <v>26</v>
      </c>
      <c r="E693" s="3">
        <v>10848433</v>
      </c>
      <c r="F693" s="17">
        <v>43634</v>
      </c>
      <c r="G693" s="3">
        <v>10848433</v>
      </c>
      <c r="H693" s="2">
        <v>1.4999999999999999E-2</v>
      </c>
      <c r="I693" s="17">
        <v>43800</v>
      </c>
      <c r="J693" s="17">
        <v>43830</v>
      </c>
      <c r="K693" s="3">
        <f>J693-I693+1</f>
        <v>31</v>
      </c>
      <c r="L693" s="3">
        <f>ROUND(G693*H693*K693/365,0)</f>
        <v>13821</v>
      </c>
      <c r="M693" s="3">
        <v>10848433</v>
      </c>
    </row>
    <row r="694" spans="1:13" s="16" customFormat="1" outlineLevel="2">
      <c r="A694" s="17" t="s">
        <v>29</v>
      </c>
      <c r="B694" s="18" t="s">
        <v>314</v>
      </c>
      <c r="C694" s="19" t="s">
        <v>159</v>
      </c>
      <c r="D694" s="18" t="s">
        <v>158</v>
      </c>
      <c r="E694" s="3">
        <v>11946000</v>
      </c>
      <c r="F694" s="17">
        <v>43784</v>
      </c>
      <c r="G694" s="3">
        <v>11946000</v>
      </c>
      <c r="H694" s="2">
        <v>1.4999999999999999E-2</v>
      </c>
      <c r="I694" s="17">
        <v>43800</v>
      </c>
      <c r="J694" s="17">
        <v>43830</v>
      </c>
      <c r="K694" s="3">
        <f>J694-I694+1</f>
        <v>31</v>
      </c>
      <c r="L694" s="3">
        <f>ROUND(G694*H694*K694/365,0)</f>
        <v>15219</v>
      </c>
      <c r="M694" s="3">
        <v>11946000</v>
      </c>
    </row>
    <row r="695" spans="1:13" s="16" customFormat="1" outlineLevel="2">
      <c r="A695" s="17" t="s">
        <v>29</v>
      </c>
      <c r="B695" s="18" t="s">
        <v>368</v>
      </c>
      <c r="C695" s="19" t="s">
        <v>159</v>
      </c>
      <c r="D695" s="18" t="s">
        <v>158</v>
      </c>
      <c r="E695" s="3">
        <v>6348000</v>
      </c>
      <c r="F695" s="17">
        <v>43784</v>
      </c>
      <c r="G695" s="3">
        <v>6348000</v>
      </c>
      <c r="H695" s="2">
        <v>1.4999999999999999E-2</v>
      </c>
      <c r="I695" s="17">
        <v>43800</v>
      </c>
      <c r="J695" s="17">
        <v>43830</v>
      </c>
      <c r="K695" s="3">
        <f>J695-I695+1</f>
        <v>31</v>
      </c>
      <c r="L695" s="3">
        <f>ROUND(G695*H695*K695/365,0)</f>
        <v>8087</v>
      </c>
      <c r="M695" s="3">
        <v>6348000</v>
      </c>
    </row>
    <row r="696" spans="1:13" s="16" customFormat="1" outlineLevel="2">
      <c r="A696" s="17" t="s">
        <v>29</v>
      </c>
      <c r="B696" s="18" t="s">
        <v>367</v>
      </c>
      <c r="C696" s="19" t="s">
        <v>163</v>
      </c>
      <c r="D696" s="18" t="s">
        <v>162</v>
      </c>
      <c r="E696" s="3">
        <v>6500000</v>
      </c>
      <c r="F696" s="17">
        <v>43790</v>
      </c>
      <c r="G696" s="3">
        <v>6500000</v>
      </c>
      <c r="H696" s="2">
        <v>1.4999999999999999E-2</v>
      </c>
      <c r="I696" s="17">
        <v>43800</v>
      </c>
      <c r="J696" s="17">
        <v>43830</v>
      </c>
      <c r="K696" s="3">
        <f>J696-I696+1</f>
        <v>31</v>
      </c>
      <c r="L696" s="3">
        <f>ROUND(G696*H696*K696/365,0)</f>
        <v>8281</v>
      </c>
      <c r="M696" s="3">
        <v>6500000</v>
      </c>
    </row>
    <row r="697" spans="1:13" s="16" customFormat="1" outlineLevel="2">
      <c r="A697" s="17" t="s">
        <v>29</v>
      </c>
      <c r="B697" s="18" t="s">
        <v>366</v>
      </c>
      <c r="C697" s="19" t="s">
        <v>51</v>
      </c>
      <c r="D697" s="18" t="s">
        <v>50</v>
      </c>
      <c r="E697" s="3">
        <v>159000000</v>
      </c>
      <c r="F697" s="17">
        <v>43784</v>
      </c>
      <c r="G697" s="3">
        <v>159000000</v>
      </c>
      <c r="H697" s="2">
        <v>1.4999999999999999E-2</v>
      </c>
      <c r="I697" s="17">
        <v>43800</v>
      </c>
      <c r="J697" s="17">
        <v>43830</v>
      </c>
      <c r="K697" s="3">
        <f>J697-I697+1</f>
        <v>31</v>
      </c>
      <c r="L697" s="3">
        <f>ROUND(G697*H697*K697/365,0)</f>
        <v>202562</v>
      </c>
      <c r="M697" s="3">
        <v>159000000</v>
      </c>
    </row>
    <row r="698" spans="1:13" s="16" customFormat="1" outlineLevel="2">
      <c r="A698" s="17" t="s">
        <v>29</v>
      </c>
      <c r="B698" s="18" t="s">
        <v>365</v>
      </c>
      <c r="C698" s="19" t="s">
        <v>150</v>
      </c>
      <c r="D698" s="18" t="s">
        <v>149</v>
      </c>
      <c r="E698" s="3">
        <v>4670850</v>
      </c>
      <c r="F698" s="17">
        <v>43773</v>
      </c>
      <c r="G698" s="3">
        <v>4670850</v>
      </c>
      <c r="H698" s="2">
        <v>5.0000000000000001E-3</v>
      </c>
      <c r="I698" s="17">
        <v>43800</v>
      </c>
      <c r="J698" s="17">
        <v>43830</v>
      </c>
      <c r="K698" s="3">
        <f>J698-I698+1</f>
        <v>31</v>
      </c>
      <c r="L698" s="3">
        <f>ROUND(G698*H698*K698/365,0)</f>
        <v>1984</v>
      </c>
      <c r="M698" s="3">
        <v>4670850</v>
      </c>
    </row>
    <row r="699" spans="1:13" s="16" customFormat="1" outlineLevel="2">
      <c r="A699" s="17" t="s">
        <v>29</v>
      </c>
      <c r="B699" s="18" t="s">
        <v>364</v>
      </c>
      <c r="C699" s="19" t="s">
        <v>150</v>
      </c>
      <c r="D699" s="18" t="s">
        <v>149</v>
      </c>
      <c r="E699" s="3">
        <v>1244884</v>
      </c>
      <c r="F699" s="17">
        <v>43775</v>
      </c>
      <c r="G699" s="3">
        <v>1244884</v>
      </c>
      <c r="H699" s="2">
        <v>5.0000000000000001E-3</v>
      </c>
      <c r="I699" s="17">
        <v>43800</v>
      </c>
      <c r="J699" s="17">
        <v>43830</v>
      </c>
      <c r="K699" s="3">
        <f>J699-I699+1</f>
        <v>31</v>
      </c>
      <c r="L699" s="3">
        <f>ROUND(G699*H699*K699/365,0)</f>
        <v>529</v>
      </c>
      <c r="M699" s="3">
        <v>1244884</v>
      </c>
    </row>
    <row r="700" spans="1:13" s="16" customFormat="1" outlineLevel="2">
      <c r="A700" s="17" t="s">
        <v>29</v>
      </c>
      <c r="B700" s="18" t="s">
        <v>363</v>
      </c>
      <c r="C700" s="19" t="s">
        <v>150</v>
      </c>
      <c r="D700" s="18" t="s">
        <v>149</v>
      </c>
      <c r="E700" s="3">
        <v>4430720</v>
      </c>
      <c r="F700" s="17">
        <v>43782</v>
      </c>
      <c r="G700" s="3">
        <v>4430720</v>
      </c>
      <c r="H700" s="2">
        <v>5.0000000000000001E-3</v>
      </c>
      <c r="I700" s="17">
        <v>43800</v>
      </c>
      <c r="J700" s="17">
        <v>43830</v>
      </c>
      <c r="K700" s="3">
        <f>J700-I700+1</f>
        <v>31</v>
      </c>
      <c r="L700" s="3">
        <f>ROUND(G700*H700*K700/365,0)</f>
        <v>1882</v>
      </c>
      <c r="M700" s="3">
        <v>4430720</v>
      </c>
    </row>
    <row r="701" spans="1:13" s="16" customFormat="1" outlineLevel="2">
      <c r="A701" s="17" t="s">
        <v>29</v>
      </c>
      <c r="B701" s="18" t="s">
        <v>362</v>
      </c>
      <c r="C701" s="19" t="s">
        <v>150</v>
      </c>
      <c r="D701" s="18" t="s">
        <v>149</v>
      </c>
      <c r="E701" s="3">
        <v>5803431</v>
      </c>
      <c r="F701" s="17">
        <v>43783</v>
      </c>
      <c r="G701" s="3">
        <v>5803431</v>
      </c>
      <c r="H701" s="2">
        <v>5.0000000000000001E-3</v>
      </c>
      <c r="I701" s="17">
        <v>43800</v>
      </c>
      <c r="J701" s="17">
        <v>43830</v>
      </c>
      <c r="K701" s="3">
        <f>J701-I701+1</f>
        <v>31</v>
      </c>
      <c r="L701" s="3">
        <f>ROUND(G701*H701*K701/365,0)</f>
        <v>2464</v>
      </c>
      <c r="M701" s="3">
        <v>5803431</v>
      </c>
    </row>
    <row r="702" spans="1:13" s="16" customFormat="1" outlineLevel="2">
      <c r="A702" s="17" t="s">
        <v>29</v>
      </c>
      <c r="B702" s="18" t="s">
        <v>361</v>
      </c>
      <c r="C702" s="19" t="s">
        <v>150</v>
      </c>
      <c r="D702" s="18" t="s">
        <v>149</v>
      </c>
      <c r="E702" s="3">
        <v>39794860</v>
      </c>
      <c r="F702" s="17">
        <v>43787</v>
      </c>
      <c r="G702" s="3">
        <v>39794860</v>
      </c>
      <c r="H702" s="2">
        <v>5.0000000000000001E-3</v>
      </c>
      <c r="I702" s="17">
        <v>43800</v>
      </c>
      <c r="J702" s="17">
        <v>43830</v>
      </c>
      <c r="K702" s="3">
        <f>J702-I702+1</f>
        <v>31</v>
      </c>
      <c r="L702" s="3">
        <f>ROUND(G702*H702*K702/365,0)</f>
        <v>16899</v>
      </c>
      <c r="M702" s="3">
        <v>39794860</v>
      </c>
    </row>
    <row r="703" spans="1:13" s="16" customFormat="1" outlineLevel="2">
      <c r="A703" s="17" t="s">
        <v>29</v>
      </c>
      <c r="B703" s="18" t="s">
        <v>360</v>
      </c>
      <c r="C703" s="19" t="s">
        <v>150</v>
      </c>
      <c r="D703" s="18" t="s">
        <v>149</v>
      </c>
      <c r="E703" s="3">
        <v>144680623</v>
      </c>
      <c r="F703" s="17">
        <v>43789</v>
      </c>
      <c r="G703" s="3">
        <v>144680623</v>
      </c>
      <c r="H703" s="2">
        <v>5.0000000000000001E-3</v>
      </c>
      <c r="I703" s="17">
        <v>43800</v>
      </c>
      <c r="J703" s="17">
        <v>43830</v>
      </c>
      <c r="K703" s="3">
        <f>J703-I703+1</f>
        <v>31</v>
      </c>
      <c r="L703" s="3">
        <f>ROUND(G703*H703*K703/365,0)</f>
        <v>61440</v>
      </c>
      <c r="M703" s="3">
        <v>144680623</v>
      </c>
    </row>
    <row r="704" spans="1:13" s="16" customFormat="1" outlineLevel="1">
      <c r="A704" s="28" t="s">
        <v>25</v>
      </c>
      <c r="B704" s="21"/>
      <c r="C704" s="22"/>
      <c r="D704" s="21"/>
      <c r="E704" s="23">
        <f>SUBTOTAL(9,E560:E703)</f>
        <v>6180799672</v>
      </c>
      <c r="F704" s="20"/>
      <c r="G704" s="23"/>
      <c r="H704" s="24"/>
      <c r="I704" s="20"/>
      <c r="J704" s="20"/>
      <c r="K704" s="23"/>
      <c r="L704" s="23">
        <f>SUBTOTAL(9,L560:L703)</f>
        <v>5861743</v>
      </c>
      <c r="M704" s="23">
        <f>SUBTOTAL(9,M560:M703)</f>
        <v>6180799672</v>
      </c>
    </row>
    <row r="705" spans="1:13" s="35" customFormat="1" outlineLevel="1">
      <c r="A705" s="29"/>
      <c r="B705" s="30"/>
      <c r="C705" s="31"/>
      <c r="D705" s="30"/>
      <c r="E705" s="32"/>
      <c r="F705" s="33"/>
      <c r="G705" s="32"/>
      <c r="H705" s="34"/>
      <c r="I705" s="33"/>
      <c r="J705" s="33"/>
      <c r="K705" s="32"/>
      <c r="L705" s="32"/>
      <c r="M705" s="32"/>
    </row>
    <row r="706" spans="1:13" s="16" customFormat="1">
      <c r="A706" s="20" t="s">
        <v>24</v>
      </c>
      <c r="B706" s="21"/>
      <c r="C706" s="22"/>
      <c r="D706" s="21"/>
      <c r="E706" s="23">
        <f>SUBTOTAL(9,E4:E703)</f>
        <v>44049527379</v>
      </c>
      <c r="F706" s="20"/>
      <c r="G706" s="23"/>
      <c r="H706" s="24"/>
      <c r="I706" s="20"/>
      <c r="J706" s="20"/>
      <c r="K706" s="23"/>
      <c r="L706" s="23">
        <f>SUBTOTAL(9,L4:L703)</f>
        <v>32035968</v>
      </c>
      <c r="M706" s="23">
        <f>SUBTOTAL(9,M4:M703)</f>
        <v>43910889778</v>
      </c>
    </row>
    <row r="708" spans="1:13">
      <c r="A708" s="25" t="s">
        <v>22</v>
      </c>
      <c r="B708" s="25"/>
      <c r="E708" s="26" t="s">
        <v>23</v>
      </c>
      <c r="G708" s="5"/>
      <c r="I708" s="27" t="s">
        <v>21</v>
      </c>
    </row>
  </sheetData>
  <autoFilter ref="A3:M703" xr:uid="{00000000-0009-0000-0000-000000000000}"/>
  <mergeCells count="1">
    <mergeCell ref="A1:M1"/>
  </mergeCells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13</vt:i4>
      </vt:variant>
    </vt:vector>
  </HeadingPairs>
  <TitlesOfParts>
    <vt:vector size="22" baseType="lpstr"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'10月'!Print_Area</vt:lpstr>
      <vt:lpstr>'5月'!Print_Area</vt:lpstr>
      <vt:lpstr>'6月'!Print_Area</vt:lpstr>
      <vt:lpstr>'7月'!Print_Area</vt:lpstr>
      <vt:lpstr>'10月'!Print_Titles</vt:lpstr>
      <vt:lpstr>'11月'!Print_Titles</vt:lpstr>
      <vt:lpstr>'12月'!Print_Titles</vt:lpstr>
      <vt:lpstr>'4月'!Print_Titles</vt:lpstr>
      <vt:lpstr>'5月'!Print_Titles</vt:lpstr>
      <vt:lpstr>'6月'!Print_Titles</vt:lpstr>
      <vt:lpstr>'7月'!Print_Titles</vt:lpstr>
      <vt:lpstr>'8月'!Print_Titles</vt:lpstr>
      <vt:lpstr>'9月'!Print_Titles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趙美華</dc:creator>
  <cp:lastModifiedBy>Hsueh, Shane S.P. (TW/361A00)</cp:lastModifiedBy>
  <dcterms:created xsi:type="dcterms:W3CDTF">2024-05-02T08:05:57Z</dcterms:created>
  <dcterms:modified xsi:type="dcterms:W3CDTF">2026-03-13T05:50:22Z</dcterms:modified>
</cp:coreProperties>
</file>